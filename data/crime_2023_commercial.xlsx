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4"/>
  <workbookPr/>
  <mc:AlternateContent xmlns:mc="http://schemas.openxmlformats.org/markup-compatibility/2006">
    <mc:Choice Requires="x15">
      <x15ac:absPath xmlns:x15ac="http://schemas.microsoft.com/office/spreadsheetml/2010/11/ac" url="D:\Jenayah 2024\7. Jadual Statistik\"/>
    </mc:Choice>
  </mc:AlternateContent>
  <xr:revisionPtr revIDLastSave="0" documentId="13_ncr:1_{7BC2F933-054F-4648-B3FD-FBCE7E76A606}" xr6:coauthVersionLast="36" xr6:coauthVersionMax="36" xr10:uidLastSave="{00000000-0000-0000-0000-000000000000}"/>
  <bookViews>
    <workbookView xWindow="0" yWindow="0" windowWidth="10215" windowHeight="7065" firstSheet="3" xr2:uid="{00000000-000D-0000-FFFF-FFFF00000000}"/>
  </bookViews>
  <sheets>
    <sheet name="7.1" sheetId="2" r:id="rId1"/>
    <sheet name="7.2" sheetId="11" r:id="rId2"/>
    <sheet name="7.2(1)" sheetId="30" r:id="rId3"/>
    <sheet name="7.3 " sheetId="31" r:id="rId4"/>
    <sheet name="7.3 (samb1)" sheetId="27" r:id="rId5"/>
    <sheet name="7.3 (samb2)" sheetId="28" r:id="rId6"/>
    <sheet name="7.3 (samb3)" sheetId="29" r:id="rId7"/>
    <sheet name="7.4" sheetId="32" r:id="rId8"/>
    <sheet name="7.4 (L)" sheetId="7" r:id="rId9"/>
    <sheet name="7.4 (L) (2)" sheetId="22" r:id="rId10"/>
    <sheet name="7.4 (L) (3)" sheetId="23" r:id="rId11"/>
    <sheet name="7.4 (1)" sheetId="33" r:id="rId12"/>
    <sheet name="7.4 (P)" sheetId="24" r:id="rId13"/>
    <sheet name="7.4 (P) (2)" sheetId="25" r:id="rId14"/>
    <sheet name="7.4 (P) (3)" sheetId="26" r:id="rId15"/>
    <sheet name="7.5" sheetId="1" r:id="rId16"/>
  </sheets>
  <externalReferences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</externalReferences>
  <definedNames>
    <definedName name="__123Graph_A" localSheetId="1" hidden="1">'[1]7.2'!#REF!</definedName>
    <definedName name="__123Graph_A" localSheetId="2" hidden="1">'[1]7.2'!#REF!</definedName>
    <definedName name="__123Graph_A" localSheetId="3" hidden="1">'[2]7.2'!#REF!</definedName>
    <definedName name="__123Graph_A" localSheetId="5" hidden="1">'[2]7.2'!#REF!</definedName>
    <definedName name="__123Graph_A" localSheetId="6" hidden="1">'[2]7.2'!#REF!</definedName>
    <definedName name="__123Graph_A" localSheetId="7" hidden="1">'[2]7.2'!#REF!</definedName>
    <definedName name="__123Graph_A" localSheetId="11" hidden="1">'[2]7.2'!#REF!</definedName>
    <definedName name="__123Graph_A" localSheetId="9" hidden="1">'[2]7.2'!#REF!</definedName>
    <definedName name="__123Graph_A" localSheetId="10" hidden="1">'[2]7.2'!#REF!</definedName>
    <definedName name="__123Graph_A" localSheetId="13" hidden="1">'[2]7.2'!#REF!</definedName>
    <definedName name="__123Graph_A" localSheetId="14" hidden="1">'[2]7.2'!#REF!</definedName>
    <definedName name="__123Graph_A" hidden="1">'[2]7.2'!#REF!</definedName>
    <definedName name="__123Graph_A_4" localSheetId="1">#REF!</definedName>
    <definedName name="__123Graph_A_4" localSheetId="2">#REF!</definedName>
    <definedName name="__123Graph_A_4" localSheetId="3">#REF!</definedName>
    <definedName name="__123Graph_A_4" localSheetId="5">#REF!</definedName>
    <definedName name="__123Graph_A_4" localSheetId="6">#REF!</definedName>
    <definedName name="__123Graph_A_4" localSheetId="7">#REF!</definedName>
    <definedName name="__123Graph_A_4" localSheetId="11">#REF!</definedName>
    <definedName name="__123Graph_A_4" localSheetId="9">#REF!</definedName>
    <definedName name="__123Graph_A_4" localSheetId="10">#REF!</definedName>
    <definedName name="__123Graph_A_4" localSheetId="13">#REF!</definedName>
    <definedName name="__123Graph_A_4" localSheetId="14">#REF!</definedName>
    <definedName name="__123Graph_A_4">#REF!</definedName>
    <definedName name="__123Graph_B" localSheetId="1" hidden="1">'[3]5.11'!$E$15:$J$15</definedName>
    <definedName name="__123Graph_B" localSheetId="2" hidden="1">'[3]5.11'!$E$15:$J$15</definedName>
    <definedName name="__123Graph_B" hidden="1">'[4]5.11'!$E$15:$J$15</definedName>
    <definedName name="__123Graph_C" localSheetId="1" hidden="1">#REF!</definedName>
    <definedName name="__123Graph_C" localSheetId="2" hidden="1">#REF!</definedName>
    <definedName name="__123Graph_C" localSheetId="3" hidden="1">#REF!</definedName>
    <definedName name="__123Graph_C" localSheetId="5" hidden="1">#REF!</definedName>
    <definedName name="__123Graph_C" localSheetId="6" hidden="1">#REF!</definedName>
    <definedName name="__123Graph_C" localSheetId="7" hidden="1">#REF!</definedName>
    <definedName name="__123Graph_C" localSheetId="11" hidden="1">#REF!</definedName>
    <definedName name="__123Graph_C" localSheetId="9" hidden="1">#REF!</definedName>
    <definedName name="__123Graph_C" localSheetId="10" hidden="1">#REF!</definedName>
    <definedName name="__123Graph_C" localSheetId="13" hidden="1">#REF!</definedName>
    <definedName name="__123Graph_C" localSheetId="14" hidden="1">#REF!</definedName>
    <definedName name="__123Graph_C" hidden="1">#REF!</definedName>
    <definedName name="__123Graph_D" localSheetId="1" hidden="1">#REF!</definedName>
    <definedName name="__123Graph_D" localSheetId="2" hidden="1">#REF!</definedName>
    <definedName name="__123Graph_D" localSheetId="3" hidden="1">#REF!</definedName>
    <definedName name="__123Graph_D" localSheetId="5" hidden="1">#REF!</definedName>
    <definedName name="__123Graph_D" localSheetId="6" hidden="1">#REF!</definedName>
    <definedName name="__123Graph_D" localSheetId="7" hidden="1">#REF!</definedName>
    <definedName name="__123Graph_D" localSheetId="11" hidden="1">#REF!</definedName>
    <definedName name="__123Graph_D" localSheetId="9" hidden="1">#REF!</definedName>
    <definedName name="__123Graph_D" localSheetId="10" hidden="1">#REF!</definedName>
    <definedName name="__123Graph_D" localSheetId="13" hidden="1">#REF!</definedName>
    <definedName name="__123Graph_D" localSheetId="14" hidden="1">#REF!</definedName>
    <definedName name="__123Graph_D" hidden="1">#REF!</definedName>
    <definedName name="__123Graph_E" localSheetId="1" hidden="1">#REF!</definedName>
    <definedName name="__123Graph_E" localSheetId="2" hidden="1">#REF!</definedName>
    <definedName name="__123Graph_E" localSheetId="3" hidden="1">#REF!</definedName>
    <definedName name="__123Graph_E" localSheetId="5" hidden="1">#REF!</definedName>
    <definedName name="__123Graph_E" localSheetId="6" hidden="1">#REF!</definedName>
    <definedName name="__123Graph_E" localSheetId="7" hidden="1">#REF!</definedName>
    <definedName name="__123Graph_E" localSheetId="11" hidden="1">#REF!</definedName>
    <definedName name="__123Graph_E" localSheetId="9" hidden="1">#REF!</definedName>
    <definedName name="__123Graph_E" localSheetId="10" hidden="1">#REF!</definedName>
    <definedName name="__123Graph_E" localSheetId="13" hidden="1">#REF!</definedName>
    <definedName name="__123Graph_E" localSheetId="14" hidden="1">#REF!</definedName>
    <definedName name="__123Graph_E" hidden="1">#REF!</definedName>
    <definedName name="__123Graph_F" localSheetId="1" hidden="1">#REF!</definedName>
    <definedName name="__123Graph_F" localSheetId="2" hidden="1">#REF!</definedName>
    <definedName name="__123Graph_F" localSheetId="3" hidden="1">#REF!</definedName>
    <definedName name="__123Graph_F" localSheetId="5" hidden="1">#REF!</definedName>
    <definedName name="__123Graph_F" localSheetId="6" hidden="1">#REF!</definedName>
    <definedName name="__123Graph_F" localSheetId="7" hidden="1">#REF!</definedName>
    <definedName name="__123Graph_F" localSheetId="11" hidden="1">#REF!</definedName>
    <definedName name="__123Graph_F" localSheetId="9" hidden="1">#REF!</definedName>
    <definedName name="__123Graph_F" localSheetId="10" hidden="1">#REF!</definedName>
    <definedName name="__123Graph_F" localSheetId="13" hidden="1">#REF!</definedName>
    <definedName name="__123Graph_F" localSheetId="14" hidden="1">#REF!</definedName>
    <definedName name="__123Graph_F" hidden="1">#REF!</definedName>
    <definedName name="__123Graph_X" localSheetId="1" hidden="1">'[5]4.8'!#REF!</definedName>
    <definedName name="__123Graph_X" localSheetId="2" hidden="1">'[5]4.8'!#REF!</definedName>
    <definedName name="__123Graph_X" localSheetId="3" hidden="1">'[6]4.8'!#REF!</definedName>
    <definedName name="__123Graph_X" localSheetId="5" hidden="1">'[6]4.8'!#REF!</definedName>
    <definedName name="__123Graph_X" localSheetId="6" hidden="1">'[6]4.8'!#REF!</definedName>
    <definedName name="__123Graph_X" localSheetId="7" hidden="1">'[6]4.8'!#REF!</definedName>
    <definedName name="__123Graph_X" localSheetId="11" hidden="1">'[6]4.8'!#REF!</definedName>
    <definedName name="__123Graph_X" localSheetId="9" hidden="1">'[6]4.8'!#REF!</definedName>
    <definedName name="__123Graph_X" localSheetId="10" hidden="1">'[6]4.8'!#REF!</definedName>
    <definedName name="__123Graph_X" localSheetId="13" hidden="1">'[6]4.8'!#REF!</definedName>
    <definedName name="__123Graph_X" localSheetId="14" hidden="1">'[6]4.8'!#REF!</definedName>
    <definedName name="__123Graph_X" hidden="1">'[6]4.8'!#REF!</definedName>
    <definedName name="__123Graph_X_1" localSheetId="1">#REF!</definedName>
    <definedName name="__123Graph_X_1" localSheetId="2">#REF!</definedName>
    <definedName name="__123Graph_X_1" localSheetId="3">#REF!</definedName>
    <definedName name="__123Graph_X_1" localSheetId="5">#REF!</definedName>
    <definedName name="__123Graph_X_1" localSheetId="6">#REF!</definedName>
    <definedName name="__123Graph_X_1" localSheetId="7">#REF!</definedName>
    <definedName name="__123Graph_X_1" localSheetId="11">#REF!</definedName>
    <definedName name="__123Graph_X_1" localSheetId="9">#REF!</definedName>
    <definedName name="__123Graph_X_1" localSheetId="10">#REF!</definedName>
    <definedName name="__123Graph_X_1" localSheetId="13">#REF!</definedName>
    <definedName name="__123Graph_X_1" localSheetId="14">#REF!</definedName>
    <definedName name="__123Graph_X_1">#REF!</definedName>
    <definedName name="_7.4a" localSheetId="1" hidden="1">'[7]4.9'!#REF!</definedName>
    <definedName name="_7.4a" localSheetId="2" hidden="1">'[7]4.9'!#REF!</definedName>
    <definedName name="_7.4a" localSheetId="3" hidden="1">'[8]4.9'!#REF!</definedName>
    <definedName name="_7.4a" localSheetId="5" hidden="1">'[8]4.9'!#REF!</definedName>
    <definedName name="_7.4a" localSheetId="6" hidden="1">'[8]4.9'!#REF!</definedName>
    <definedName name="_7.4a" localSheetId="7" hidden="1">'[8]4.9'!#REF!</definedName>
    <definedName name="_7.4a" localSheetId="11" hidden="1">'[8]4.9'!#REF!</definedName>
    <definedName name="_7.4a" localSheetId="9" hidden="1">'[8]4.9'!#REF!</definedName>
    <definedName name="_7.4a" localSheetId="10" hidden="1">'[8]4.9'!#REF!</definedName>
    <definedName name="_7.4a" localSheetId="13" hidden="1">'[8]4.9'!#REF!</definedName>
    <definedName name="_7.4a" localSheetId="14" hidden="1">'[8]4.9'!#REF!</definedName>
    <definedName name="_7.4a" hidden="1">'[8]4.9'!#REF!</definedName>
    <definedName name="_Parse_Out" localSheetId="1" hidden="1">#REF!</definedName>
    <definedName name="_Parse_Out" localSheetId="2" hidden="1">#REF!</definedName>
    <definedName name="_Parse_Out" localSheetId="3" hidden="1">#REF!</definedName>
    <definedName name="_Parse_Out" localSheetId="5" hidden="1">#REF!</definedName>
    <definedName name="_Parse_Out" localSheetId="6" hidden="1">#REF!</definedName>
    <definedName name="_Parse_Out" localSheetId="7" hidden="1">#REF!</definedName>
    <definedName name="_Parse_Out" localSheetId="11" hidden="1">#REF!</definedName>
    <definedName name="_Parse_Out" localSheetId="9" hidden="1">#REF!</definedName>
    <definedName name="_Parse_Out" localSheetId="10" hidden="1">#REF!</definedName>
    <definedName name="_Parse_Out" localSheetId="13" hidden="1">#REF!</definedName>
    <definedName name="_Parse_Out" localSheetId="14" hidden="1">#REF!</definedName>
    <definedName name="_Parse_Out" hidden="1">#REF!</definedName>
    <definedName name="_PERAK" localSheetId="2" hidden="1">#REF!</definedName>
    <definedName name="_PERAK" localSheetId="3" hidden="1">#REF!</definedName>
    <definedName name="_PERAK" localSheetId="5" hidden="1">#REF!</definedName>
    <definedName name="_PERAK" localSheetId="6" hidden="1">#REF!</definedName>
    <definedName name="_PERAK" localSheetId="7" hidden="1">#REF!</definedName>
    <definedName name="_PERAK" localSheetId="11" hidden="1">#REF!</definedName>
    <definedName name="_PERAK" localSheetId="9" hidden="1">#REF!</definedName>
    <definedName name="_PERAK" localSheetId="10" hidden="1">#REF!</definedName>
    <definedName name="_PERAK" localSheetId="13" hidden="1">#REF!</definedName>
    <definedName name="_PERAK" localSheetId="14" hidden="1">#REF!</definedName>
    <definedName name="_PERAK" hidden="1">#REF!</definedName>
    <definedName name="a" localSheetId="1" hidden="1">#REF!</definedName>
    <definedName name="a" localSheetId="2" hidden="1">#REF!</definedName>
    <definedName name="a" localSheetId="3" hidden="1">#REF!</definedName>
    <definedName name="a" localSheetId="5" hidden="1">#REF!</definedName>
    <definedName name="a" localSheetId="6" hidden="1">#REF!</definedName>
    <definedName name="a" localSheetId="7" hidden="1">#REF!</definedName>
    <definedName name="a" localSheetId="11" hidden="1">#REF!</definedName>
    <definedName name="a" localSheetId="9" hidden="1">#REF!</definedName>
    <definedName name="a" localSheetId="10" hidden="1">#REF!</definedName>
    <definedName name="a" localSheetId="13" hidden="1">#REF!</definedName>
    <definedName name="a" localSheetId="14" hidden="1">#REF!</definedName>
    <definedName name="a" hidden="1">#REF!</definedName>
    <definedName name="aa" localSheetId="1" hidden="1">#REF!</definedName>
    <definedName name="aa" localSheetId="2" hidden="1">#REF!</definedName>
    <definedName name="aa" localSheetId="3" hidden="1">#REF!</definedName>
    <definedName name="aa" localSheetId="5" hidden="1">#REF!</definedName>
    <definedName name="aa" localSheetId="6" hidden="1">#REF!</definedName>
    <definedName name="aa" localSheetId="7" hidden="1">#REF!</definedName>
    <definedName name="aa" localSheetId="11" hidden="1">#REF!</definedName>
    <definedName name="aa" localSheetId="9" hidden="1">#REF!</definedName>
    <definedName name="aa" localSheetId="10" hidden="1">#REF!</definedName>
    <definedName name="aa" localSheetId="13" hidden="1">#REF!</definedName>
    <definedName name="aa" localSheetId="14" hidden="1">#REF!</definedName>
    <definedName name="aa" hidden="1">#REF!</definedName>
    <definedName name="aaa" localSheetId="1">#REF!</definedName>
    <definedName name="aaa" localSheetId="2">#REF!</definedName>
    <definedName name="aaa" localSheetId="3">#REF!</definedName>
    <definedName name="aaa" localSheetId="5">#REF!</definedName>
    <definedName name="aaa" localSheetId="6">#REF!</definedName>
    <definedName name="aaa" localSheetId="7">#REF!</definedName>
    <definedName name="aaa" localSheetId="11">#REF!</definedName>
    <definedName name="aaa" localSheetId="9">#REF!</definedName>
    <definedName name="aaa" localSheetId="10">#REF!</definedName>
    <definedName name="aaa" localSheetId="13">#REF!</definedName>
    <definedName name="aaa" localSheetId="14">#REF!</definedName>
    <definedName name="aaa">#REF!</definedName>
    <definedName name="aaab" localSheetId="1">#REF!</definedName>
    <definedName name="aaab" localSheetId="2">#REF!</definedName>
    <definedName name="aaab" localSheetId="3">#REF!</definedName>
    <definedName name="aaab" localSheetId="5">#REF!</definedName>
    <definedName name="aaab" localSheetId="6">#REF!</definedName>
    <definedName name="aaab" localSheetId="7">#REF!</definedName>
    <definedName name="aaab" localSheetId="11">#REF!</definedName>
    <definedName name="aaab" localSheetId="9">#REF!</definedName>
    <definedName name="aaab" localSheetId="10">#REF!</definedName>
    <definedName name="aaab" localSheetId="13">#REF!</definedName>
    <definedName name="aaab" localSheetId="14">#REF!</definedName>
    <definedName name="aaab">#REF!</definedName>
    <definedName name="aaad" localSheetId="1">#REF!</definedName>
    <definedName name="aaad" localSheetId="2">#REF!</definedName>
    <definedName name="aaad" localSheetId="3">#REF!</definedName>
    <definedName name="aaad" localSheetId="5">#REF!</definedName>
    <definedName name="aaad" localSheetId="6">#REF!</definedName>
    <definedName name="aaad" localSheetId="7">#REF!</definedName>
    <definedName name="aaad" localSheetId="11">#REF!</definedName>
    <definedName name="aaad" localSheetId="9">#REF!</definedName>
    <definedName name="aaad" localSheetId="10">#REF!</definedName>
    <definedName name="aaad" localSheetId="13">#REF!</definedName>
    <definedName name="aaad" localSheetId="14">#REF!</definedName>
    <definedName name="aaad">#REF!</definedName>
    <definedName name="aaart" localSheetId="1">#REF!</definedName>
    <definedName name="aaart" localSheetId="2">#REF!</definedName>
    <definedName name="aaart" localSheetId="3">#REF!</definedName>
    <definedName name="aaart" localSheetId="5">#REF!</definedName>
    <definedName name="aaart" localSheetId="6">#REF!</definedName>
    <definedName name="aaart" localSheetId="7">#REF!</definedName>
    <definedName name="aaart" localSheetId="11">#REF!</definedName>
    <definedName name="aaart" localSheetId="9">#REF!</definedName>
    <definedName name="aaart" localSheetId="10">#REF!</definedName>
    <definedName name="aaart" localSheetId="13">#REF!</definedName>
    <definedName name="aaart" localSheetId="14">#REF!</definedName>
    <definedName name="aaart">#REF!</definedName>
    <definedName name="aaatr" localSheetId="1">#REF!</definedName>
    <definedName name="aaatr" localSheetId="2">#REF!</definedName>
    <definedName name="aaatr" localSheetId="3">#REF!</definedName>
    <definedName name="aaatr" localSheetId="5">#REF!</definedName>
    <definedName name="aaatr" localSheetId="6">#REF!</definedName>
    <definedName name="aaatr" localSheetId="7">#REF!</definedName>
    <definedName name="aaatr" localSheetId="11">#REF!</definedName>
    <definedName name="aaatr" localSheetId="9">#REF!</definedName>
    <definedName name="aaatr" localSheetId="10">#REF!</definedName>
    <definedName name="aaatr" localSheetId="13">#REF!</definedName>
    <definedName name="aaatr" localSheetId="14">#REF!</definedName>
    <definedName name="aaatr">#REF!</definedName>
    <definedName name="abggg" localSheetId="1" hidden="1">'[7]4.9'!#REF!</definedName>
    <definedName name="abggg" localSheetId="2" hidden="1">'[7]4.9'!#REF!</definedName>
    <definedName name="abggg" localSheetId="3" hidden="1">'[8]4.9'!#REF!</definedName>
    <definedName name="abggg" localSheetId="5" hidden="1">'[8]4.9'!#REF!</definedName>
    <definedName name="abggg" localSheetId="6" hidden="1">'[8]4.9'!#REF!</definedName>
    <definedName name="abggg" localSheetId="7" hidden="1">'[8]4.9'!#REF!</definedName>
    <definedName name="abggg" localSheetId="11" hidden="1">'[8]4.9'!#REF!</definedName>
    <definedName name="abggg" localSheetId="9" hidden="1">'[8]4.9'!#REF!</definedName>
    <definedName name="abggg" localSheetId="10" hidden="1">'[8]4.9'!#REF!</definedName>
    <definedName name="abggg" localSheetId="13" hidden="1">'[8]4.9'!#REF!</definedName>
    <definedName name="abggg" localSheetId="14" hidden="1">'[8]4.9'!#REF!</definedName>
    <definedName name="abggg" hidden="1">'[8]4.9'!#REF!</definedName>
    <definedName name="afaf" localSheetId="1" hidden="1">'[7]4.9'!#REF!</definedName>
    <definedName name="afaf" localSheetId="2" hidden="1">'[7]4.9'!#REF!</definedName>
    <definedName name="afaf" localSheetId="3" hidden="1">'[8]4.9'!#REF!</definedName>
    <definedName name="afaf" localSheetId="5" hidden="1">'[8]4.9'!#REF!</definedName>
    <definedName name="afaf" localSheetId="6" hidden="1">'[8]4.9'!#REF!</definedName>
    <definedName name="afaf" localSheetId="7" hidden="1">'[8]4.9'!#REF!</definedName>
    <definedName name="afaf" localSheetId="11" hidden="1">'[8]4.9'!#REF!</definedName>
    <definedName name="afaf" localSheetId="9" hidden="1">'[8]4.9'!#REF!</definedName>
    <definedName name="afaf" localSheetId="10" hidden="1">'[8]4.9'!#REF!</definedName>
    <definedName name="afaf" localSheetId="13" hidden="1">'[8]4.9'!#REF!</definedName>
    <definedName name="afaf" localSheetId="14" hidden="1">'[8]4.9'!#REF!</definedName>
    <definedName name="afaf" hidden="1">'[8]4.9'!#REF!</definedName>
    <definedName name="as" localSheetId="1" hidden="1">#REF!</definedName>
    <definedName name="as" localSheetId="2" hidden="1">#REF!</definedName>
    <definedName name="as" localSheetId="3" hidden="1">#REF!</definedName>
    <definedName name="as" localSheetId="5" hidden="1">#REF!</definedName>
    <definedName name="as" localSheetId="6" hidden="1">#REF!</definedName>
    <definedName name="as" localSheetId="7" hidden="1">#REF!</definedName>
    <definedName name="as" localSheetId="11" hidden="1">#REF!</definedName>
    <definedName name="as" localSheetId="9" hidden="1">#REF!</definedName>
    <definedName name="as" localSheetId="10" hidden="1">#REF!</definedName>
    <definedName name="as" localSheetId="13" hidden="1">#REF!</definedName>
    <definedName name="as" localSheetId="14" hidden="1">#REF!</definedName>
    <definedName name="as" hidden="1">#REF!</definedName>
    <definedName name="ass" localSheetId="1" hidden="1">'[9]4.8'!#REF!</definedName>
    <definedName name="ass" localSheetId="2" hidden="1">'[9]4.8'!#REF!</definedName>
    <definedName name="ass" localSheetId="3" hidden="1">'[10]4.8'!#REF!</definedName>
    <definedName name="ass" localSheetId="5" hidden="1">'[10]4.8'!#REF!</definedName>
    <definedName name="ass" localSheetId="6" hidden="1">'[10]4.8'!#REF!</definedName>
    <definedName name="ass" localSheetId="7" hidden="1">'[10]4.8'!#REF!</definedName>
    <definedName name="ass" localSheetId="11" hidden="1">'[10]4.8'!#REF!</definedName>
    <definedName name="ass" localSheetId="9" hidden="1">'[10]4.8'!#REF!</definedName>
    <definedName name="ass" localSheetId="10" hidden="1">'[10]4.8'!#REF!</definedName>
    <definedName name="ass" localSheetId="13" hidden="1">'[10]4.8'!#REF!</definedName>
    <definedName name="ass" localSheetId="14" hidden="1">'[10]4.8'!#REF!</definedName>
    <definedName name="ass" hidden="1">'[10]4.8'!#REF!</definedName>
    <definedName name="Asset91" localSheetId="1">#REF!</definedName>
    <definedName name="Asset91" localSheetId="2">#REF!</definedName>
    <definedName name="Asset91" localSheetId="3">#REF!</definedName>
    <definedName name="Asset91" localSheetId="5">#REF!</definedName>
    <definedName name="Asset91" localSheetId="6">#REF!</definedName>
    <definedName name="Asset91" localSheetId="7">#REF!</definedName>
    <definedName name="Asset91" localSheetId="11">#REF!</definedName>
    <definedName name="Asset91" localSheetId="9">#REF!</definedName>
    <definedName name="Asset91" localSheetId="10">#REF!</definedName>
    <definedName name="Asset91" localSheetId="13">#REF!</definedName>
    <definedName name="Asset91" localSheetId="14">#REF!</definedName>
    <definedName name="Asset91">#REF!</definedName>
    <definedName name="Asset92" localSheetId="1">#REF!</definedName>
    <definedName name="Asset92" localSheetId="2">#REF!</definedName>
    <definedName name="Asset92" localSheetId="3">#REF!</definedName>
    <definedName name="Asset92" localSheetId="5">#REF!</definedName>
    <definedName name="Asset92" localSheetId="6">#REF!</definedName>
    <definedName name="Asset92" localSheetId="7">#REF!</definedName>
    <definedName name="Asset92" localSheetId="11">#REF!</definedName>
    <definedName name="Asset92" localSheetId="9">#REF!</definedName>
    <definedName name="Asset92" localSheetId="10">#REF!</definedName>
    <definedName name="Asset92" localSheetId="13">#REF!</definedName>
    <definedName name="Asset92" localSheetId="14">#REF!</definedName>
    <definedName name="Asset92">#REF!</definedName>
    <definedName name="ax" localSheetId="1">#REF!</definedName>
    <definedName name="ax" localSheetId="2">#REF!</definedName>
    <definedName name="ax" localSheetId="3">#REF!</definedName>
    <definedName name="ax" localSheetId="5">#REF!</definedName>
    <definedName name="ax" localSheetId="6">#REF!</definedName>
    <definedName name="ax" localSheetId="7">#REF!</definedName>
    <definedName name="ax" localSheetId="11">#REF!</definedName>
    <definedName name="ax" localSheetId="9">#REF!</definedName>
    <definedName name="ax" localSheetId="10">#REF!</definedName>
    <definedName name="ax" localSheetId="13">#REF!</definedName>
    <definedName name="ax" localSheetId="14">#REF!</definedName>
    <definedName name="ax">#REF!</definedName>
    <definedName name="b" localSheetId="1" hidden="1">#REF!</definedName>
    <definedName name="b" localSheetId="2" hidden="1">#REF!</definedName>
    <definedName name="b" localSheetId="3" hidden="1">#REF!</definedName>
    <definedName name="b" localSheetId="5" hidden="1">#REF!</definedName>
    <definedName name="b" localSheetId="6" hidden="1">#REF!</definedName>
    <definedName name="b" localSheetId="7" hidden="1">#REF!</definedName>
    <definedName name="b" localSheetId="11" hidden="1">#REF!</definedName>
    <definedName name="b" localSheetId="9" hidden="1">#REF!</definedName>
    <definedName name="b" localSheetId="10" hidden="1">#REF!</definedName>
    <definedName name="b" localSheetId="13" hidden="1">#REF!</definedName>
    <definedName name="b" localSheetId="14" hidden="1">#REF!</definedName>
    <definedName name="b" hidden="1">#REF!</definedName>
    <definedName name="bbbg" localSheetId="1">#REF!</definedName>
    <definedName name="bbbg" localSheetId="2">#REF!</definedName>
    <definedName name="bbbg" localSheetId="3">#REF!</definedName>
    <definedName name="bbbg" localSheetId="5">#REF!</definedName>
    <definedName name="bbbg" localSheetId="6">#REF!</definedName>
    <definedName name="bbbg" localSheetId="7">#REF!</definedName>
    <definedName name="bbbg" localSheetId="11">#REF!</definedName>
    <definedName name="bbbg" localSheetId="9">#REF!</definedName>
    <definedName name="bbbg" localSheetId="10">#REF!</definedName>
    <definedName name="bbbg" localSheetId="13">#REF!</definedName>
    <definedName name="bbbg" localSheetId="14">#REF!</definedName>
    <definedName name="bbbg">#REF!</definedName>
    <definedName name="bbbgt" localSheetId="1">#REF!</definedName>
    <definedName name="bbbgt" localSheetId="2">#REF!</definedName>
    <definedName name="bbbgt" localSheetId="3">#REF!</definedName>
    <definedName name="bbbgt" localSheetId="5">#REF!</definedName>
    <definedName name="bbbgt" localSheetId="6">#REF!</definedName>
    <definedName name="bbbgt" localSheetId="7">#REF!</definedName>
    <definedName name="bbbgt" localSheetId="11">#REF!</definedName>
    <definedName name="bbbgt" localSheetId="9">#REF!</definedName>
    <definedName name="bbbgt" localSheetId="10">#REF!</definedName>
    <definedName name="bbbgt" localSheetId="13">#REF!</definedName>
    <definedName name="bbbgt" localSheetId="14">#REF!</definedName>
    <definedName name="bbbgt">#REF!</definedName>
    <definedName name="bbbh" localSheetId="1">#REF!</definedName>
    <definedName name="bbbh" localSheetId="2">#REF!</definedName>
    <definedName name="bbbh" localSheetId="3">#REF!</definedName>
    <definedName name="bbbh" localSheetId="5">#REF!</definedName>
    <definedName name="bbbh" localSheetId="6">#REF!</definedName>
    <definedName name="bbbh" localSheetId="7">#REF!</definedName>
    <definedName name="bbbh" localSheetId="11">#REF!</definedName>
    <definedName name="bbbh" localSheetId="9">#REF!</definedName>
    <definedName name="bbbh" localSheetId="10">#REF!</definedName>
    <definedName name="bbbh" localSheetId="13">#REF!</definedName>
    <definedName name="bbbh" localSheetId="14">#REF!</definedName>
    <definedName name="bbbh">#REF!</definedName>
    <definedName name="bcvb" localSheetId="1">#REF!</definedName>
    <definedName name="bcvb" localSheetId="2">#REF!</definedName>
    <definedName name="bcvb" localSheetId="3">#REF!</definedName>
    <definedName name="bcvb" localSheetId="5">#REF!</definedName>
    <definedName name="bcvb" localSheetId="6">#REF!</definedName>
    <definedName name="bcvb" localSheetId="7">#REF!</definedName>
    <definedName name="bcvb" localSheetId="11">#REF!</definedName>
    <definedName name="bcvb" localSheetId="9">#REF!</definedName>
    <definedName name="bcvb" localSheetId="10">#REF!</definedName>
    <definedName name="bcvb" localSheetId="13">#REF!</definedName>
    <definedName name="bcvb" localSheetId="14">#REF!</definedName>
    <definedName name="bcvb">#REF!</definedName>
    <definedName name="bf" localSheetId="1" hidden="1">'[11]7.6'!#REF!</definedName>
    <definedName name="bf" localSheetId="2" hidden="1">'[11]7.6'!#REF!</definedName>
    <definedName name="bf" localSheetId="3" hidden="1">'[12]7.6'!#REF!</definedName>
    <definedName name="bf" localSheetId="5" hidden="1">'[12]7.6'!#REF!</definedName>
    <definedName name="bf" localSheetId="6" hidden="1">'[12]7.6'!#REF!</definedName>
    <definedName name="bf" localSheetId="7" hidden="1">'[12]7.6'!#REF!</definedName>
    <definedName name="bf" localSheetId="11" hidden="1">'[12]7.6'!#REF!</definedName>
    <definedName name="bf" localSheetId="9" hidden="1">'[12]7.6'!#REF!</definedName>
    <definedName name="bf" localSheetId="10" hidden="1">'[12]7.6'!#REF!</definedName>
    <definedName name="bf" localSheetId="13" hidden="1">'[12]7.6'!#REF!</definedName>
    <definedName name="bf" localSheetId="14" hidden="1">'[12]7.6'!#REF!</definedName>
    <definedName name="bf" hidden="1">'[12]7.6'!#REF!</definedName>
    <definedName name="BH" localSheetId="1">#REF!</definedName>
    <definedName name="BH" localSheetId="2">#REF!</definedName>
    <definedName name="BH" localSheetId="3">#REF!</definedName>
    <definedName name="BH" localSheetId="5">#REF!</definedName>
    <definedName name="BH" localSheetId="6">#REF!</definedName>
    <definedName name="BH" localSheetId="7">#REF!</definedName>
    <definedName name="BH" localSheetId="11">#REF!</definedName>
    <definedName name="BH" localSheetId="9">#REF!</definedName>
    <definedName name="BH" localSheetId="10">#REF!</definedName>
    <definedName name="BH" localSheetId="13">#REF!</definedName>
    <definedName name="BH" localSheetId="14">#REF!</definedName>
    <definedName name="BH">#REF!</definedName>
    <definedName name="bnb" localSheetId="1" hidden="1">'[11]7.6'!#REF!</definedName>
    <definedName name="bnb" localSheetId="2" hidden="1">'[11]7.6'!#REF!</definedName>
    <definedName name="bnb" localSheetId="3" hidden="1">'[12]7.6'!#REF!</definedName>
    <definedName name="bnb" localSheetId="5" hidden="1">'[12]7.6'!#REF!</definedName>
    <definedName name="bnb" localSheetId="6" hidden="1">'[12]7.6'!#REF!</definedName>
    <definedName name="bnb" localSheetId="7" hidden="1">'[12]7.6'!#REF!</definedName>
    <definedName name="bnb" localSheetId="11" hidden="1">'[12]7.6'!#REF!</definedName>
    <definedName name="bnb" localSheetId="9" hidden="1">'[12]7.6'!#REF!</definedName>
    <definedName name="bnb" localSheetId="10" hidden="1">'[12]7.6'!#REF!</definedName>
    <definedName name="bnb" localSheetId="13" hidden="1">'[12]7.6'!#REF!</definedName>
    <definedName name="bnb" localSheetId="14" hidden="1">'[12]7.6'!#REF!</definedName>
    <definedName name="bnb" hidden="1">'[12]7.6'!#REF!</definedName>
    <definedName name="bv" localSheetId="1">#REF!</definedName>
    <definedName name="bv" localSheetId="2">#REF!</definedName>
    <definedName name="bv" localSheetId="3">#REF!</definedName>
    <definedName name="bv" localSheetId="5">#REF!</definedName>
    <definedName name="bv" localSheetId="6">#REF!</definedName>
    <definedName name="bv" localSheetId="7">#REF!</definedName>
    <definedName name="bv" localSheetId="11">#REF!</definedName>
    <definedName name="bv" localSheetId="9">#REF!</definedName>
    <definedName name="bv" localSheetId="10">#REF!</definedName>
    <definedName name="bv" localSheetId="13">#REF!</definedName>
    <definedName name="bv" localSheetId="14">#REF!</definedName>
    <definedName name="bv">#REF!</definedName>
    <definedName name="cc" localSheetId="1">#REF!</definedName>
    <definedName name="cc" localSheetId="2">#REF!</definedName>
    <definedName name="cc" localSheetId="3">#REF!</definedName>
    <definedName name="cc" localSheetId="5">#REF!</definedName>
    <definedName name="cc" localSheetId="6">#REF!</definedName>
    <definedName name="cc" localSheetId="7">#REF!</definedName>
    <definedName name="cc" localSheetId="11">#REF!</definedName>
    <definedName name="cc" localSheetId="9">#REF!</definedName>
    <definedName name="cc" localSheetId="10">#REF!</definedName>
    <definedName name="cc" localSheetId="13">#REF!</definedName>
    <definedName name="cc" localSheetId="14">#REF!</definedName>
    <definedName name="cc">#REF!</definedName>
    <definedName name="con_05" localSheetId="1">#REF!</definedName>
    <definedName name="con_05" localSheetId="2">#REF!</definedName>
    <definedName name="con_05" localSheetId="3">#REF!</definedName>
    <definedName name="con_05" localSheetId="5">#REF!</definedName>
    <definedName name="con_05" localSheetId="6">#REF!</definedName>
    <definedName name="con_05" localSheetId="7">#REF!</definedName>
    <definedName name="con_05" localSheetId="11">#REF!</definedName>
    <definedName name="con_05" localSheetId="9">#REF!</definedName>
    <definedName name="con_05" localSheetId="10">#REF!</definedName>
    <definedName name="con_05" localSheetId="13">#REF!</definedName>
    <definedName name="con_05" localSheetId="14">#REF!</definedName>
    <definedName name="con_05">#REF!</definedName>
    <definedName name="con_06" localSheetId="1">#REF!</definedName>
    <definedName name="con_06" localSheetId="2">#REF!</definedName>
    <definedName name="con_06" localSheetId="3">#REF!</definedName>
    <definedName name="con_06" localSheetId="5">#REF!</definedName>
    <definedName name="con_06" localSheetId="6">#REF!</definedName>
    <definedName name="con_06" localSheetId="7">#REF!</definedName>
    <definedName name="con_06" localSheetId="11">#REF!</definedName>
    <definedName name="con_06" localSheetId="9">#REF!</definedName>
    <definedName name="con_06" localSheetId="10">#REF!</definedName>
    <definedName name="con_06" localSheetId="13">#REF!</definedName>
    <definedName name="con_06" localSheetId="14">#REF!</definedName>
    <definedName name="con_06">#REF!</definedName>
    <definedName name="con_07" localSheetId="1">#REF!</definedName>
    <definedName name="con_07" localSheetId="2">#REF!</definedName>
    <definedName name="con_07" localSheetId="3">#REF!</definedName>
    <definedName name="con_07" localSheetId="5">#REF!</definedName>
    <definedName name="con_07" localSheetId="6">#REF!</definedName>
    <definedName name="con_07" localSheetId="7">#REF!</definedName>
    <definedName name="con_07" localSheetId="11">#REF!</definedName>
    <definedName name="con_07" localSheetId="9">#REF!</definedName>
    <definedName name="con_07" localSheetId="10">#REF!</definedName>
    <definedName name="con_07" localSheetId="13">#REF!</definedName>
    <definedName name="con_07" localSheetId="14">#REF!</definedName>
    <definedName name="con_07">#REF!</definedName>
    <definedName name="con_08" localSheetId="1">#REF!</definedName>
    <definedName name="con_08" localSheetId="2">#REF!</definedName>
    <definedName name="con_08" localSheetId="3">#REF!</definedName>
    <definedName name="con_08" localSheetId="5">#REF!</definedName>
    <definedName name="con_08" localSheetId="6">#REF!</definedName>
    <definedName name="con_08" localSheetId="7">#REF!</definedName>
    <definedName name="con_08" localSheetId="11">#REF!</definedName>
    <definedName name="con_08" localSheetId="9">#REF!</definedName>
    <definedName name="con_08" localSheetId="10">#REF!</definedName>
    <definedName name="con_08" localSheetId="13">#REF!</definedName>
    <definedName name="con_08" localSheetId="14">#REF!</definedName>
    <definedName name="con_08">#REF!</definedName>
    <definedName name="con_09" localSheetId="1">#REF!</definedName>
    <definedName name="con_09" localSheetId="2">#REF!</definedName>
    <definedName name="con_09" localSheetId="3">#REF!</definedName>
    <definedName name="con_09" localSheetId="5">#REF!</definedName>
    <definedName name="con_09" localSheetId="6">#REF!</definedName>
    <definedName name="con_09" localSheetId="7">#REF!</definedName>
    <definedName name="con_09" localSheetId="11">#REF!</definedName>
    <definedName name="con_09" localSheetId="9">#REF!</definedName>
    <definedName name="con_09" localSheetId="10">#REF!</definedName>
    <definedName name="con_09" localSheetId="13">#REF!</definedName>
    <definedName name="con_09" localSheetId="14">#REF!</definedName>
    <definedName name="con_09">#REF!</definedName>
    <definedName name="con_10" localSheetId="1">#REF!</definedName>
    <definedName name="con_10" localSheetId="2">#REF!</definedName>
    <definedName name="con_10" localSheetId="3">#REF!</definedName>
    <definedName name="con_10" localSheetId="5">#REF!</definedName>
    <definedName name="con_10" localSheetId="6">#REF!</definedName>
    <definedName name="con_10" localSheetId="7">#REF!</definedName>
    <definedName name="con_10" localSheetId="11">#REF!</definedName>
    <definedName name="con_10" localSheetId="9">#REF!</definedName>
    <definedName name="con_10" localSheetId="10">#REF!</definedName>
    <definedName name="con_10" localSheetId="13">#REF!</definedName>
    <definedName name="con_10" localSheetId="14">#REF!</definedName>
    <definedName name="con_10">#REF!</definedName>
    <definedName name="con_11" localSheetId="1">#REF!</definedName>
    <definedName name="con_11" localSheetId="2">#REF!</definedName>
    <definedName name="con_11" localSheetId="3">#REF!</definedName>
    <definedName name="con_11" localSheetId="5">#REF!</definedName>
    <definedName name="con_11" localSheetId="6">#REF!</definedName>
    <definedName name="con_11" localSheetId="7">#REF!</definedName>
    <definedName name="con_11" localSheetId="11">#REF!</definedName>
    <definedName name="con_11" localSheetId="9">#REF!</definedName>
    <definedName name="con_11" localSheetId="10">#REF!</definedName>
    <definedName name="con_11" localSheetId="13">#REF!</definedName>
    <definedName name="con_11" localSheetId="14">#REF!</definedName>
    <definedName name="con_11">#REF!</definedName>
    <definedName name="cons_12p" localSheetId="1">#REF!</definedName>
    <definedName name="cons_12p" localSheetId="2">#REF!</definedName>
    <definedName name="cons_12p" localSheetId="3">#REF!</definedName>
    <definedName name="cons_12p" localSheetId="5">#REF!</definedName>
    <definedName name="cons_12p" localSheetId="6">#REF!</definedName>
    <definedName name="cons_12p" localSheetId="7">#REF!</definedName>
    <definedName name="cons_12p" localSheetId="11">#REF!</definedName>
    <definedName name="cons_12p" localSheetId="9">#REF!</definedName>
    <definedName name="cons_12p" localSheetId="10">#REF!</definedName>
    <definedName name="cons_12p" localSheetId="13">#REF!</definedName>
    <definedName name="cons_12p" localSheetId="14">#REF!</definedName>
    <definedName name="cons_12p">#REF!</definedName>
    <definedName name="cons_2005" localSheetId="1">[13]VA_CONSTANT!$A$3:$Z$21</definedName>
    <definedName name="cons_2005" localSheetId="2">[13]VA_CONSTANT!$A$3:$Z$21</definedName>
    <definedName name="cons_2005">[14]VA_CONSTANT!$A$3:$Z$21</definedName>
    <definedName name="cons_2006" localSheetId="1">[13]VA_CONSTANT!$A$25:$Z$43</definedName>
    <definedName name="cons_2006" localSheetId="2">[13]VA_CONSTANT!$A$25:$Z$43</definedName>
    <definedName name="cons_2006">[14]VA_CONSTANT!$A$25:$Z$43</definedName>
    <definedName name="cons_2007" localSheetId="1">[13]VA_CONSTANT!$A$47:$Z$65</definedName>
    <definedName name="cons_2007" localSheetId="2">[13]VA_CONSTANT!$A$47:$Z$65</definedName>
    <definedName name="cons_2007">[14]VA_CONSTANT!$A$47:$Z$65</definedName>
    <definedName name="cons_2008" localSheetId="1">[13]VA_CONSTANT!$A$69:$Z$87</definedName>
    <definedName name="cons_2008" localSheetId="2">[13]VA_CONSTANT!$A$69:$Z$87</definedName>
    <definedName name="cons_2008">[14]VA_CONSTANT!$A$69:$Z$87</definedName>
    <definedName name="cons_2009" localSheetId="1">[13]VA_CONSTANT!$A$91:$Z$109</definedName>
    <definedName name="cons_2009" localSheetId="2">[13]VA_CONSTANT!$A$91:$Z$109</definedName>
    <definedName name="cons_2009">[14]VA_CONSTANT!$A$91:$Z$109</definedName>
    <definedName name="cons_2010" localSheetId="1">[13]VA_CONSTANT!$A$113:$Z$131</definedName>
    <definedName name="cons_2010" localSheetId="2">[13]VA_CONSTANT!$A$113:$Z$131</definedName>
    <definedName name="cons_2010">[14]VA_CONSTANT!$A$113:$Z$131</definedName>
    <definedName name="cons_2011" localSheetId="1">[13]VA_CONSTANT!$A$135:$Z$153</definedName>
    <definedName name="cons_2011" localSheetId="2">[13]VA_CONSTANT!$A$135:$Z$153</definedName>
    <definedName name="cons_2011">[14]VA_CONSTANT!$A$135:$Z$153</definedName>
    <definedName name="cons_2012" localSheetId="1">[13]VA_CONSTANT!$A$157:$Z$175</definedName>
    <definedName name="cons_2012" localSheetId="2">[13]VA_CONSTANT!$A$157:$Z$175</definedName>
    <definedName name="cons_2012">[14]VA_CONSTANT!$A$157:$Z$175</definedName>
    <definedName name="cons_2013" localSheetId="1">[13]VA_CONSTANT!$A$179:$Z$197</definedName>
    <definedName name="cons_2013" localSheetId="2">[13]VA_CONSTANT!$A$179:$Z$197</definedName>
    <definedName name="cons_2013">[14]VA_CONSTANT!$A$179:$Z$197</definedName>
    <definedName name="cons_2013p" localSheetId="1">#REF!</definedName>
    <definedName name="cons_2013p" localSheetId="2">#REF!</definedName>
    <definedName name="cons_2013p" localSheetId="3">#REF!</definedName>
    <definedName name="cons_2013p" localSheetId="5">#REF!</definedName>
    <definedName name="cons_2013p" localSheetId="6">#REF!</definedName>
    <definedName name="cons_2013p" localSheetId="7">#REF!</definedName>
    <definedName name="cons_2013p" localSheetId="11">#REF!</definedName>
    <definedName name="cons_2013p" localSheetId="9">#REF!</definedName>
    <definedName name="cons_2013p" localSheetId="10">#REF!</definedName>
    <definedName name="cons_2013p" localSheetId="13">#REF!</definedName>
    <definedName name="cons_2013p" localSheetId="14">#REF!</definedName>
    <definedName name="cons_2013p">#REF!</definedName>
    <definedName name="cons_2013po" localSheetId="1">#REF!</definedName>
    <definedName name="cons_2013po" localSheetId="2">#REF!</definedName>
    <definedName name="cons_2013po" localSheetId="3">#REF!</definedName>
    <definedName name="cons_2013po" localSheetId="5">#REF!</definedName>
    <definedName name="cons_2013po" localSheetId="6">#REF!</definedName>
    <definedName name="cons_2013po" localSheetId="7">#REF!</definedName>
    <definedName name="cons_2013po" localSheetId="11">#REF!</definedName>
    <definedName name="cons_2013po" localSheetId="9">#REF!</definedName>
    <definedName name="cons_2013po" localSheetId="10">#REF!</definedName>
    <definedName name="cons_2013po" localSheetId="13">#REF!</definedName>
    <definedName name="cons_2013po" localSheetId="14">#REF!</definedName>
    <definedName name="cons_2013po">#REF!</definedName>
    <definedName name="cons_data" localSheetId="1">[13]VA_CONSTANT!$A$1:$Z$197</definedName>
    <definedName name="cons_data" localSheetId="2">[13]VA_CONSTANT!$A$1:$Z$197</definedName>
    <definedName name="cons_data">[14]VA_CONSTANT!$A$1:$Z$197</definedName>
    <definedName name="cur_0" localSheetId="1">#REF!</definedName>
    <definedName name="cur_0" localSheetId="2">#REF!</definedName>
    <definedName name="cur_0" localSheetId="3">#REF!</definedName>
    <definedName name="cur_0" localSheetId="5">#REF!</definedName>
    <definedName name="cur_0" localSheetId="6">#REF!</definedName>
    <definedName name="cur_0" localSheetId="7">#REF!</definedName>
    <definedName name="cur_0" localSheetId="11">#REF!</definedName>
    <definedName name="cur_0" localSheetId="9">#REF!</definedName>
    <definedName name="cur_0" localSheetId="10">#REF!</definedName>
    <definedName name="cur_0" localSheetId="13">#REF!</definedName>
    <definedName name="cur_0" localSheetId="14">#REF!</definedName>
    <definedName name="cur_0">#REF!</definedName>
    <definedName name="cur_05" localSheetId="1">#REF!</definedName>
    <definedName name="cur_05" localSheetId="2">#REF!</definedName>
    <definedName name="cur_05" localSheetId="3">#REF!</definedName>
    <definedName name="cur_05" localSheetId="5">#REF!</definedName>
    <definedName name="cur_05" localSheetId="6">#REF!</definedName>
    <definedName name="cur_05" localSheetId="7">#REF!</definedName>
    <definedName name="cur_05" localSheetId="11">#REF!</definedName>
    <definedName name="cur_05" localSheetId="9">#REF!</definedName>
    <definedName name="cur_05" localSheetId="10">#REF!</definedName>
    <definedName name="cur_05" localSheetId="13">#REF!</definedName>
    <definedName name="cur_05" localSheetId="14">#REF!</definedName>
    <definedName name="cur_05">#REF!</definedName>
    <definedName name="cur_06" localSheetId="1">#REF!</definedName>
    <definedName name="cur_06" localSheetId="2">#REF!</definedName>
    <definedName name="cur_06" localSheetId="3">#REF!</definedName>
    <definedName name="cur_06" localSheetId="5">#REF!</definedName>
    <definedName name="cur_06" localSheetId="6">#REF!</definedName>
    <definedName name="cur_06" localSheetId="7">#REF!</definedName>
    <definedName name="cur_06" localSheetId="11">#REF!</definedName>
    <definedName name="cur_06" localSheetId="9">#REF!</definedName>
    <definedName name="cur_06" localSheetId="10">#REF!</definedName>
    <definedName name="cur_06" localSheetId="13">#REF!</definedName>
    <definedName name="cur_06" localSheetId="14">#REF!</definedName>
    <definedName name="cur_06">#REF!</definedName>
    <definedName name="cur_07" localSheetId="1">#REF!</definedName>
    <definedName name="cur_07" localSheetId="2">#REF!</definedName>
    <definedName name="cur_07" localSheetId="3">#REF!</definedName>
    <definedName name="cur_07" localSheetId="5">#REF!</definedName>
    <definedName name="cur_07" localSheetId="6">#REF!</definedName>
    <definedName name="cur_07" localSheetId="7">#REF!</definedName>
    <definedName name="cur_07" localSheetId="11">#REF!</definedName>
    <definedName name="cur_07" localSheetId="9">#REF!</definedName>
    <definedName name="cur_07" localSheetId="10">#REF!</definedName>
    <definedName name="cur_07" localSheetId="13">#REF!</definedName>
    <definedName name="cur_07" localSheetId="14">#REF!</definedName>
    <definedName name="cur_07">#REF!</definedName>
    <definedName name="cur_08" localSheetId="1">#REF!</definedName>
    <definedName name="cur_08" localSheetId="2">#REF!</definedName>
    <definedName name="cur_08" localSheetId="3">#REF!</definedName>
    <definedName name="cur_08" localSheetId="5">#REF!</definedName>
    <definedName name="cur_08" localSheetId="6">#REF!</definedName>
    <definedName name="cur_08" localSheetId="7">#REF!</definedName>
    <definedName name="cur_08" localSheetId="11">#REF!</definedName>
    <definedName name="cur_08" localSheetId="9">#REF!</definedName>
    <definedName name="cur_08" localSheetId="10">#REF!</definedName>
    <definedName name="cur_08" localSheetId="13">#REF!</definedName>
    <definedName name="cur_08" localSheetId="14">#REF!</definedName>
    <definedName name="cur_08">#REF!</definedName>
    <definedName name="cur_09" localSheetId="1">#REF!</definedName>
    <definedName name="cur_09" localSheetId="2">#REF!</definedName>
    <definedName name="cur_09" localSheetId="3">#REF!</definedName>
    <definedName name="cur_09" localSheetId="5">#REF!</definedName>
    <definedName name="cur_09" localSheetId="6">#REF!</definedName>
    <definedName name="cur_09" localSheetId="7">#REF!</definedName>
    <definedName name="cur_09" localSheetId="11">#REF!</definedName>
    <definedName name="cur_09" localSheetId="9">#REF!</definedName>
    <definedName name="cur_09" localSheetId="10">#REF!</definedName>
    <definedName name="cur_09" localSheetId="13">#REF!</definedName>
    <definedName name="cur_09" localSheetId="14">#REF!</definedName>
    <definedName name="cur_09">#REF!</definedName>
    <definedName name="cur_10" localSheetId="1">#REF!</definedName>
    <definedName name="cur_10" localSheetId="2">#REF!</definedName>
    <definedName name="cur_10" localSheetId="3">#REF!</definedName>
    <definedName name="cur_10" localSheetId="5">#REF!</definedName>
    <definedName name="cur_10" localSheetId="6">#REF!</definedName>
    <definedName name="cur_10" localSheetId="7">#REF!</definedName>
    <definedName name="cur_10" localSheetId="11">#REF!</definedName>
    <definedName name="cur_10" localSheetId="9">#REF!</definedName>
    <definedName name="cur_10" localSheetId="10">#REF!</definedName>
    <definedName name="cur_10" localSheetId="13">#REF!</definedName>
    <definedName name="cur_10" localSheetId="14">#REF!</definedName>
    <definedName name="cur_10">#REF!</definedName>
    <definedName name="cur_11" localSheetId="1">#REF!</definedName>
    <definedName name="cur_11" localSheetId="2">#REF!</definedName>
    <definedName name="cur_11" localSheetId="3">#REF!</definedName>
    <definedName name="cur_11" localSheetId="5">#REF!</definedName>
    <definedName name="cur_11" localSheetId="6">#REF!</definedName>
    <definedName name="cur_11" localSheetId="7">#REF!</definedName>
    <definedName name="cur_11" localSheetId="11">#REF!</definedName>
    <definedName name="cur_11" localSheetId="9">#REF!</definedName>
    <definedName name="cur_11" localSheetId="10">#REF!</definedName>
    <definedName name="cur_11" localSheetId="13">#REF!</definedName>
    <definedName name="cur_11" localSheetId="14">#REF!</definedName>
    <definedName name="cur_11">#REF!</definedName>
    <definedName name="cur_12p" localSheetId="1">#REF!</definedName>
    <definedName name="cur_12p" localSheetId="2">#REF!</definedName>
    <definedName name="cur_12p" localSheetId="3">#REF!</definedName>
    <definedName name="cur_12p" localSheetId="5">#REF!</definedName>
    <definedName name="cur_12p" localSheetId="6">#REF!</definedName>
    <definedName name="cur_12p" localSheetId="7">#REF!</definedName>
    <definedName name="cur_12p" localSheetId="11">#REF!</definedName>
    <definedName name="cur_12p" localSheetId="9">#REF!</definedName>
    <definedName name="cur_12p" localSheetId="10">#REF!</definedName>
    <definedName name="cur_12p" localSheetId="13">#REF!</definedName>
    <definedName name="cur_12p" localSheetId="14">#REF!</definedName>
    <definedName name="cur_12p">#REF!</definedName>
    <definedName name="cur_2013p" localSheetId="1">#REF!</definedName>
    <definedName name="cur_2013p" localSheetId="2">#REF!</definedName>
    <definedName name="cur_2013p" localSheetId="3">#REF!</definedName>
    <definedName name="cur_2013p" localSheetId="5">#REF!</definedName>
    <definedName name="cur_2013p" localSheetId="6">#REF!</definedName>
    <definedName name="cur_2013p" localSheetId="7">#REF!</definedName>
    <definedName name="cur_2013p" localSheetId="11">#REF!</definedName>
    <definedName name="cur_2013p" localSheetId="9">#REF!</definedName>
    <definedName name="cur_2013p" localSheetId="10">#REF!</definedName>
    <definedName name="cur_2013p" localSheetId="13">#REF!</definedName>
    <definedName name="cur_2013p" localSheetId="14">#REF!</definedName>
    <definedName name="cur_2013p">#REF!</definedName>
    <definedName name="cur_45" localSheetId="1">#REF!</definedName>
    <definedName name="cur_45" localSheetId="2">#REF!</definedName>
    <definedName name="cur_45" localSheetId="3">#REF!</definedName>
    <definedName name="cur_45" localSheetId="5">#REF!</definedName>
    <definedName name="cur_45" localSheetId="6">#REF!</definedName>
    <definedName name="cur_45" localSheetId="7">#REF!</definedName>
    <definedName name="cur_45" localSheetId="11">#REF!</definedName>
    <definedName name="cur_45" localSheetId="9">#REF!</definedName>
    <definedName name="cur_45" localSheetId="10">#REF!</definedName>
    <definedName name="cur_45" localSheetId="13">#REF!</definedName>
    <definedName name="cur_45" localSheetId="14">#REF!</definedName>
    <definedName name="cur_45">#REF!</definedName>
    <definedName name="cur_52369" localSheetId="1">#REF!</definedName>
    <definedName name="cur_52369" localSheetId="2">#REF!</definedName>
    <definedName name="cur_52369" localSheetId="3">#REF!</definedName>
    <definedName name="cur_52369" localSheetId="5">#REF!</definedName>
    <definedName name="cur_52369" localSheetId="6">#REF!</definedName>
    <definedName name="cur_52369" localSheetId="7">#REF!</definedName>
    <definedName name="cur_52369" localSheetId="11">#REF!</definedName>
    <definedName name="cur_52369" localSheetId="9">#REF!</definedName>
    <definedName name="cur_52369" localSheetId="10">#REF!</definedName>
    <definedName name="cur_52369" localSheetId="13">#REF!</definedName>
    <definedName name="cur_52369" localSheetId="14">#REF!</definedName>
    <definedName name="cur_52369">#REF!</definedName>
    <definedName name="cvxc" localSheetId="1" hidden="1">#REF!</definedName>
    <definedName name="cvxc" localSheetId="2" hidden="1">#REF!</definedName>
    <definedName name="cvxc" localSheetId="3" hidden="1">#REF!</definedName>
    <definedName name="cvxc" localSheetId="5" hidden="1">#REF!</definedName>
    <definedName name="cvxc" localSheetId="6" hidden="1">#REF!</definedName>
    <definedName name="cvxc" localSheetId="7" hidden="1">#REF!</definedName>
    <definedName name="cvxc" localSheetId="11" hidden="1">#REF!</definedName>
    <definedName name="cvxc" localSheetId="9" hidden="1">#REF!</definedName>
    <definedName name="cvxc" localSheetId="10" hidden="1">#REF!</definedName>
    <definedName name="cvxc" localSheetId="13" hidden="1">#REF!</definedName>
    <definedName name="cvxc" localSheetId="14" hidden="1">#REF!</definedName>
    <definedName name="cvxc" hidden="1">#REF!</definedName>
    <definedName name="cx" localSheetId="1">#REF!</definedName>
    <definedName name="cx" localSheetId="2">#REF!</definedName>
    <definedName name="cx" localSheetId="3">#REF!</definedName>
    <definedName name="cx" localSheetId="5">#REF!</definedName>
    <definedName name="cx" localSheetId="6">#REF!</definedName>
    <definedName name="cx" localSheetId="7">#REF!</definedName>
    <definedName name="cx" localSheetId="11">#REF!</definedName>
    <definedName name="cx" localSheetId="9">#REF!</definedName>
    <definedName name="cx" localSheetId="10">#REF!</definedName>
    <definedName name="cx" localSheetId="13">#REF!</definedName>
    <definedName name="cx" localSheetId="14">#REF!</definedName>
    <definedName name="cx">#REF!</definedName>
    <definedName name="d" localSheetId="1">#REF!</definedName>
    <definedName name="d" localSheetId="2">#REF!</definedName>
    <definedName name="d" localSheetId="3">#REF!</definedName>
    <definedName name="d" localSheetId="5">#REF!</definedName>
    <definedName name="d" localSheetId="6">#REF!</definedName>
    <definedName name="d" localSheetId="7">#REF!</definedName>
    <definedName name="d" localSheetId="11">#REF!</definedName>
    <definedName name="d" localSheetId="9">#REF!</definedName>
    <definedName name="d" localSheetId="10">#REF!</definedName>
    <definedName name="d" localSheetId="13">#REF!</definedName>
    <definedName name="d" localSheetId="14">#REF!</definedName>
    <definedName name="d">#REF!</definedName>
    <definedName name="dasdasd" localSheetId="1">#REF!</definedName>
    <definedName name="dasdasd" localSheetId="2">#REF!</definedName>
    <definedName name="dasdasd" localSheetId="3">#REF!</definedName>
    <definedName name="dasdasd" localSheetId="5">#REF!</definedName>
    <definedName name="dasdasd" localSheetId="6">#REF!</definedName>
    <definedName name="dasdasd" localSheetId="7">#REF!</definedName>
    <definedName name="dasdasd" localSheetId="11">#REF!</definedName>
    <definedName name="dasdasd" localSheetId="9">#REF!</definedName>
    <definedName name="dasdasd" localSheetId="10">#REF!</definedName>
    <definedName name="dasdasd" localSheetId="13">#REF!</definedName>
    <definedName name="dasdasd" localSheetId="14">#REF!</definedName>
    <definedName name="dasdasd">#REF!</definedName>
    <definedName name="dd" localSheetId="1" hidden="1">#REF!</definedName>
    <definedName name="dd" localSheetId="2" hidden="1">#REF!</definedName>
    <definedName name="dd" localSheetId="3" hidden="1">#REF!</definedName>
    <definedName name="dd" localSheetId="5" hidden="1">#REF!</definedName>
    <definedName name="dd" localSheetId="6" hidden="1">#REF!</definedName>
    <definedName name="dd" localSheetId="7" hidden="1">#REF!</definedName>
    <definedName name="dd" localSheetId="11" hidden="1">#REF!</definedName>
    <definedName name="dd" localSheetId="9" hidden="1">#REF!</definedName>
    <definedName name="dd" localSheetId="10" hidden="1">#REF!</definedName>
    <definedName name="dd" localSheetId="13" hidden="1">#REF!</definedName>
    <definedName name="dd" localSheetId="14" hidden="1">#REF!</definedName>
    <definedName name="dd" hidden="1">#REF!</definedName>
    <definedName name="ddd" localSheetId="1">#REF!</definedName>
    <definedName name="ddd" localSheetId="2">#REF!</definedName>
    <definedName name="ddd" localSheetId="3">#REF!</definedName>
    <definedName name="ddd" localSheetId="5">#REF!</definedName>
    <definedName name="ddd" localSheetId="6">#REF!</definedName>
    <definedName name="ddd" localSheetId="7">#REF!</definedName>
    <definedName name="ddd" localSheetId="11">#REF!</definedName>
    <definedName name="ddd" localSheetId="9">#REF!</definedName>
    <definedName name="ddd" localSheetId="10">#REF!</definedName>
    <definedName name="ddd" localSheetId="13">#REF!</definedName>
    <definedName name="ddd" localSheetId="14">#REF!</definedName>
    <definedName name="ddd">#REF!</definedName>
    <definedName name="dddfrt" localSheetId="1">#REF!</definedName>
    <definedName name="dddfrt" localSheetId="2">#REF!</definedName>
    <definedName name="dddfrt" localSheetId="3">#REF!</definedName>
    <definedName name="dddfrt" localSheetId="5">#REF!</definedName>
    <definedName name="dddfrt" localSheetId="6">#REF!</definedName>
    <definedName name="dddfrt" localSheetId="7">#REF!</definedName>
    <definedName name="dddfrt" localSheetId="11">#REF!</definedName>
    <definedName name="dddfrt" localSheetId="9">#REF!</definedName>
    <definedName name="dddfrt" localSheetId="10">#REF!</definedName>
    <definedName name="dddfrt" localSheetId="13">#REF!</definedName>
    <definedName name="dddfrt" localSheetId="14">#REF!</definedName>
    <definedName name="dddfrt">#REF!</definedName>
    <definedName name="ddds" localSheetId="1">#REF!</definedName>
    <definedName name="ddds" localSheetId="2">#REF!</definedName>
    <definedName name="ddds" localSheetId="3">#REF!</definedName>
    <definedName name="ddds" localSheetId="5">#REF!</definedName>
    <definedName name="ddds" localSheetId="6">#REF!</definedName>
    <definedName name="ddds" localSheetId="7">#REF!</definedName>
    <definedName name="ddds" localSheetId="11">#REF!</definedName>
    <definedName name="ddds" localSheetId="9">#REF!</definedName>
    <definedName name="ddds" localSheetId="10">#REF!</definedName>
    <definedName name="ddds" localSheetId="13">#REF!</definedName>
    <definedName name="ddds" localSheetId="14">#REF!</definedName>
    <definedName name="ddds">#REF!</definedName>
    <definedName name="dfcsz" localSheetId="1" hidden="1">'[7]4.9'!#REF!</definedName>
    <definedName name="dfcsz" localSheetId="2" hidden="1">'[7]4.9'!#REF!</definedName>
    <definedName name="dfcsz" localSheetId="3" hidden="1">'[8]4.9'!#REF!</definedName>
    <definedName name="dfcsz" localSheetId="5" hidden="1">'[8]4.9'!#REF!</definedName>
    <definedName name="dfcsz" localSheetId="6" hidden="1">'[8]4.9'!#REF!</definedName>
    <definedName name="dfcsz" localSheetId="7" hidden="1">'[8]4.9'!#REF!</definedName>
    <definedName name="dfcsz" localSheetId="11" hidden="1">'[8]4.9'!#REF!</definedName>
    <definedName name="dfcsz" localSheetId="9" hidden="1">'[8]4.9'!#REF!</definedName>
    <definedName name="dfcsz" localSheetId="10" hidden="1">'[8]4.9'!#REF!</definedName>
    <definedName name="dfcsz" localSheetId="13" hidden="1">'[8]4.9'!#REF!</definedName>
    <definedName name="dfcsz" localSheetId="14" hidden="1">'[8]4.9'!#REF!</definedName>
    <definedName name="dfcsz" hidden="1">'[8]4.9'!#REF!</definedName>
    <definedName name="dfd" localSheetId="1" hidden="1">'[7]4.9'!#REF!</definedName>
    <definedName name="dfd" localSheetId="2" hidden="1">'[7]4.9'!#REF!</definedName>
    <definedName name="dfd" localSheetId="3" hidden="1">'[8]4.9'!#REF!</definedName>
    <definedName name="dfd" localSheetId="5" hidden="1">'[8]4.9'!#REF!</definedName>
    <definedName name="dfd" localSheetId="6" hidden="1">'[8]4.9'!#REF!</definedName>
    <definedName name="dfd" localSheetId="7" hidden="1">'[8]4.9'!#REF!</definedName>
    <definedName name="dfd" localSheetId="11" hidden="1">'[8]4.9'!#REF!</definedName>
    <definedName name="dfd" localSheetId="9" hidden="1">'[8]4.9'!#REF!</definedName>
    <definedName name="dfd" localSheetId="10" hidden="1">'[8]4.9'!#REF!</definedName>
    <definedName name="dfd" localSheetId="13" hidden="1">'[8]4.9'!#REF!</definedName>
    <definedName name="dfd" localSheetId="14" hidden="1">'[8]4.9'!#REF!</definedName>
    <definedName name="dfd" hidden="1">'[8]4.9'!#REF!</definedName>
    <definedName name="dfdfvz" localSheetId="1">#REF!</definedName>
    <definedName name="dfdfvz" localSheetId="2">#REF!</definedName>
    <definedName name="dfdfvz" localSheetId="3">#REF!</definedName>
    <definedName name="dfdfvz" localSheetId="5">#REF!</definedName>
    <definedName name="dfdfvz" localSheetId="6">#REF!</definedName>
    <definedName name="dfdfvz" localSheetId="7">#REF!</definedName>
    <definedName name="dfdfvz" localSheetId="11">#REF!</definedName>
    <definedName name="dfdfvz" localSheetId="9">#REF!</definedName>
    <definedName name="dfdfvz" localSheetId="10">#REF!</definedName>
    <definedName name="dfdfvz" localSheetId="13">#REF!</definedName>
    <definedName name="dfdfvz" localSheetId="14">#REF!</definedName>
    <definedName name="dfdfvz">#REF!</definedName>
    <definedName name="dfdxv" localSheetId="1">#REF!</definedName>
    <definedName name="dfdxv" localSheetId="2">#REF!</definedName>
    <definedName name="dfdxv" localSheetId="3">#REF!</definedName>
    <definedName name="dfdxv" localSheetId="5">#REF!</definedName>
    <definedName name="dfdxv" localSheetId="6">#REF!</definedName>
    <definedName name="dfdxv" localSheetId="7">#REF!</definedName>
    <definedName name="dfdxv" localSheetId="11">#REF!</definedName>
    <definedName name="dfdxv" localSheetId="9">#REF!</definedName>
    <definedName name="dfdxv" localSheetId="10">#REF!</definedName>
    <definedName name="dfdxv" localSheetId="13">#REF!</definedName>
    <definedName name="dfdxv" localSheetId="14">#REF!</definedName>
    <definedName name="dfdxv">#REF!</definedName>
    <definedName name="dfg" localSheetId="1">#REF!</definedName>
    <definedName name="dfg" localSheetId="2">#REF!</definedName>
    <definedName name="dfg" localSheetId="3">#REF!</definedName>
    <definedName name="dfg" localSheetId="5">#REF!</definedName>
    <definedName name="dfg" localSheetId="6">#REF!</definedName>
    <definedName name="dfg" localSheetId="7">#REF!</definedName>
    <definedName name="dfg" localSheetId="11">#REF!</definedName>
    <definedName name="dfg" localSheetId="9">#REF!</definedName>
    <definedName name="dfg" localSheetId="10">#REF!</definedName>
    <definedName name="dfg" localSheetId="13">#REF!</definedName>
    <definedName name="dfg" localSheetId="14">#REF!</definedName>
    <definedName name="dfg">#REF!</definedName>
    <definedName name="dfhf" localSheetId="1">#REF!</definedName>
    <definedName name="dfhf" localSheetId="2">#REF!</definedName>
    <definedName name="dfhf" localSheetId="3">#REF!</definedName>
    <definedName name="dfhf" localSheetId="5">#REF!</definedName>
    <definedName name="dfhf" localSheetId="6">#REF!</definedName>
    <definedName name="dfhf" localSheetId="7">#REF!</definedName>
    <definedName name="dfhf" localSheetId="11">#REF!</definedName>
    <definedName name="dfhf" localSheetId="9">#REF!</definedName>
    <definedName name="dfhf" localSheetId="10">#REF!</definedName>
    <definedName name="dfhf" localSheetId="13">#REF!</definedName>
    <definedName name="dfhf" localSheetId="14">#REF!</definedName>
    <definedName name="dfhf">#REF!</definedName>
    <definedName name="dfs" localSheetId="1">#REF!</definedName>
    <definedName name="dfs" localSheetId="2">#REF!</definedName>
    <definedName name="dfs" localSheetId="3">#REF!</definedName>
    <definedName name="dfs" localSheetId="5">#REF!</definedName>
    <definedName name="dfs" localSheetId="6">#REF!</definedName>
    <definedName name="dfs" localSheetId="7">#REF!</definedName>
    <definedName name="dfs" localSheetId="11">#REF!</definedName>
    <definedName name="dfs" localSheetId="9">#REF!</definedName>
    <definedName name="dfs" localSheetId="10">#REF!</definedName>
    <definedName name="dfs" localSheetId="13">#REF!</definedName>
    <definedName name="dfs" localSheetId="14">#REF!</definedName>
    <definedName name="dfs">#REF!</definedName>
    <definedName name="dfsd" localSheetId="1" hidden="1">#REF!</definedName>
    <definedName name="dfsd" localSheetId="2" hidden="1">#REF!</definedName>
    <definedName name="dfsd" localSheetId="3" hidden="1">#REF!</definedName>
    <definedName name="dfsd" localSheetId="5" hidden="1">#REF!</definedName>
    <definedName name="dfsd" localSheetId="6" hidden="1">#REF!</definedName>
    <definedName name="dfsd" localSheetId="7" hidden="1">#REF!</definedName>
    <definedName name="dfsd" localSheetId="11" hidden="1">#REF!</definedName>
    <definedName name="dfsd" localSheetId="9" hidden="1">#REF!</definedName>
    <definedName name="dfsd" localSheetId="10" hidden="1">#REF!</definedName>
    <definedName name="dfsd" localSheetId="13" hidden="1">#REF!</definedName>
    <definedName name="dfsd" localSheetId="14" hidden="1">#REF!</definedName>
    <definedName name="dfsd" hidden="1">#REF!</definedName>
    <definedName name="dfvd" localSheetId="1" hidden="1">'[7]4.9'!#REF!</definedName>
    <definedName name="dfvd" localSheetId="2" hidden="1">'[7]4.9'!#REF!</definedName>
    <definedName name="dfvd" localSheetId="3" hidden="1">'[8]4.9'!#REF!</definedName>
    <definedName name="dfvd" localSheetId="5" hidden="1">'[8]4.9'!#REF!</definedName>
    <definedName name="dfvd" localSheetId="6" hidden="1">'[8]4.9'!#REF!</definedName>
    <definedName name="dfvd" localSheetId="7" hidden="1">'[8]4.9'!#REF!</definedName>
    <definedName name="dfvd" localSheetId="11" hidden="1">'[8]4.9'!#REF!</definedName>
    <definedName name="dfvd" localSheetId="9" hidden="1">'[8]4.9'!#REF!</definedName>
    <definedName name="dfvd" localSheetId="10" hidden="1">'[8]4.9'!#REF!</definedName>
    <definedName name="dfvd" localSheetId="13" hidden="1">'[8]4.9'!#REF!</definedName>
    <definedName name="dfvd" localSheetId="14" hidden="1">'[8]4.9'!#REF!</definedName>
    <definedName name="dfvd" hidden="1">'[8]4.9'!#REF!</definedName>
    <definedName name="ds" localSheetId="1" hidden="1">'[9]4.8'!#REF!</definedName>
    <definedName name="ds" localSheetId="2" hidden="1">'[9]4.8'!#REF!</definedName>
    <definedName name="ds" localSheetId="3" hidden="1">'[10]4.8'!#REF!</definedName>
    <definedName name="ds" localSheetId="5" hidden="1">'[10]4.8'!#REF!</definedName>
    <definedName name="ds" localSheetId="6" hidden="1">'[10]4.8'!#REF!</definedName>
    <definedName name="ds" localSheetId="7" hidden="1">'[10]4.8'!#REF!</definedName>
    <definedName name="ds" localSheetId="11" hidden="1">'[10]4.8'!#REF!</definedName>
    <definedName name="ds" localSheetId="9" hidden="1">'[10]4.8'!#REF!</definedName>
    <definedName name="ds" localSheetId="10" hidden="1">'[10]4.8'!#REF!</definedName>
    <definedName name="ds" localSheetId="13" hidden="1">'[10]4.8'!#REF!</definedName>
    <definedName name="ds" localSheetId="14" hidden="1">'[10]4.8'!#REF!</definedName>
    <definedName name="ds" hidden="1">'[10]4.8'!#REF!</definedName>
    <definedName name="dvcx" localSheetId="1">#REF!</definedName>
    <definedName name="dvcx" localSheetId="2">#REF!</definedName>
    <definedName name="dvcx" localSheetId="3">#REF!</definedName>
    <definedName name="dvcx" localSheetId="5">#REF!</definedName>
    <definedName name="dvcx" localSheetId="6">#REF!</definedName>
    <definedName name="dvcx" localSheetId="7">#REF!</definedName>
    <definedName name="dvcx" localSheetId="11">#REF!</definedName>
    <definedName name="dvcx" localSheetId="9">#REF!</definedName>
    <definedName name="dvcx" localSheetId="10">#REF!</definedName>
    <definedName name="dvcx" localSheetId="13">#REF!</definedName>
    <definedName name="dvcx" localSheetId="14">#REF!</definedName>
    <definedName name="dvcx">#REF!</definedName>
    <definedName name="dvvc" localSheetId="1">#REF!</definedName>
    <definedName name="dvvc" localSheetId="2">#REF!</definedName>
    <definedName name="dvvc" localSheetId="3">#REF!</definedName>
    <definedName name="dvvc" localSheetId="5">#REF!</definedName>
    <definedName name="dvvc" localSheetId="6">#REF!</definedName>
    <definedName name="dvvc" localSheetId="7">#REF!</definedName>
    <definedName name="dvvc" localSheetId="11">#REF!</definedName>
    <definedName name="dvvc" localSheetId="9">#REF!</definedName>
    <definedName name="dvvc" localSheetId="10">#REF!</definedName>
    <definedName name="dvvc" localSheetId="13">#REF!</definedName>
    <definedName name="dvvc" localSheetId="14">#REF!</definedName>
    <definedName name="dvvc">#REF!</definedName>
    <definedName name="dxcx" localSheetId="1">#REF!</definedName>
    <definedName name="dxcx" localSheetId="2">#REF!</definedName>
    <definedName name="dxcx" localSheetId="3">#REF!</definedName>
    <definedName name="dxcx" localSheetId="5">#REF!</definedName>
    <definedName name="dxcx" localSheetId="6">#REF!</definedName>
    <definedName name="dxcx" localSheetId="7">#REF!</definedName>
    <definedName name="dxcx" localSheetId="11">#REF!</definedName>
    <definedName name="dxcx" localSheetId="9">#REF!</definedName>
    <definedName name="dxcx" localSheetId="10">#REF!</definedName>
    <definedName name="dxcx" localSheetId="13">#REF!</definedName>
    <definedName name="dxcx" localSheetId="14">#REF!</definedName>
    <definedName name="dxcx">#REF!</definedName>
    <definedName name="e" localSheetId="1">#REF!</definedName>
    <definedName name="e" localSheetId="2">#REF!</definedName>
    <definedName name="e" localSheetId="3">#REF!</definedName>
    <definedName name="e" localSheetId="5">#REF!</definedName>
    <definedName name="e" localSheetId="6">#REF!</definedName>
    <definedName name="e" localSheetId="7">#REF!</definedName>
    <definedName name="e" localSheetId="11">#REF!</definedName>
    <definedName name="e" localSheetId="9">#REF!</definedName>
    <definedName name="e" localSheetId="10">#REF!</definedName>
    <definedName name="e" localSheetId="13">#REF!</definedName>
    <definedName name="e" localSheetId="14">#REF!</definedName>
    <definedName name="e">#REF!</definedName>
    <definedName name="EST" localSheetId="1" hidden="1">'[7]4.9'!#REF!</definedName>
    <definedName name="EST" localSheetId="2" hidden="1">'[7]4.9'!#REF!</definedName>
    <definedName name="EST" localSheetId="3" hidden="1">'[8]4.9'!#REF!</definedName>
    <definedName name="EST" localSheetId="5" hidden="1">'[8]4.9'!#REF!</definedName>
    <definedName name="EST" localSheetId="6" hidden="1">'[8]4.9'!#REF!</definedName>
    <definedName name="EST" localSheetId="7" hidden="1">'[8]4.9'!#REF!</definedName>
    <definedName name="EST" localSheetId="11" hidden="1">'[8]4.9'!#REF!</definedName>
    <definedName name="EST" localSheetId="9" hidden="1">'[8]4.9'!#REF!</definedName>
    <definedName name="EST" localSheetId="10" hidden="1">'[8]4.9'!#REF!</definedName>
    <definedName name="EST" localSheetId="13" hidden="1">'[8]4.9'!#REF!</definedName>
    <definedName name="EST" localSheetId="14" hidden="1">'[8]4.9'!#REF!</definedName>
    <definedName name="EST" hidden="1">'[8]4.9'!#REF!</definedName>
    <definedName name="f" localSheetId="1">#REF!</definedName>
    <definedName name="f" localSheetId="2">#REF!</definedName>
    <definedName name="f" localSheetId="3">#REF!</definedName>
    <definedName name="f" localSheetId="5">#REF!</definedName>
    <definedName name="f" localSheetId="6">#REF!</definedName>
    <definedName name="f" localSheetId="7">#REF!</definedName>
    <definedName name="f" localSheetId="11">#REF!</definedName>
    <definedName name="f" localSheetId="9">#REF!</definedName>
    <definedName name="f" localSheetId="10">#REF!</definedName>
    <definedName name="f" localSheetId="13">#REF!</definedName>
    <definedName name="f" localSheetId="14">#REF!</definedName>
    <definedName name="f">#REF!</definedName>
    <definedName name="fbxd" localSheetId="1">#REF!</definedName>
    <definedName name="fbxd" localSheetId="2">#REF!</definedName>
    <definedName name="fbxd" localSheetId="3">#REF!</definedName>
    <definedName name="fbxd" localSheetId="5">#REF!</definedName>
    <definedName name="fbxd" localSheetId="6">#REF!</definedName>
    <definedName name="fbxd" localSheetId="7">#REF!</definedName>
    <definedName name="fbxd" localSheetId="11">#REF!</definedName>
    <definedName name="fbxd" localSheetId="9">#REF!</definedName>
    <definedName name="fbxd" localSheetId="10">#REF!</definedName>
    <definedName name="fbxd" localSheetId="13">#REF!</definedName>
    <definedName name="fbxd" localSheetId="14">#REF!</definedName>
    <definedName name="fbxd">#REF!</definedName>
    <definedName name="fdf" localSheetId="1">#REF!</definedName>
    <definedName name="fdf" localSheetId="2">#REF!</definedName>
    <definedName name="fdf" localSheetId="3">#REF!</definedName>
    <definedName name="fdf" localSheetId="5">#REF!</definedName>
    <definedName name="fdf" localSheetId="6">#REF!</definedName>
    <definedName name="fdf" localSheetId="7">#REF!</definedName>
    <definedName name="fdf" localSheetId="11">#REF!</definedName>
    <definedName name="fdf" localSheetId="9">#REF!</definedName>
    <definedName name="fdf" localSheetId="10">#REF!</definedName>
    <definedName name="fdf" localSheetId="13">#REF!</definedName>
    <definedName name="fdf" localSheetId="14">#REF!</definedName>
    <definedName name="fdf">#REF!</definedName>
    <definedName name="fdfa" localSheetId="1">#REF!</definedName>
    <definedName name="fdfa" localSheetId="2">#REF!</definedName>
    <definedName name="fdfa" localSheetId="3">#REF!</definedName>
    <definedName name="fdfa" localSheetId="5">#REF!</definedName>
    <definedName name="fdfa" localSheetId="6">#REF!</definedName>
    <definedName name="fdfa" localSheetId="7">#REF!</definedName>
    <definedName name="fdfa" localSheetId="11">#REF!</definedName>
    <definedName name="fdfa" localSheetId="9">#REF!</definedName>
    <definedName name="fdfa" localSheetId="10">#REF!</definedName>
    <definedName name="fdfa" localSheetId="13">#REF!</definedName>
    <definedName name="fdfa" localSheetId="14">#REF!</definedName>
    <definedName name="fdfa">#REF!</definedName>
    <definedName name="fdgdf" localSheetId="1">#REF!</definedName>
    <definedName name="fdgdf" localSheetId="2">#REF!</definedName>
    <definedName name="fdgdf" localSheetId="3">#REF!</definedName>
    <definedName name="fdgdf" localSheetId="5">#REF!</definedName>
    <definedName name="fdgdf" localSheetId="6">#REF!</definedName>
    <definedName name="fdgdf" localSheetId="7">#REF!</definedName>
    <definedName name="fdgdf" localSheetId="11">#REF!</definedName>
    <definedName name="fdgdf" localSheetId="9">#REF!</definedName>
    <definedName name="fdgdf" localSheetId="10">#REF!</definedName>
    <definedName name="fdgdf" localSheetId="13">#REF!</definedName>
    <definedName name="fdgdf" localSheetId="14">#REF!</definedName>
    <definedName name="fdgdf">#REF!</definedName>
    <definedName name="fdgf" localSheetId="1">#REF!</definedName>
    <definedName name="fdgf" localSheetId="2">#REF!</definedName>
    <definedName name="fdgf" localSheetId="3">#REF!</definedName>
    <definedName name="fdgf" localSheetId="5">#REF!</definedName>
    <definedName name="fdgf" localSheetId="6">#REF!</definedName>
    <definedName name="fdgf" localSheetId="7">#REF!</definedName>
    <definedName name="fdgf" localSheetId="11">#REF!</definedName>
    <definedName name="fdgf" localSheetId="9">#REF!</definedName>
    <definedName name="fdgf" localSheetId="10">#REF!</definedName>
    <definedName name="fdgf" localSheetId="13">#REF!</definedName>
    <definedName name="fdgf" localSheetId="14">#REF!</definedName>
    <definedName name="fdgf">#REF!</definedName>
    <definedName name="ff" localSheetId="1">#REF!</definedName>
    <definedName name="ff" localSheetId="2">#REF!</definedName>
    <definedName name="ff" localSheetId="3">#REF!</definedName>
    <definedName name="ff" localSheetId="5">#REF!</definedName>
    <definedName name="ff" localSheetId="6">#REF!</definedName>
    <definedName name="ff" localSheetId="7">#REF!</definedName>
    <definedName name="ff" localSheetId="11">#REF!</definedName>
    <definedName name="ff" localSheetId="9">#REF!</definedName>
    <definedName name="ff" localSheetId="10">#REF!</definedName>
    <definedName name="ff" localSheetId="13">#REF!</definedName>
    <definedName name="ff" localSheetId="14">#REF!</definedName>
    <definedName name="ff">#REF!</definedName>
    <definedName name="fffh" localSheetId="1">#REF!</definedName>
    <definedName name="fffh" localSheetId="2">#REF!</definedName>
    <definedName name="fffh" localSheetId="3">#REF!</definedName>
    <definedName name="fffh" localSheetId="5">#REF!</definedName>
    <definedName name="fffh" localSheetId="6">#REF!</definedName>
    <definedName name="fffh" localSheetId="7">#REF!</definedName>
    <definedName name="fffh" localSheetId="11">#REF!</definedName>
    <definedName name="fffh" localSheetId="9">#REF!</definedName>
    <definedName name="fffh" localSheetId="10">#REF!</definedName>
    <definedName name="fffh" localSheetId="13">#REF!</definedName>
    <definedName name="fffh" localSheetId="14">#REF!</definedName>
    <definedName name="fffh">#REF!</definedName>
    <definedName name="fffrt" localSheetId="1">#REF!</definedName>
    <definedName name="fffrt" localSheetId="2">#REF!</definedName>
    <definedName name="fffrt" localSheetId="3">#REF!</definedName>
    <definedName name="fffrt" localSheetId="5">#REF!</definedName>
    <definedName name="fffrt" localSheetId="6">#REF!</definedName>
    <definedName name="fffrt" localSheetId="7">#REF!</definedName>
    <definedName name="fffrt" localSheetId="11">#REF!</definedName>
    <definedName name="fffrt" localSheetId="9">#REF!</definedName>
    <definedName name="fffrt" localSheetId="10">#REF!</definedName>
    <definedName name="fffrt" localSheetId="13">#REF!</definedName>
    <definedName name="fffrt" localSheetId="14">#REF!</definedName>
    <definedName name="fffrt">#REF!</definedName>
    <definedName name="ffft" localSheetId="1">#REF!</definedName>
    <definedName name="ffft" localSheetId="2">#REF!</definedName>
    <definedName name="ffft" localSheetId="3">#REF!</definedName>
    <definedName name="ffft" localSheetId="5">#REF!</definedName>
    <definedName name="ffft" localSheetId="6">#REF!</definedName>
    <definedName name="ffft" localSheetId="7">#REF!</definedName>
    <definedName name="ffft" localSheetId="11">#REF!</definedName>
    <definedName name="ffft" localSheetId="9">#REF!</definedName>
    <definedName name="ffft" localSheetId="10">#REF!</definedName>
    <definedName name="ffft" localSheetId="13">#REF!</definedName>
    <definedName name="ffft" localSheetId="14">#REF!</definedName>
    <definedName name="ffft">#REF!</definedName>
    <definedName name="fgd" localSheetId="1">#REF!</definedName>
    <definedName name="fgd" localSheetId="2">#REF!</definedName>
    <definedName name="fgd" localSheetId="3">#REF!</definedName>
    <definedName name="fgd" localSheetId="5">#REF!</definedName>
    <definedName name="fgd" localSheetId="6">#REF!</definedName>
    <definedName name="fgd" localSheetId="7">#REF!</definedName>
    <definedName name="fgd" localSheetId="11">#REF!</definedName>
    <definedName name="fgd" localSheetId="9">#REF!</definedName>
    <definedName name="fgd" localSheetId="10">#REF!</definedName>
    <definedName name="fgd" localSheetId="13">#REF!</definedName>
    <definedName name="fgd" localSheetId="14">#REF!</definedName>
    <definedName name="fgd">#REF!</definedName>
    <definedName name="fgdf" localSheetId="1">#REF!</definedName>
    <definedName name="fgdf" localSheetId="2">#REF!</definedName>
    <definedName name="fgdf" localSheetId="3">#REF!</definedName>
    <definedName name="fgdf" localSheetId="5">#REF!</definedName>
    <definedName name="fgdf" localSheetId="6">#REF!</definedName>
    <definedName name="fgdf" localSheetId="7">#REF!</definedName>
    <definedName name="fgdf" localSheetId="11">#REF!</definedName>
    <definedName name="fgdf" localSheetId="9">#REF!</definedName>
    <definedName name="fgdf" localSheetId="10">#REF!</definedName>
    <definedName name="fgdf" localSheetId="13">#REF!</definedName>
    <definedName name="fgdf" localSheetId="14">#REF!</definedName>
    <definedName name="fgdf">#REF!</definedName>
    <definedName name="fgfg" localSheetId="1">#REF!</definedName>
    <definedName name="fgfg" localSheetId="2">#REF!</definedName>
    <definedName name="fgfg" localSheetId="3">#REF!</definedName>
    <definedName name="fgfg" localSheetId="5">#REF!</definedName>
    <definedName name="fgfg" localSheetId="6">#REF!</definedName>
    <definedName name="fgfg" localSheetId="7">#REF!</definedName>
    <definedName name="fgfg" localSheetId="11">#REF!</definedName>
    <definedName name="fgfg" localSheetId="9">#REF!</definedName>
    <definedName name="fgfg" localSheetId="10">#REF!</definedName>
    <definedName name="fgfg" localSheetId="13">#REF!</definedName>
    <definedName name="fgfg" localSheetId="14">#REF!</definedName>
    <definedName name="fgfg">#REF!</definedName>
    <definedName name="fghf" localSheetId="1">#REF!</definedName>
    <definedName name="fghf" localSheetId="2">#REF!</definedName>
    <definedName name="fghf" localSheetId="3">#REF!</definedName>
    <definedName name="fghf" localSheetId="5">#REF!</definedName>
    <definedName name="fghf" localSheetId="6">#REF!</definedName>
    <definedName name="fghf" localSheetId="7">#REF!</definedName>
    <definedName name="fghf" localSheetId="11">#REF!</definedName>
    <definedName name="fghf" localSheetId="9">#REF!</definedName>
    <definedName name="fghf" localSheetId="10">#REF!</definedName>
    <definedName name="fghf" localSheetId="13">#REF!</definedName>
    <definedName name="fghf" localSheetId="14">#REF!</definedName>
    <definedName name="fghf">#REF!</definedName>
    <definedName name="fghfg" localSheetId="1">#REF!</definedName>
    <definedName name="fghfg" localSheetId="2">#REF!</definedName>
    <definedName name="fghfg" localSheetId="3">#REF!</definedName>
    <definedName name="fghfg" localSheetId="5">#REF!</definedName>
    <definedName name="fghfg" localSheetId="6">#REF!</definedName>
    <definedName name="fghfg" localSheetId="7">#REF!</definedName>
    <definedName name="fghfg" localSheetId="11">#REF!</definedName>
    <definedName name="fghfg" localSheetId="9">#REF!</definedName>
    <definedName name="fghfg" localSheetId="10">#REF!</definedName>
    <definedName name="fghfg" localSheetId="13">#REF!</definedName>
    <definedName name="fghfg" localSheetId="14">#REF!</definedName>
    <definedName name="fghfg">#REF!</definedName>
    <definedName name="fret" localSheetId="1">#REF!</definedName>
    <definedName name="fret" localSheetId="2">#REF!</definedName>
    <definedName name="fret" localSheetId="3">#REF!</definedName>
    <definedName name="fret" localSheetId="5">#REF!</definedName>
    <definedName name="fret" localSheetId="6">#REF!</definedName>
    <definedName name="fret" localSheetId="7">#REF!</definedName>
    <definedName name="fret" localSheetId="11">#REF!</definedName>
    <definedName name="fret" localSheetId="9">#REF!</definedName>
    <definedName name="fret" localSheetId="10">#REF!</definedName>
    <definedName name="fret" localSheetId="13">#REF!</definedName>
    <definedName name="fret" localSheetId="14">#REF!</definedName>
    <definedName name="fret">#REF!</definedName>
    <definedName name="fsd" localSheetId="1">#REF!</definedName>
    <definedName name="fsd" localSheetId="2">#REF!</definedName>
    <definedName name="fsd" localSheetId="3">#REF!</definedName>
    <definedName name="fsd" localSheetId="5">#REF!</definedName>
    <definedName name="fsd" localSheetId="6">#REF!</definedName>
    <definedName name="fsd" localSheetId="7">#REF!</definedName>
    <definedName name="fsd" localSheetId="11">#REF!</definedName>
    <definedName name="fsd" localSheetId="9">#REF!</definedName>
    <definedName name="fsd" localSheetId="10">#REF!</definedName>
    <definedName name="fsd" localSheetId="13">#REF!</definedName>
    <definedName name="fsd" localSheetId="14">#REF!</definedName>
    <definedName name="fsd">#REF!</definedName>
    <definedName name="g" localSheetId="1">#REF!</definedName>
    <definedName name="g" localSheetId="2">#REF!</definedName>
    <definedName name="g" localSheetId="3">#REF!</definedName>
    <definedName name="g" localSheetId="5">#REF!</definedName>
    <definedName name="g" localSheetId="6">#REF!</definedName>
    <definedName name="g" localSheetId="7">#REF!</definedName>
    <definedName name="g" localSheetId="11">#REF!</definedName>
    <definedName name="g" localSheetId="9">#REF!</definedName>
    <definedName name="g" localSheetId="10">#REF!</definedName>
    <definedName name="g" localSheetId="13">#REF!</definedName>
    <definedName name="g" localSheetId="14">#REF!</definedName>
    <definedName name="g">#REF!</definedName>
    <definedName name="gdfg" localSheetId="1">#REF!</definedName>
    <definedName name="gdfg" localSheetId="2">#REF!</definedName>
    <definedName name="gdfg" localSheetId="3">#REF!</definedName>
    <definedName name="gdfg" localSheetId="5">#REF!</definedName>
    <definedName name="gdfg" localSheetId="6">#REF!</definedName>
    <definedName name="gdfg" localSheetId="7">#REF!</definedName>
    <definedName name="gdfg" localSheetId="11">#REF!</definedName>
    <definedName name="gdfg" localSheetId="9">#REF!</definedName>
    <definedName name="gdfg" localSheetId="10">#REF!</definedName>
    <definedName name="gdfg" localSheetId="13">#REF!</definedName>
    <definedName name="gdfg" localSheetId="14">#REF!</definedName>
    <definedName name="gdfg">#REF!</definedName>
    <definedName name="gdgdh" localSheetId="1">#REF!</definedName>
    <definedName name="gdgdh" localSheetId="2">#REF!</definedName>
    <definedName name="gdgdh" localSheetId="3">#REF!</definedName>
    <definedName name="gdgdh" localSheetId="5">#REF!</definedName>
    <definedName name="gdgdh" localSheetId="6">#REF!</definedName>
    <definedName name="gdgdh" localSheetId="7">#REF!</definedName>
    <definedName name="gdgdh" localSheetId="11">#REF!</definedName>
    <definedName name="gdgdh" localSheetId="9">#REF!</definedName>
    <definedName name="gdgdh" localSheetId="10">#REF!</definedName>
    <definedName name="gdgdh" localSheetId="13">#REF!</definedName>
    <definedName name="gdgdh" localSheetId="14">#REF!</definedName>
    <definedName name="gdgdh">#REF!</definedName>
    <definedName name="gfdgf" localSheetId="1">#REF!</definedName>
    <definedName name="gfdgf" localSheetId="2">#REF!</definedName>
    <definedName name="gfdgf" localSheetId="3">#REF!</definedName>
    <definedName name="gfdgf" localSheetId="5">#REF!</definedName>
    <definedName name="gfdgf" localSheetId="6">#REF!</definedName>
    <definedName name="gfdgf" localSheetId="7">#REF!</definedName>
    <definedName name="gfdgf" localSheetId="11">#REF!</definedName>
    <definedName name="gfdgf" localSheetId="9">#REF!</definedName>
    <definedName name="gfdgf" localSheetId="10">#REF!</definedName>
    <definedName name="gfdgf" localSheetId="13">#REF!</definedName>
    <definedName name="gfdgf" localSheetId="14">#REF!</definedName>
    <definedName name="gfdgf">#REF!</definedName>
    <definedName name="gfgdt" localSheetId="1">#REF!</definedName>
    <definedName name="gfgdt" localSheetId="2">#REF!</definedName>
    <definedName name="gfgdt" localSheetId="3">#REF!</definedName>
    <definedName name="gfgdt" localSheetId="5">#REF!</definedName>
    <definedName name="gfgdt" localSheetId="6">#REF!</definedName>
    <definedName name="gfgdt" localSheetId="7">#REF!</definedName>
    <definedName name="gfgdt" localSheetId="11">#REF!</definedName>
    <definedName name="gfgdt" localSheetId="9">#REF!</definedName>
    <definedName name="gfgdt" localSheetId="10">#REF!</definedName>
    <definedName name="gfgdt" localSheetId="13">#REF!</definedName>
    <definedName name="gfgdt" localSheetId="14">#REF!</definedName>
    <definedName name="gfgdt">#REF!</definedName>
    <definedName name="gfhf" localSheetId="1">#REF!</definedName>
    <definedName name="gfhf" localSheetId="2">#REF!</definedName>
    <definedName name="gfhf" localSheetId="3">#REF!</definedName>
    <definedName name="gfhf" localSheetId="5">#REF!</definedName>
    <definedName name="gfhf" localSheetId="6">#REF!</definedName>
    <definedName name="gfhf" localSheetId="7">#REF!</definedName>
    <definedName name="gfhf" localSheetId="11">#REF!</definedName>
    <definedName name="gfhf" localSheetId="9">#REF!</definedName>
    <definedName name="gfhf" localSheetId="10">#REF!</definedName>
    <definedName name="gfhf" localSheetId="13">#REF!</definedName>
    <definedName name="gfhf" localSheetId="14">#REF!</definedName>
    <definedName name="gfhf">#REF!</definedName>
    <definedName name="gfhfg" localSheetId="1">#REF!</definedName>
    <definedName name="gfhfg" localSheetId="2">#REF!</definedName>
    <definedName name="gfhfg" localSheetId="3">#REF!</definedName>
    <definedName name="gfhfg" localSheetId="5">#REF!</definedName>
    <definedName name="gfhfg" localSheetId="6">#REF!</definedName>
    <definedName name="gfhfg" localSheetId="7">#REF!</definedName>
    <definedName name="gfhfg" localSheetId="11">#REF!</definedName>
    <definedName name="gfhfg" localSheetId="9">#REF!</definedName>
    <definedName name="gfhfg" localSheetId="10">#REF!</definedName>
    <definedName name="gfhfg" localSheetId="13">#REF!</definedName>
    <definedName name="gfhfg" localSheetId="14">#REF!</definedName>
    <definedName name="gfhfg">#REF!</definedName>
    <definedName name="ggdf" localSheetId="1" hidden="1">'[15]4.8'!#REF!</definedName>
    <definedName name="ggdf" localSheetId="2" hidden="1">'[15]4.8'!#REF!</definedName>
    <definedName name="ggdf" localSheetId="3" hidden="1">'[16]4.8'!#REF!</definedName>
    <definedName name="ggdf" localSheetId="5" hidden="1">'[16]4.8'!#REF!</definedName>
    <definedName name="ggdf" localSheetId="6" hidden="1">'[16]4.8'!#REF!</definedName>
    <definedName name="ggdf" localSheetId="7" hidden="1">'[16]4.8'!#REF!</definedName>
    <definedName name="ggdf" localSheetId="11" hidden="1">'[16]4.8'!#REF!</definedName>
    <definedName name="ggdf" localSheetId="9" hidden="1">'[16]4.8'!#REF!</definedName>
    <definedName name="ggdf" localSheetId="10" hidden="1">'[16]4.8'!#REF!</definedName>
    <definedName name="ggdf" localSheetId="13" hidden="1">'[16]4.8'!#REF!</definedName>
    <definedName name="ggdf" localSheetId="14" hidden="1">'[16]4.8'!#REF!</definedName>
    <definedName name="ggdf" hidden="1">'[16]4.8'!#REF!</definedName>
    <definedName name="gggdt" localSheetId="1">#REF!</definedName>
    <definedName name="gggdt" localSheetId="2">#REF!</definedName>
    <definedName name="gggdt" localSheetId="3">#REF!</definedName>
    <definedName name="gggdt" localSheetId="5">#REF!</definedName>
    <definedName name="gggdt" localSheetId="6">#REF!</definedName>
    <definedName name="gggdt" localSheetId="7">#REF!</definedName>
    <definedName name="gggdt" localSheetId="11">#REF!</definedName>
    <definedName name="gggdt" localSheetId="9">#REF!</definedName>
    <definedName name="gggdt" localSheetId="10">#REF!</definedName>
    <definedName name="gggdt" localSheetId="13">#REF!</definedName>
    <definedName name="gggdt" localSheetId="14">#REF!</definedName>
    <definedName name="gggdt">#REF!</definedName>
    <definedName name="gggghn" localSheetId="1">#REF!</definedName>
    <definedName name="gggghn" localSheetId="2">#REF!</definedName>
    <definedName name="gggghn" localSheetId="3">#REF!</definedName>
    <definedName name="gggghn" localSheetId="5">#REF!</definedName>
    <definedName name="gggghn" localSheetId="6">#REF!</definedName>
    <definedName name="gggghn" localSheetId="7">#REF!</definedName>
    <definedName name="gggghn" localSheetId="11">#REF!</definedName>
    <definedName name="gggghn" localSheetId="9">#REF!</definedName>
    <definedName name="gggghn" localSheetId="10">#REF!</definedName>
    <definedName name="gggghn" localSheetId="13">#REF!</definedName>
    <definedName name="gggghn" localSheetId="14">#REF!</definedName>
    <definedName name="gggghn">#REF!</definedName>
    <definedName name="ggggt" localSheetId="1">#REF!</definedName>
    <definedName name="ggggt" localSheetId="2">#REF!</definedName>
    <definedName name="ggggt" localSheetId="3">#REF!</definedName>
    <definedName name="ggggt" localSheetId="5">#REF!</definedName>
    <definedName name="ggggt" localSheetId="6">#REF!</definedName>
    <definedName name="ggggt" localSheetId="7">#REF!</definedName>
    <definedName name="ggggt" localSheetId="11">#REF!</definedName>
    <definedName name="ggggt" localSheetId="9">#REF!</definedName>
    <definedName name="ggggt" localSheetId="10">#REF!</definedName>
    <definedName name="ggggt" localSheetId="13">#REF!</definedName>
    <definedName name="ggggt" localSheetId="14">#REF!</definedName>
    <definedName name="ggggt">#REF!</definedName>
    <definedName name="gggt" localSheetId="1">#REF!</definedName>
    <definedName name="gggt" localSheetId="2">#REF!</definedName>
    <definedName name="gggt" localSheetId="3">#REF!</definedName>
    <definedName name="gggt" localSheetId="5">#REF!</definedName>
    <definedName name="gggt" localSheetId="6">#REF!</definedName>
    <definedName name="gggt" localSheetId="7">#REF!</definedName>
    <definedName name="gggt" localSheetId="11">#REF!</definedName>
    <definedName name="gggt" localSheetId="9">#REF!</definedName>
    <definedName name="gggt" localSheetId="10">#REF!</definedName>
    <definedName name="gggt" localSheetId="13">#REF!</definedName>
    <definedName name="gggt" localSheetId="14">#REF!</definedName>
    <definedName name="gggt">#REF!</definedName>
    <definedName name="ghfjk" localSheetId="1">#REF!</definedName>
    <definedName name="ghfjk" localSheetId="2">#REF!</definedName>
    <definedName name="ghfjk" localSheetId="3">#REF!</definedName>
    <definedName name="ghfjk" localSheetId="5">#REF!</definedName>
    <definedName name="ghfjk" localSheetId="6">#REF!</definedName>
    <definedName name="ghfjk" localSheetId="7">#REF!</definedName>
    <definedName name="ghfjk" localSheetId="11">#REF!</definedName>
    <definedName name="ghfjk" localSheetId="9">#REF!</definedName>
    <definedName name="ghfjk" localSheetId="10">#REF!</definedName>
    <definedName name="ghfjk" localSheetId="13">#REF!</definedName>
    <definedName name="ghfjk" localSheetId="14">#REF!</definedName>
    <definedName name="ghfjk">#REF!</definedName>
    <definedName name="gyht" localSheetId="1">#REF!</definedName>
    <definedName name="gyht" localSheetId="2">#REF!</definedName>
    <definedName name="gyht" localSheetId="3">#REF!</definedName>
    <definedName name="gyht" localSheetId="5">#REF!</definedName>
    <definedName name="gyht" localSheetId="6">#REF!</definedName>
    <definedName name="gyht" localSheetId="7">#REF!</definedName>
    <definedName name="gyht" localSheetId="11">#REF!</definedName>
    <definedName name="gyht" localSheetId="9">#REF!</definedName>
    <definedName name="gyht" localSheetId="10">#REF!</definedName>
    <definedName name="gyht" localSheetId="13">#REF!</definedName>
    <definedName name="gyht" localSheetId="14">#REF!</definedName>
    <definedName name="gyht">#REF!</definedName>
    <definedName name="h" localSheetId="1">#REF!</definedName>
    <definedName name="h" localSheetId="2">#REF!</definedName>
    <definedName name="h" localSheetId="3">#REF!</definedName>
    <definedName name="h" localSheetId="5">#REF!</definedName>
    <definedName name="h" localSheetId="6">#REF!</definedName>
    <definedName name="h" localSheetId="7">#REF!</definedName>
    <definedName name="h" localSheetId="11">#REF!</definedName>
    <definedName name="h" localSheetId="9">#REF!</definedName>
    <definedName name="h" localSheetId="10">#REF!</definedName>
    <definedName name="h" localSheetId="13">#REF!</definedName>
    <definedName name="h" localSheetId="14">#REF!</definedName>
    <definedName name="h">#REF!</definedName>
    <definedName name="head" localSheetId="1">#REF!</definedName>
    <definedName name="head" localSheetId="2">#REF!</definedName>
    <definedName name="head" localSheetId="3">#REF!</definedName>
    <definedName name="head" localSheetId="5">#REF!</definedName>
    <definedName name="head" localSheetId="6">#REF!</definedName>
    <definedName name="head" localSheetId="7">#REF!</definedName>
    <definedName name="head" localSheetId="11">#REF!</definedName>
    <definedName name="head" localSheetId="9">#REF!</definedName>
    <definedName name="head" localSheetId="10">#REF!</definedName>
    <definedName name="head" localSheetId="13">#REF!</definedName>
    <definedName name="head" localSheetId="14">#REF!</definedName>
    <definedName name="head">#REF!</definedName>
    <definedName name="hft" localSheetId="1">#REF!</definedName>
    <definedName name="hft" localSheetId="2">#REF!</definedName>
    <definedName name="hft" localSheetId="3">#REF!</definedName>
    <definedName name="hft" localSheetId="5">#REF!</definedName>
    <definedName name="hft" localSheetId="6">#REF!</definedName>
    <definedName name="hft" localSheetId="7">#REF!</definedName>
    <definedName name="hft" localSheetId="11">#REF!</definedName>
    <definedName name="hft" localSheetId="9">#REF!</definedName>
    <definedName name="hft" localSheetId="10">#REF!</definedName>
    <definedName name="hft" localSheetId="13">#REF!</definedName>
    <definedName name="hft" localSheetId="14">#REF!</definedName>
    <definedName name="hft">#REF!</definedName>
    <definedName name="hgt" localSheetId="1" hidden="1">'[7]4.9'!#REF!</definedName>
    <definedName name="hgt" localSheetId="2" hidden="1">'[7]4.9'!#REF!</definedName>
    <definedName name="hgt" localSheetId="3" hidden="1">'[8]4.9'!#REF!</definedName>
    <definedName name="hgt" localSheetId="5" hidden="1">'[8]4.9'!#REF!</definedName>
    <definedName name="hgt" localSheetId="6" hidden="1">'[8]4.9'!#REF!</definedName>
    <definedName name="hgt" localSheetId="7" hidden="1">'[8]4.9'!#REF!</definedName>
    <definedName name="hgt" localSheetId="11" hidden="1">'[8]4.9'!#REF!</definedName>
    <definedName name="hgt" localSheetId="9" hidden="1">'[8]4.9'!#REF!</definedName>
    <definedName name="hgt" localSheetId="10" hidden="1">'[8]4.9'!#REF!</definedName>
    <definedName name="hgt" localSheetId="13" hidden="1">'[8]4.9'!#REF!</definedName>
    <definedName name="hgt" localSheetId="14" hidden="1">'[8]4.9'!#REF!</definedName>
    <definedName name="hgt" hidden="1">'[8]4.9'!#REF!</definedName>
    <definedName name="hh" localSheetId="1">#REF!</definedName>
    <definedName name="hh" localSheetId="2">#REF!</definedName>
    <definedName name="hh" localSheetId="3">#REF!</definedName>
    <definedName name="hh" localSheetId="5">#REF!</definedName>
    <definedName name="hh" localSheetId="6">#REF!</definedName>
    <definedName name="hh" localSheetId="7">#REF!</definedName>
    <definedName name="hh" localSheetId="11">#REF!</definedName>
    <definedName name="hh" localSheetId="9">#REF!</definedName>
    <definedName name="hh" localSheetId="10">#REF!</definedName>
    <definedName name="hh" localSheetId="13">#REF!</definedName>
    <definedName name="hh" localSheetId="14">#REF!</definedName>
    <definedName name="hh">#REF!</definedName>
    <definedName name="hhft" localSheetId="1">#REF!</definedName>
    <definedName name="hhft" localSheetId="2">#REF!</definedName>
    <definedName name="hhft" localSheetId="3">#REF!</definedName>
    <definedName name="hhft" localSheetId="5">#REF!</definedName>
    <definedName name="hhft" localSheetId="6">#REF!</definedName>
    <definedName name="hhft" localSheetId="7">#REF!</definedName>
    <definedName name="hhft" localSheetId="11">#REF!</definedName>
    <definedName name="hhft" localSheetId="9">#REF!</definedName>
    <definedName name="hhft" localSheetId="10">#REF!</definedName>
    <definedName name="hhft" localSheetId="13">#REF!</definedName>
    <definedName name="hhft" localSheetId="14">#REF!</definedName>
    <definedName name="hhft">#REF!</definedName>
    <definedName name="hhhgt" localSheetId="1">#REF!</definedName>
    <definedName name="hhhgt" localSheetId="2">#REF!</definedName>
    <definedName name="hhhgt" localSheetId="3">#REF!</definedName>
    <definedName name="hhhgt" localSheetId="5">#REF!</definedName>
    <definedName name="hhhgt" localSheetId="6">#REF!</definedName>
    <definedName name="hhhgt" localSheetId="7">#REF!</definedName>
    <definedName name="hhhgt" localSheetId="11">#REF!</definedName>
    <definedName name="hhhgt" localSheetId="9">#REF!</definedName>
    <definedName name="hhhgt" localSheetId="10">#REF!</definedName>
    <definedName name="hhhgt" localSheetId="13">#REF!</definedName>
    <definedName name="hhhgt" localSheetId="14">#REF!</definedName>
    <definedName name="hhhgt">#REF!</definedName>
    <definedName name="hhhhjy" localSheetId="1">#REF!</definedName>
    <definedName name="hhhhjy" localSheetId="2">#REF!</definedName>
    <definedName name="hhhhjy" localSheetId="3">#REF!</definedName>
    <definedName name="hhhhjy" localSheetId="5">#REF!</definedName>
    <definedName name="hhhhjy" localSheetId="6">#REF!</definedName>
    <definedName name="hhhhjy" localSheetId="7">#REF!</definedName>
    <definedName name="hhhhjy" localSheetId="11">#REF!</definedName>
    <definedName name="hhhhjy" localSheetId="9">#REF!</definedName>
    <definedName name="hhhhjy" localSheetId="10">#REF!</definedName>
    <definedName name="hhhhjy" localSheetId="13">#REF!</definedName>
    <definedName name="hhhhjy" localSheetId="14">#REF!</definedName>
    <definedName name="hhhhjy">#REF!</definedName>
    <definedName name="hhhht" localSheetId="1">#REF!</definedName>
    <definedName name="hhhht" localSheetId="2">#REF!</definedName>
    <definedName name="hhhht" localSheetId="3">#REF!</definedName>
    <definedName name="hhhht" localSheetId="5">#REF!</definedName>
    <definedName name="hhhht" localSheetId="6">#REF!</definedName>
    <definedName name="hhhht" localSheetId="7">#REF!</definedName>
    <definedName name="hhhht" localSheetId="11">#REF!</definedName>
    <definedName name="hhhht" localSheetId="9">#REF!</definedName>
    <definedName name="hhhht" localSheetId="10">#REF!</definedName>
    <definedName name="hhhht" localSheetId="13">#REF!</definedName>
    <definedName name="hhhht" localSheetId="14">#REF!</definedName>
    <definedName name="hhhht">#REF!</definedName>
    <definedName name="hhjy" localSheetId="1">#REF!</definedName>
    <definedName name="hhjy" localSheetId="2">#REF!</definedName>
    <definedName name="hhjy" localSheetId="3">#REF!</definedName>
    <definedName name="hhjy" localSheetId="5">#REF!</definedName>
    <definedName name="hhjy" localSheetId="6">#REF!</definedName>
    <definedName name="hhjy" localSheetId="7">#REF!</definedName>
    <definedName name="hhjy" localSheetId="11">#REF!</definedName>
    <definedName name="hhjy" localSheetId="9">#REF!</definedName>
    <definedName name="hhjy" localSheetId="10">#REF!</definedName>
    <definedName name="hhjy" localSheetId="13">#REF!</definedName>
    <definedName name="hhjy" localSheetId="14">#REF!</definedName>
    <definedName name="hhjy">#REF!</definedName>
    <definedName name="hjg" localSheetId="1">#REF!</definedName>
    <definedName name="hjg" localSheetId="2">#REF!</definedName>
    <definedName name="hjg" localSheetId="3">#REF!</definedName>
    <definedName name="hjg" localSheetId="5">#REF!</definedName>
    <definedName name="hjg" localSheetId="6">#REF!</definedName>
    <definedName name="hjg" localSheetId="7">#REF!</definedName>
    <definedName name="hjg" localSheetId="11">#REF!</definedName>
    <definedName name="hjg" localSheetId="9">#REF!</definedName>
    <definedName name="hjg" localSheetId="10">#REF!</definedName>
    <definedName name="hjg" localSheetId="13">#REF!</definedName>
    <definedName name="hjg" localSheetId="14">#REF!</definedName>
    <definedName name="hjg">#REF!</definedName>
    <definedName name="hjgy" localSheetId="1">#REF!</definedName>
    <definedName name="hjgy" localSheetId="2">#REF!</definedName>
    <definedName name="hjgy" localSheetId="3">#REF!</definedName>
    <definedName name="hjgy" localSheetId="5">#REF!</definedName>
    <definedName name="hjgy" localSheetId="6">#REF!</definedName>
    <definedName name="hjgy" localSheetId="7">#REF!</definedName>
    <definedName name="hjgy" localSheetId="11">#REF!</definedName>
    <definedName name="hjgy" localSheetId="9">#REF!</definedName>
    <definedName name="hjgy" localSheetId="10">#REF!</definedName>
    <definedName name="hjgy" localSheetId="13">#REF!</definedName>
    <definedName name="hjgy" localSheetId="14">#REF!</definedName>
    <definedName name="hjgy">#REF!</definedName>
    <definedName name="iii" localSheetId="1">#REF!</definedName>
    <definedName name="iii" localSheetId="2">#REF!</definedName>
    <definedName name="iii" localSheetId="3">#REF!</definedName>
    <definedName name="iii" localSheetId="5">#REF!</definedName>
    <definedName name="iii" localSheetId="6">#REF!</definedName>
    <definedName name="iii" localSheetId="7">#REF!</definedName>
    <definedName name="iii" localSheetId="11">#REF!</definedName>
    <definedName name="iii" localSheetId="9">#REF!</definedName>
    <definedName name="iii" localSheetId="10">#REF!</definedName>
    <definedName name="iii" localSheetId="13">#REF!</definedName>
    <definedName name="iii" localSheetId="14">#REF!</definedName>
    <definedName name="iii">#REF!</definedName>
    <definedName name="iiiii" localSheetId="1" hidden="1">#REF!</definedName>
    <definedName name="iiiii" localSheetId="2" hidden="1">#REF!</definedName>
    <definedName name="iiiii" localSheetId="3" hidden="1">#REF!</definedName>
    <definedName name="iiiii" localSheetId="5" hidden="1">#REF!</definedName>
    <definedName name="iiiii" localSheetId="6" hidden="1">#REF!</definedName>
    <definedName name="iiiii" localSheetId="7" hidden="1">#REF!</definedName>
    <definedName name="iiiii" localSheetId="11" hidden="1">#REF!</definedName>
    <definedName name="iiiii" localSheetId="9" hidden="1">#REF!</definedName>
    <definedName name="iiiii" localSheetId="10" hidden="1">#REF!</definedName>
    <definedName name="iiiii" localSheetId="13" hidden="1">#REF!</definedName>
    <definedName name="iiiii" localSheetId="14" hidden="1">#REF!</definedName>
    <definedName name="iiiii" hidden="1">#REF!</definedName>
    <definedName name="j" localSheetId="1">#REF!</definedName>
    <definedName name="j" localSheetId="2">#REF!</definedName>
    <definedName name="j" localSheetId="3">#REF!</definedName>
    <definedName name="j" localSheetId="5">#REF!</definedName>
    <definedName name="j" localSheetId="6">#REF!</definedName>
    <definedName name="j" localSheetId="7">#REF!</definedName>
    <definedName name="j" localSheetId="11">#REF!</definedName>
    <definedName name="j" localSheetId="9">#REF!</definedName>
    <definedName name="j" localSheetId="10">#REF!</definedName>
    <definedName name="j" localSheetId="13">#REF!</definedName>
    <definedName name="j" localSheetId="14">#REF!</definedName>
    <definedName name="j">#REF!</definedName>
    <definedName name="jb" localSheetId="1">#REF!</definedName>
    <definedName name="jb" localSheetId="2">#REF!</definedName>
    <definedName name="jb" localSheetId="3">#REF!</definedName>
    <definedName name="jb" localSheetId="5">#REF!</definedName>
    <definedName name="jb" localSheetId="6">#REF!</definedName>
    <definedName name="jb" localSheetId="7">#REF!</definedName>
    <definedName name="jb" localSheetId="11">#REF!</definedName>
    <definedName name="jb" localSheetId="9">#REF!</definedName>
    <definedName name="jb" localSheetId="10">#REF!</definedName>
    <definedName name="jb" localSheetId="13">#REF!</definedName>
    <definedName name="jb" localSheetId="14">#REF!</definedName>
    <definedName name="jb">#REF!</definedName>
    <definedName name="jjj" localSheetId="1">#REF!</definedName>
    <definedName name="jjj" localSheetId="2">#REF!</definedName>
    <definedName name="jjj" localSheetId="3">#REF!</definedName>
    <definedName name="jjj" localSheetId="5">#REF!</definedName>
    <definedName name="jjj" localSheetId="6">#REF!</definedName>
    <definedName name="jjj" localSheetId="7">#REF!</definedName>
    <definedName name="jjj" localSheetId="11">#REF!</definedName>
    <definedName name="jjj" localSheetId="9">#REF!</definedName>
    <definedName name="jjj" localSheetId="10">#REF!</definedName>
    <definedName name="jjj" localSheetId="13">#REF!</definedName>
    <definedName name="jjj" localSheetId="14">#REF!</definedName>
    <definedName name="jjj">#REF!</definedName>
    <definedName name="jjjt" localSheetId="1">#REF!</definedName>
    <definedName name="jjjt" localSheetId="2">#REF!</definedName>
    <definedName name="jjjt" localSheetId="3">#REF!</definedName>
    <definedName name="jjjt" localSheetId="5">#REF!</definedName>
    <definedName name="jjjt" localSheetId="6">#REF!</definedName>
    <definedName name="jjjt" localSheetId="7">#REF!</definedName>
    <definedName name="jjjt" localSheetId="11">#REF!</definedName>
    <definedName name="jjjt" localSheetId="9">#REF!</definedName>
    <definedName name="jjjt" localSheetId="10">#REF!</definedName>
    <definedName name="jjjt" localSheetId="13">#REF!</definedName>
    <definedName name="jjjt" localSheetId="14">#REF!</definedName>
    <definedName name="jjjt">#REF!</definedName>
    <definedName name="jjjtg" localSheetId="1">#REF!</definedName>
    <definedName name="jjjtg" localSheetId="2">#REF!</definedName>
    <definedName name="jjjtg" localSheetId="3">#REF!</definedName>
    <definedName name="jjjtg" localSheetId="5">#REF!</definedName>
    <definedName name="jjjtg" localSheetId="6">#REF!</definedName>
    <definedName name="jjjtg" localSheetId="7">#REF!</definedName>
    <definedName name="jjjtg" localSheetId="11">#REF!</definedName>
    <definedName name="jjjtg" localSheetId="9">#REF!</definedName>
    <definedName name="jjjtg" localSheetId="10">#REF!</definedName>
    <definedName name="jjjtg" localSheetId="13">#REF!</definedName>
    <definedName name="jjjtg" localSheetId="14">#REF!</definedName>
    <definedName name="jjjtg">#REF!</definedName>
    <definedName name="jjju" localSheetId="1">#REF!</definedName>
    <definedName name="jjju" localSheetId="2">#REF!</definedName>
    <definedName name="jjju" localSheetId="3">#REF!</definedName>
    <definedName name="jjju" localSheetId="5">#REF!</definedName>
    <definedName name="jjju" localSheetId="6">#REF!</definedName>
    <definedName name="jjju" localSheetId="7">#REF!</definedName>
    <definedName name="jjju" localSheetId="11">#REF!</definedName>
    <definedName name="jjju" localSheetId="9">#REF!</definedName>
    <definedName name="jjju" localSheetId="10">#REF!</definedName>
    <definedName name="jjju" localSheetId="13">#REF!</definedName>
    <definedName name="jjju" localSheetId="14">#REF!</definedName>
    <definedName name="jjju">#REF!</definedName>
    <definedName name="jjjy" localSheetId="1">#REF!</definedName>
    <definedName name="jjjy" localSheetId="2">#REF!</definedName>
    <definedName name="jjjy" localSheetId="3">#REF!</definedName>
    <definedName name="jjjy" localSheetId="5">#REF!</definedName>
    <definedName name="jjjy" localSheetId="6">#REF!</definedName>
    <definedName name="jjjy" localSheetId="7">#REF!</definedName>
    <definedName name="jjjy" localSheetId="11">#REF!</definedName>
    <definedName name="jjjy" localSheetId="9">#REF!</definedName>
    <definedName name="jjjy" localSheetId="10">#REF!</definedName>
    <definedName name="jjjy" localSheetId="13">#REF!</definedName>
    <definedName name="jjjy" localSheetId="14">#REF!</definedName>
    <definedName name="jjjy">#REF!</definedName>
    <definedName name="johor" localSheetId="1" hidden="1">'[11]7.6'!#REF!</definedName>
    <definedName name="johor" localSheetId="2" hidden="1">'[11]7.6'!#REF!</definedName>
    <definedName name="johor" localSheetId="3" hidden="1">'[12]7.6'!#REF!</definedName>
    <definedName name="johor" localSheetId="5" hidden="1">'[12]7.6'!#REF!</definedName>
    <definedName name="johor" localSheetId="6" hidden="1">'[12]7.6'!#REF!</definedName>
    <definedName name="johor" localSheetId="7" hidden="1">'[12]7.6'!#REF!</definedName>
    <definedName name="johor" localSheetId="11" hidden="1">'[12]7.6'!#REF!</definedName>
    <definedName name="johor" localSheetId="9" hidden="1">'[12]7.6'!#REF!</definedName>
    <definedName name="johor" localSheetId="10" hidden="1">'[12]7.6'!#REF!</definedName>
    <definedName name="johor" localSheetId="13" hidden="1">'[12]7.6'!#REF!</definedName>
    <definedName name="johor" localSheetId="14" hidden="1">'[12]7.6'!#REF!</definedName>
    <definedName name="johor" hidden="1">'[12]7.6'!#REF!</definedName>
    <definedName name="JOHOR1" localSheetId="1" hidden="1">'[17]4.9'!#REF!</definedName>
    <definedName name="JOHOR1" localSheetId="2" hidden="1">'[17]4.9'!#REF!</definedName>
    <definedName name="JOHOR1" localSheetId="3" hidden="1">'[18]4.9'!#REF!</definedName>
    <definedName name="JOHOR1" localSheetId="5" hidden="1">'[18]4.9'!#REF!</definedName>
    <definedName name="JOHOR1" localSheetId="6" hidden="1">'[18]4.9'!#REF!</definedName>
    <definedName name="JOHOR1" localSheetId="7" hidden="1">'[18]4.9'!#REF!</definedName>
    <definedName name="JOHOR1" localSheetId="11" hidden="1">'[18]4.9'!#REF!</definedName>
    <definedName name="JOHOR1" localSheetId="9" hidden="1">'[18]4.9'!#REF!</definedName>
    <definedName name="JOHOR1" localSheetId="10" hidden="1">'[18]4.9'!#REF!</definedName>
    <definedName name="JOHOR1" localSheetId="13" hidden="1">'[18]4.9'!#REF!</definedName>
    <definedName name="JOHOR1" localSheetId="14" hidden="1">'[18]4.9'!#REF!</definedName>
    <definedName name="JOHOR1" hidden="1">'[18]4.9'!#REF!</definedName>
    <definedName name="k" localSheetId="1">#REF!</definedName>
    <definedName name="k" localSheetId="2">#REF!</definedName>
    <definedName name="k" localSheetId="3">#REF!</definedName>
    <definedName name="k" localSheetId="5">#REF!</definedName>
    <definedName name="k" localSheetId="6">#REF!</definedName>
    <definedName name="k" localSheetId="7">#REF!</definedName>
    <definedName name="k" localSheetId="11">#REF!</definedName>
    <definedName name="k" localSheetId="9">#REF!</definedName>
    <definedName name="k" localSheetId="10">#REF!</definedName>
    <definedName name="k" localSheetId="13">#REF!</definedName>
    <definedName name="k" localSheetId="14">#REF!</definedName>
    <definedName name="k">#REF!</definedName>
    <definedName name="kelantan" localSheetId="1" hidden="1">#REF!</definedName>
    <definedName name="kelantan" localSheetId="2" hidden="1">#REF!</definedName>
    <definedName name="kelantan" localSheetId="3" hidden="1">#REF!</definedName>
    <definedName name="kelantan" localSheetId="5" hidden="1">#REF!</definedName>
    <definedName name="kelantan" localSheetId="6" hidden="1">#REF!</definedName>
    <definedName name="kelantan" localSheetId="7" hidden="1">#REF!</definedName>
    <definedName name="kelantan" localSheetId="11" hidden="1">#REF!</definedName>
    <definedName name="kelantan" localSheetId="9" hidden="1">#REF!</definedName>
    <definedName name="kelantan" localSheetId="10" hidden="1">#REF!</definedName>
    <definedName name="kelantan" localSheetId="13" hidden="1">#REF!</definedName>
    <definedName name="kelantan" localSheetId="14" hidden="1">#REF!</definedName>
    <definedName name="kelantan" hidden="1">#REF!</definedName>
    <definedName name="kk" localSheetId="1">#REF!</definedName>
    <definedName name="kk" localSheetId="2">#REF!</definedName>
    <definedName name="kk" localSheetId="3">#REF!</definedName>
    <definedName name="kk" localSheetId="5">#REF!</definedName>
    <definedName name="kk" localSheetId="6">#REF!</definedName>
    <definedName name="kk" localSheetId="7">#REF!</definedName>
    <definedName name="kk" localSheetId="11">#REF!</definedName>
    <definedName name="kk" localSheetId="9">#REF!</definedName>
    <definedName name="kk" localSheetId="10">#REF!</definedName>
    <definedName name="kk" localSheetId="13">#REF!</definedName>
    <definedName name="kk" localSheetId="14">#REF!</definedName>
    <definedName name="kk">#REF!</definedName>
    <definedName name="Kod_01" localSheetId="1">#REF!</definedName>
    <definedName name="Kod_01" localSheetId="2">#REF!</definedName>
    <definedName name="Kod_01" localSheetId="3">#REF!</definedName>
    <definedName name="Kod_01" localSheetId="5">#REF!</definedName>
    <definedName name="Kod_01" localSheetId="6">#REF!</definedName>
    <definedName name="Kod_01" localSheetId="7">#REF!</definedName>
    <definedName name="Kod_01" localSheetId="11">#REF!</definedName>
    <definedName name="Kod_01" localSheetId="9">#REF!</definedName>
    <definedName name="Kod_01" localSheetId="10">#REF!</definedName>
    <definedName name="Kod_01" localSheetId="13">#REF!</definedName>
    <definedName name="Kod_01" localSheetId="14">#REF!</definedName>
    <definedName name="Kod_01">#REF!</definedName>
    <definedName name="LINK_BORONG" localSheetId="1">#REF!</definedName>
    <definedName name="LINK_BORONG" localSheetId="2">#REF!</definedName>
    <definedName name="LINK_BORONG" localSheetId="3">#REF!</definedName>
    <definedName name="LINK_BORONG" localSheetId="5">#REF!</definedName>
    <definedName name="LINK_BORONG" localSheetId="6">#REF!</definedName>
    <definedName name="LINK_BORONG" localSheetId="7">#REF!</definedName>
    <definedName name="LINK_BORONG" localSheetId="11">#REF!</definedName>
    <definedName name="LINK_BORONG" localSheetId="9">#REF!</definedName>
    <definedName name="LINK_BORONG" localSheetId="10">#REF!</definedName>
    <definedName name="LINK_BORONG" localSheetId="13">#REF!</definedName>
    <definedName name="LINK_BORONG" localSheetId="14">#REF!</definedName>
    <definedName name="LINK_BORONG">#REF!</definedName>
    <definedName name="LINK_MOTOR" localSheetId="1">#REF!</definedName>
    <definedName name="LINK_MOTOR" localSheetId="2">#REF!</definedName>
    <definedName name="LINK_MOTOR" localSheetId="3">#REF!</definedName>
    <definedName name="LINK_MOTOR" localSheetId="5">#REF!</definedName>
    <definedName name="LINK_MOTOR" localSheetId="6">#REF!</definedName>
    <definedName name="LINK_MOTOR" localSheetId="7">#REF!</definedName>
    <definedName name="LINK_MOTOR" localSheetId="11">#REF!</definedName>
    <definedName name="LINK_MOTOR" localSheetId="9">#REF!</definedName>
    <definedName name="LINK_MOTOR" localSheetId="10">#REF!</definedName>
    <definedName name="LINK_MOTOR" localSheetId="13">#REF!</definedName>
    <definedName name="LINK_MOTOR" localSheetId="14">#REF!</definedName>
    <definedName name="LINK_MOTOR">#REF!</definedName>
    <definedName name="LINK_RUNCIT" localSheetId="1">#REF!</definedName>
    <definedName name="LINK_RUNCIT" localSheetId="2">#REF!</definedName>
    <definedName name="LINK_RUNCIT" localSheetId="3">#REF!</definedName>
    <definedName name="LINK_RUNCIT" localSheetId="5">#REF!</definedName>
    <definedName name="LINK_RUNCIT" localSheetId="6">#REF!</definedName>
    <definedName name="LINK_RUNCIT" localSheetId="7">#REF!</definedName>
    <definedName name="LINK_RUNCIT" localSheetId="11">#REF!</definedName>
    <definedName name="LINK_RUNCIT" localSheetId="9">#REF!</definedName>
    <definedName name="LINK_RUNCIT" localSheetId="10">#REF!</definedName>
    <definedName name="LINK_RUNCIT" localSheetId="13">#REF!</definedName>
    <definedName name="LINK_RUNCIT" localSheetId="14">#REF!</definedName>
    <definedName name="LINK_RUNCIT">#REF!</definedName>
    <definedName name="list_sehingga_18012011" localSheetId="1">#REF!</definedName>
    <definedName name="list_sehingga_18012011" localSheetId="2">#REF!</definedName>
    <definedName name="list_sehingga_18012011" localSheetId="3">#REF!</definedName>
    <definedName name="list_sehingga_18012011" localSheetId="5">#REF!</definedName>
    <definedName name="list_sehingga_18012011" localSheetId="6">#REF!</definedName>
    <definedName name="list_sehingga_18012011" localSheetId="7">#REF!</definedName>
    <definedName name="list_sehingga_18012011" localSheetId="11">#REF!</definedName>
    <definedName name="list_sehingga_18012011" localSheetId="9">#REF!</definedName>
    <definedName name="list_sehingga_18012011" localSheetId="10">#REF!</definedName>
    <definedName name="list_sehingga_18012011" localSheetId="13">#REF!</definedName>
    <definedName name="list_sehingga_18012011" localSheetId="14">#REF!</definedName>
    <definedName name="list_sehingga_18012011">#REF!</definedName>
    <definedName name="ll" localSheetId="1">#REF!</definedName>
    <definedName name="ll" localSheetId="2">#REF!</definedName>
    <definedName name="ll" localSheetId="3">#REF!</definedName>
    <definedName name="ll" localSheetId="5">#REF!</definedName>
    <definedName name="ll" localSheetId="6">#REF!</definedName>
    <definedName name="ll" localSheetId="7">#REF!</definedName>
    <definedName name="ll" localSheetId="11">#REF!</definedName>
    <definedName name="ll" localSheetId="9">#REF!</definedName>
    <definedName name="ll" localSheetId="10">#REF!</definedName>
    <definedName name="ll" localSheetId="13">#REF!</definedName>
    <definedName name="ll" localSheetId="14">#REF!</definedName>
    <definedName name="ll">#REF!</definedName>
    <definedName name="LLL" localSheetId="1">#REF!</definedName>
    <definedName name="LLL" localSheetId="2">#REF!</definedName>
    <definedName name="LLL" localSheetId="3">#REF!</definedName>
    <definedName name="LLL" localSheetId="5">#REF!</definedName>
    <definedName name="LLL" localSheetId="6">#REF!</definedName>
    <definedName name="LLL" localSheetId="7">#REF!</definedName>
    <definedName name="LLL" localSheetId="11">#REF!</definedName>
    <definedName name="LLL" localSheetId="9">#REF!</definedName>
    <definedName name="LLL" localSheetId="10">#REF!</definedName>
    <definedName name="LLL" localSheetId="13">#REF!</definedName>
    <definedName name="LLL" localSheetId="14">#REF!</definedName>
    <definedName name="LLL">#REF!</definedName>
    <definedName name="m" localSheetId="1" hidden="1">'[7]4.9'!#REF!</definedName>
    <definedName name="m" localSheetId="2" hidden="1">'[7]4.9'!#REF!</definedName>
    <definedName name="m" localSheetId="3" hidden="1">'[8]4.9'!#REF!</definedName>
    <definedName name="m" localSheetId="5" hidden="1">'[8]4.9'!#REF!</definedName>
    <definedName name="m" localSheetId="6" hidden="1">'[8]4.9'!#REF!</definedName>
    <definedName name="m" localSheetId="7" hidden="1">'[8]4.9'!#REF!</definedName>
    <definedName name="m" localSheetId="11" hidden="1">'[8]4.9'!#REF!</definedName>
    <definedName name="m" localSheetId="9" hidden="1">'[8]4.9'!#REF!</definedName>
    <definedName name="m" localSheetId="10" hidden="1">'[8]4.9'!#REF!</definedName>
    <definedName name="m" localSheetId="13" hidden="1">'[8]4.9'!#REF!</definedName>
    <definedName name="m" localSheetId="14" hidden="1">'[8]4.9'!#REF!</definedName>
    <definedName name="m" hidden="1">'[8]4.9'!#REF!</definedName>
    <definedName name="malaysia3" localSheetId="1" hidden="1">'[11]7.6'!#REF!</definedName>
    <definedName name="malaysia3" localSheetId="2" hidden="1">'[11]7.6'!#REF!</definedName>
    <definedName name="malaysia3" localSheetId="3" hidden="1">'[12]7.6'!#REF!</definedName>
    <definedName name="malaysia3" localSheetId="5" hidden="1">'[12]7.6'!#REF!</definedName>
    <definedName name="malaysia3" localSheetId="6" hidden="1">'[12]7.6'!#REF!</definedName>
    <definedName name="malaysia3" localSheetId="7" hidden="1">'[12]7.6'!#REF!</definedName>
    <definedName name="malaysia3" localSheetId="11" hidden="1">'[12]7.6'!#REF!</definedName>
    <definedName name="malaysia3" localSheetId="9" hidden="1">'[12]7.6'!#REF!</definedName>
    <definedName name="malaysia3" localSheetId="10" hidden="1">'[12]7.6'!#REF!</definedName>
    <definedName name="malaysia3" localSheetId="13" hidden="1">'[12]7.6'!#REF!</definedName>
    <definedName name="malaysia3" localSheetId="14" hidden="1">'[12]7.6'!#REF!</definedName>
    <definedName name="malaysia3" hidden="1">'[12]7.6'!#REF!</definedName>
    <definedName name="match_sampel_icdt" localSheetId="1">#REF!</definedName>
    <definedName name="match_sampel_icdt" localSheetId="2">#REF!</definedName>
    <definedName name="match_sampel_icdt" localSheetId="3">#REF!</definedName>
    <definedName name="match_sampel_icdt" localSheetId="5">#REF!</definedName>
    <definedName name="match_sampel_icdt" localSheetId="6">#REF!</definedName>
    <definedName name="match_sampel_icdt" localSheetId="7">#REF!</definedName>
    <definedName name="match_sampel_icdt" localSheetId="11">#REF!</definedName>
    <definedName name="match_sampel_icdt" localSheetId="9">#REF!</definedName>
    <definedName name="match_sampel_icdt" localSheetId="10">#REF!</definedName>
    <definedName name="match_sampel_icdt" localSheetId="13">#REF!</definedName>
    <definedName name="match_sampel_icdt" localSheetId="14">#REF!</definedName>
    <definedName name="match_sampel_icdt">#REF!</definedName>
    <definedName name="mg" localSheetId="1" hidden="1">'[17]4.9'!#REF!</definedName>
    <definedName name="mg" localSheetId="2" hidden="1">'[17]4.9'!#REF!</definedName>
    <definedName name="mg" localSheetId="3" hidden="1">'[18]4.9'!#REF!</definedName>
    <definedName name="mg" localSheetId="5" hidden="1">'[18]4.9'!#REF!</definedName>
    <definedName name="mg" localSheetId="6" hidden="1">'[18]4.9'!#REF!</definedName>
    <definedName name="mg" localSheetId="7" hidden="1">'[18]4.9'!#REF!</definedName>
    <definedName name="mg" localSheetId="11" hidden="1">'[18]4.9'!#REF!</definedName>
    <definedName name="mg" localSheetId="9" hidden="1">'[18]4.9'!#REF!</definedName>
    <definedName name="mg" localSheetId="10" hidden="1">'[18]4.9'!#REF!</definedName>
    <definedName name="mg" localSheetId="13" hidden="1">'[18]4.9'!#REF!</definedName>
    <definedName name="mg" localSheetId="14" hidden="1">'[18]4.9'!#REF!</definedName>
    <definedName name="mg" hidden="1">'[18]4.9'!#REF!</definedName>
    <definedName name="mmm" localSheetId="1">#REF!</definedName>
    <definedName name="mmm" localSheetId="2">#REF!</definedName>
    <definedName name="mmm" localSheetId="3">#REF!</definedName>
    <definedName name="mmm" localSheetId="5">#REF!</definedName>
    <definedName name="mmm" localSheetId="6">#REF!</definedName>
    <definedName name="mmm" localSheetId="7">#REF!</definedName>
    <definedName name="mmm" localSheetId="11">#REF!</definedName>
    <definedName name="mmm" localSheetId="9">#REF!</definedName>
    <definedName name="mmm" localSheetId="10">#REF!</definedName>
    <definedName name="mmm" localSheetId="13">#REF!</definedName>
    <definedName name="mmm" localSheetId="14">#REF!</definedName>
    <definedName name="mmm">#REF!</definedName>
    <definedName name="mmmt" localSheetId="1">#REF!</definedName>
    <definedName name="mmmt" localSheetId="2">#REF!</definedName>
    <definedName name="mmmt" localSheetId="3">#REF!</definedName>
    <definedName name="mmmt" localSheetId="5">#REF!</definedName>
    <definedName name="mmmt" localSheetId="6">#REF!</definedName>
    <definedName name="mmmt" localSheetId="7">#REF!</definedName>
    <definedName name="mmmt" localSheetId="11">#REF!</definedName>
    <definedName name="mmmt" localSheetId="9">#REF!</definedName>
    <definedName name="mmmt" localSheetId="10">#REF!</definedName>
    <definedName name="mmmt" localSheetId="13">#REF!</definedName>
    <definedName name="mmmt" localSheetId="14">#REF!</definedName>
    <definedName name="mmmt">#REF!</definedName>
    <definedName name="msic_complete" localSheetId="1">#REF!</definedName>
    <definedName name="msic_complete" localSheetId="2">#REF!</definedName>
    <definedName name="msic_complete" localSheetId="3">#REF!</definedName>
    <definedName name="msic_complete" localSheetId="5">#REF!</definedName>
    <definedName name="msic_complete" localSheetId="6">#REF!</definedName>
    <definedName name="msic_complete" localSheetId="7">#REF!</definedName>
    <definedName name="msic_complete" localSheetId="11">#REF!</definedName>
    <definedName name="msic_complete" localSheetId="9">#REF!</definedName>
    <definedName name="msic_complete" localSheetId="10">#REF!</definedName>
    <definedName name="msic_complete" localSheetId="13">#REF!</definedName>
    <definedName name="msic_complete" localSheetId="14">#REF!</definedName>
    <definedName name="msic_complete">#REF!</definedName>
    <definedName name="msic_complete_new" localSheetId="1">#REF!</definedName>
    <definedName name="msic_complete_new" localSheetId="2">#REF!</definedName>
    <definedName name="msic_complete_new" localSheetId="3">#REF!</definedName>
    <definedName name="msic_complete_new" localSheetId="5">#REF!</definedName>
    <definedName name="msic_complete_new" localSheetId="6">#REF!</definedName>
    <definedName name="msic_complete_new" localSheetId="7">#REF!</definedName>
    <definedName name="msic_complete_new" localSheetId="11">#REF!</definedName>
    <definedName name="msic_complete_new" localSheetId="9">#REF!</definedName>
    <definedName name="msic_complete_new" localSheetId="10">#REF!</definedName>
    <definedName name="msic_complete_new" localSheetId="13">#REF!</definedName>
    <definedName name="msic_complete_new" localSheetId="14">#REF!</definedName>
    <definedName name="msic_complete_new">#REF!</definedName>
    <definedName name="n" localSheetId="1">#REF!</definedName>
    <definedName name="n" localSheetId="2">#REF!</definedName>
    <definedName name="n" localSheetId="3">#REF!</definedName>
    <definedName name="n" localSheetId="5">#REF!</definedName>
    <definedName name="n" localSheetId="6">#REF!</definedName>
    <definedName name="n" localSheetId="7">#REF!</definedName>
    <definedName name="n" localSheetId="11">#REF!</definedName>
    <definedName name="n" localSheetId="9">#REF!</definedName>
    <definedName name="n" localSheetId="10">#REF!</definedName>
    <definedName name="n" localSheetId="13">#REF!</definedName>
    <definedName name="n" localSheetId="14">#REF!</definedName>
    <definedName name="n">#REF!</definedName>
    <definedName name="nama" localSheetId="1">#REF!</definedName>
    <definedName name="nama" localSheetId="2">#REF!</definedName>
    <definedName name="nama" localSheetId="3">#REF!</definedName>
    <definedName name="nama" localSheetId="5">#REF!</definedName>
    <definedName name="nama" localSheetId="6">#REF!</definedName>
    <definedName name="nama" localSheetId="7">#REF!</definedName>
    <definedName name="nama" localSheetId="11">#REF!</definedName>
    <definedName name="nama" localSheetId="9">#REF!</definedName>
    <definedName name="nama" localSheetId="10">#REF!</definedName>
    <definedName name="nama" localSheetId="13">#REF!</definedName>
    <definedName name="nama" localSheetId="14">#REF!</definedName>
    <definedName name="nama">#REF!</definedName>
    <definedName name="nbbb" localSheetId="1">#REF!</definedName>
    <definedName name="nbbb" localSheetId="2">#REF!</definedName>
    <definedName name="nbbb" localSheetId="3">#REF!</definedName>
    <definedName name="nbbb" localSheetId="5">#REF!</definedName>
    <definedName name="nbbb" localSheetId="6">#REF!</definedName>
    <definedName name="nbbb" localSheetId="7">#REF!</definedName>
    <definedName name="nbbb" localSheetId="11">#REF!</definedName>
    <definedName name="nbbb" localSheetId="9">#REF!</definedName>
    <definedName name="nbbb" localSheetId="10">#REF!</definedName>
    <definedName name="nbbb" localSheetId="13">#REF!</definedName>
    <definedName name="nbbb" localSheetId="14">#REF!</definedName>
    <definedName name="nbbb">#REF!</definedName>
    <definedName name="nbngh" localSheetId="1" hidden="1">#REF!</definedName>
    <definedName name="nbngh" localSheetId="2" hidden="1">#REF!</definedName>
    <definedName name="nbngh" localSheetId="3" hidden="1">#REF!</definedName>
    <definedName name="nbngh" localSheetId="5" hidden="1">#REF!</definedName>
    <definedName name="nbngh" localSheetId="6" hidden="1">#REF!</definedName>
    <definedName name="nbngh" localSheetId="7" hidden="1">#REF!</definedName>
    <definedName name="nbngh" localSheetId="11" hidden="1">#REF!</definedName>
    <definedName name="nbngh" localSheetId="9" hidden="1">#REF!</definedName>
    <definedName name="nbngh" localSheetId="10" hidden="1">#REF!</definedName>
    <definedName name="nbngh" localSheetId="13" hidden="1">#REF!</definedName>
    <definedName name="nbngh" localSheetId="14" hidden="1">#REF!</definedName>
    <definedName name="nbngh" hidden="1">#REF!</definedName>
    <definedName name="nbvn" localSheetId="1">#REF!</definedName>
    <definedName name="nbvn" localSheetId="2">#REF!</definedName>
    <definedName name="nbvn" localSheetId="3">#REF!</definedName>
    <definedName name="nbvn" localSheetId="5">#REF!</definedName>
    <definedName name="nbvn" localSheetId="6">#REF!</definedName>
    <definedName name="nbvn" localSheetId="7">#REF!</definedName>
    <definedName name="nbvn" localSheetId="11">#REF!</definedName>
    <definedName name="nbvn" localSheetId="9">#REF!</definedName>
    <definedName name="nbvn" localSheetId="10">#REF!</definedName>
    <definedName name="nbvn" localSheetId="13">#REF!</definedName>
    <definedName name="nbvn" localSheetId="14">#REF!</definedName>
    <definedName name="nbvn">#REF!</definedName>
    <definedName name="NGDBBP" localSheetId="1">#REF!</definedName>
    <definedName name="NGDBBP" localSheetId="2">#REF!</definedName>
    <definedName name="NGDBBP" localSheetId="3">#REF!</definedName>
    <definedName name="NGDBBP" localSheetId="5">#REF!</definedName>
    <definedName name="NGDBBP" localSheetId="6">#REF!</definedName>
    <definedName name="NGDBBP" localSheetId="7">#REF!</definedName>
    <definedName name="NGDBBP" localSheetId="11">#REF!</definedName>
    <definedName name="NGDBBP" localSheetId="9">#REF!</definedName>
    <definedName name="NGDBBP" localSheetId="10">#REF!</definedName>
    <definedName name="NGDBBP" localSheetId="13">#REF!</definedName>
    <definedName name="NGDBBP" localSheetId="14">#REF!</definedName>
    <definedName name="NGDBBP">#REF!</definedName>
    <definedName name="njy" localSheetId="1">#REF!</definedName>
    <definedName name="njy" localSheetId="2">#REF!</definedName>
    <definedName name="njy" localSheetId="3">#REF!</definedName>
    <definedName name="njy" localSheetId="5">#REF!</definedName>
    <definedName name="njy" localSheetId="6">#REF!</definedName>
    <definedName name="njy" localSheetId="7">#REF!</definedName>
    <definedName name="njy" localSheetId="11">#REF!</definedName>
    <definedName name="njy" localSheetId="9">#REF!</definedName>
    <definedName name="njy" localSheetId="10">#REF!</definedName>
    <definedName name="njy" localSheetId="13">#REF!</definedName>
    <definedName name="njy" localSheetId="14">#REF!</definedName>
    <definedName name="njy">#REF!</definedName>
    <definedName name="nnngf" localSheetId="1">#REF!</definedName>
    <definedName name="nnngf" localSheetId="2">#REF!</definedName>
    <definedName name="nnngf" localSheetId="3">#REF!</definedName>
    <definedName name="nnngf" localSheetId="5">#REF!</definedName>
    <definedName name="nnngf" localSheetId="6">#REF!</definedName>
    <definedName name="nnngf" localSheetId="7">#REF!</definedName>
    <definedName name="nnngf" localSheetId="11">#REF!</definedName>
    <definedName name="nnngf" localSheetId="9">#REF!</definedName>
    <definedName name="nnngf" localSheetId="10">#REF!</definedName>
    <definedName name="nnngf" localSheetId="13">#REF!</definedName>
    <definedName name="nnngf" localSheetId="14">#REF!</definedName>
    <definedName name="nnngf">#REF!</definedName>
    <definedName name="noorasiah91" localSheetId="1">#REF!</definedName>
    <definedName name="noorasiah91" localSheetId="2">#REF!</definedName>
    <definedName name="noorasiah91" localSheetId="3">#REF!</definedName>
    <definedName name="noorasiah91" localSheetId="5">#REF!</definedName>
    <definedName name="noorasiah91" localSheetId="6">#REF!</definedName>
    <definedName name="noorasiah91" localSheetId="7">#REF!</definedName>
    <definedName name="noorasiah91" localSheetId="11">#REF!</definedName>
    <definedName name="noorasiah91" localSheetId="9">#REF!</definedName>
    <definedName name="noorasiah91" localSheetId="10">#REF!</definedName>
    <definedName name="noorasiah91" localSheetId="13">#REF!</definedName>
    <definedName name="noorasiah91" localSheetId="14">#REF!</definedName>
    <definedName name="noorasiah91">#REF!</definedName>
    <definedName name="nv" localSheetId="1">#REF!</definedName>
    <definedName name="nv" localSheetId="2">#REF!</definedName>
    <definedName name="nv" localSheetId="3">#REF!</definedName>
    <definedName name="nv" localSheetId="5">#REF!</definedName>
    <definedName name="nv" localSheetId="6">#REF!</definedName>
    <definedName name="nv" localSheetId="7">#REF!</definedName>
    <definedName name="nv" localSheetId="11">#REF!</definedName>
    <definedName name="nv" localSheetId="9">#REF!</definedName>
    <definedName name="nv" localSheetId="10">#REF!</definedName>
    <definedName name="nv" localSheetId="13">#REF!</definedName>
    <definedName name="nv" localSheetId="14">#REF!</definedName>
    <definedName name="nv">#REF!</definedName>
    <definedName name="nvbnjg" localSheetId="1">#REF!</definedName>
    <definedName name="nvbnjg" localSheetId="2">#REF!</definedName>
    <definedName name="nvbnjg" localSheetId="3">#REF!</definedName>
    <definedName name="nvbnjg" localSheetId="5">#REF!</definedName>
    <definedName name="nvbnjg" localSheetId="6">#REF!</definedName>
    <definedName name="nvbnjg" localSheetId="7">#REF!</definedName>
    <definedName name="nvbnjg" localSheetId="11">#REF!</definedName>
    <definedName name="nvbnjg" localSheetId="9">#REF!</definedName>
    <definedName name="nvbnjg" localSheetId="10">#REF!</definedName>
    <definedName name="nvbnjg" localSheetId="13">#REF!</definedName>
    <definedName name="nvbnjg" localSheetId="14">#REF!</definedName>
    <definedName name="nvbnjg">#REF!</definedName>
    <definedName name="ok" localSheetId="1">#REF!</definedName>
    <definedName name="ok" localSheetId="2">#REF!</definedName>
    <definedName name="ok" localSheetId="3">#REF!</definedName>
    <definedName name="ok" localSheetId="5">#REF!</definedName>
    <definedName name="ok" localSheetId="6">#REF!</definedName>
    <definedName name="ok" localSheetId="7">#REF!</definedName>
    <definedName name="ok" localSheetId="11">#REF!</definedName>
    <definedName name="ok" localSheetId="9">#REF!</definedName>
    <definedName name="ok" localSheetId="10">#REF!</definedName>
    <definedName name="ok" localSheetId="13">#REF!</definedName>
    <definedName name="ok" localSheetId="14">#REF!</definedName>
    <definedName name="ok">#REF!</definedName>
    <definedName name="ooo" localSheetId="1">#REF!</definedName>
    <definedName name="ooo" localSheetId="2">#REF!</definedName>
    <definedName name="ooo" localSheetId="3">#REF!</definedName>
    <definedName name="ooo" localSheetId="5">#REF!</definedName>
    <definedName name="ooo" localSheetId="6">#REF!</definedName>
    <definedName name="ooo" localSheetId="7">#REF!</definedName>
    <definedName name="ooo" localSheetId="11">#REF!</definedName>
    <definedName name="ooo" localSheetId="9">#REF!</definedName>
    <definedName name="ooo" localSheetId="10">#REF!</definedName>
    <definedName name="ooo" localSheetId="13">#REF!</definedName>
    <definedName name="ooo" localSheetId="14">#REF!</definedName>
    <definedName name="ooo">#REF!</definedName>
    <definedName name="oooo" localSheetId="1">#REF!</definedName>
    <definedName name="oooo" localSheetId="2">#REF!</definedName>
    <definedName name="oooo" localSheetId="3">#REF!</definedName>
    <definedName name="oooo" localSheetId="5">#REF!</definedName>
    <definedName name="oooo" localSheetId="6">#REF!</definedName>
    <definedName name="oooo" localSheetId="7">#REF!</definedName>
    <definedName name="oooo" localSheetId="11">#REF!</definedName>
    <definedName name="oooo" localSheetId="9">#REF!</definedName>
    <definedName name="oooo" localSheetId="10">#REF!</definedName>
    <definedName name="oooo" localSheetId="13">#REF!</definedName>
    <definedName name="oooo" localSheetId="14">#REF!</definedName>
    <definedName name="oooo">#REF!</definedName>
    <definedName name="ooooo" localSheetId="1">#REF!</definedName>
    <definedName name="ooooo" localSheetId="2">#REF!</definedName>
    <definedName name="ooooo" localSheetId="3">#REF!</definedName>
    <definedName name="ooooo" localSheetId="5">#REF!</definedName>
    <definedName name="ooooo" localSheetId="6">#REF!</definedName>
    <definedName name="ooooo" localSheetId="7">#REF!</definedName>
    <definedName name="ooooo" localSheetId="11">#REF!</definedName>
    <definedName name="ooooo" localSheetId="9">#REF!</definedName>
    <definedName name="ooooo" localSheetId="10">#REF!</definedName>
    <definedName name="ooooo" localSheetId="13">#REF!</definedName>
    <definedName name="ooooo" localSheetId="14">#REF!</definedName>
    <definedName name="ooooo">#REF!</definedName>
    <definedName name="oop" localSheetId="1">#REF!</definedName>
    <definedName name="oop" localSheetId="2">#REF!</definedName>
    <definedName name="oop" localSheetId="3">#REF!</definedName>
    <definedName name="oop" localSheetId="5">#REF!</definedName>
    <definedName name="oop" localSheetId="6">#REF!</definedName>
    <definedName name="oop" localSheetId="7">#REF!</definedName>
    <definedName name="oop" localSheetId="11">#REF!</definedName>
    <definedName name="oop" localSheetId="9">#REF!</definedName>
    <definedName name="oop" localSheetId="10">#REF!</definedName>
    <definedName name="oop" localSheetId="13">#REF!</definedName>
    <definedName name="oop" localSheetId="14">#REF!</definedName>
    <definedName name="oop">#REF!</definedName>
    <definedName name="pendidikan" localSheetId="1">#REF!</definedName>
    <definedName name="pendidikan" localSheetId="2">#REF!</definedName>
    <definedName name="pendidikan" localSheetId="3">#REF!</definedName>
    <definedName name="pendidikan" localSheetId="5">#REF!</definedName>
    <definedName name="pendidikan" localSheetId="6">#REF!</definedName>
    <definedName name="pendidikan" localSheetId="7">#REF!</definedName>
    <definedName name="pendidikan" localSheetId="11">#REF!</definedName>
    <definedName name="pendidikan" localSheetId="9">#REF!</definedName>
    <definedName name="pendidikan" localSheetId="10">#REF!</definedName>
    <definedName name="pendidikan" localSheetId="13">#REF!</definedName>
    <definedName name="pendidikan" localSheetId="14">#REF!</definedName>
    <definedName name="pendidikan">#REF!</definedName>
    <definedName name="Perak" localSheetId="1">#REF!</definedName>
    <definedName name="Perak" localSheetId="2">#REF!</definedName>
    <definedName name="Perak" localSheetId="3">#REF!</definedName>
    <definedName name="Perak" localSheetId="5">#REF!</definedName>
    <definedName name="Perak" localSheetId="6">#REF!</definedName>
    <definedName name="Perak" localSheetId="7">#REF!</definedName>
    <definedName name="Perak" localSheetId="11">#REF!</definedName>
    <definedName name="Perak" localSheetId="9">#REF!</definedName>
    <definedName name="Perak" localSheetId="10">#REF!</definedName>
    <definedName name="Perak" localSheetId="13">#REF!</definedName>
    <definedName name="Perak" localSheetId="14">#REF!</definedName>
    <definedName name="Perak">#REF!</definedName>
    <definedName name="PERLIS" localSheetId="1">#REF!</definedName>
    <definedName name="PERLIS" localSheetId="2">#REF!</definedName>
    <definedName name="PERLIS" localSheetId="3">#REF!</definedName>
    <definedName name="PERLIS" localSheetId="5">#REF!</definedName>
    <definedName name="PERLIS" localSheetId="6">#REF!</definedName>
    <definedName name="PERLIS" localSheetId="7">#REF!</definedName>
    <definedName name="PERLIS" localSheetId="11">#REF!</definedName>
    <definedName name="PERLIS" localSheetId="9">#REF!</definedName>
    <definedName name="PERLIS" localSheetId="10">#REF!</definedName>
    <definedName name="PERLIS" localSheetId="13">#REF!</definedName>
    <definedName name="PERLIS" localSheetId="14">#REF!</definedName>
    <definedName name="PERLIS">#REF!</definedName>
    <definedName name="PERMINTAAN_DATA" localSheetId="1">#REF!</definedName>
    <definedName name="PERMINTAAN_DATA" localSheetId="2">#REF!</definedName>
    <definedName name="PERMINTAAN_DATA" localSheetId="3">#REF!</definedName>
    <definedName name="PERMINTAAN_DATA" localSheetId="5">#REF!</definedName>
    <definedName name="PERMINTAAN_DATA" localSheetId="6">#REF!</definedName>
    <definedName name="PERMINTAAN_DATA" localSheetId="7">#REF!</definedName>
    <definedName name="PERMINTAAN_DATA" localSheetId="11">#REF!</definedName>
    <definedName name="PERMINTAAN_DATA" localSheetId="9">#REF!</definedName>
    <definedName name="PERMINTAAN_DATA" localSheetId="10">#REF!</definedName>
    <definedName name="PERMINTAAN_DATA" localSheetId="13">#REF!</definedName>
    <definedName name="PERMINTAAN_DATA" localSheetId="14">#REF!</definedName>
    <definedName name="PERMINTAAN_DATA">#REF!</definedName>
    <definedName name="PERMINTAAN_DATA_KP335" localSheetId="1">#REF!</definedName>
    <definedName name="PERMINTAAN_DATA_KP335" localSheetId="2">#REF!</definedName>
    <definedName name="PERMINTAAN_DATA_KP335" localSheetId="3">#REF!</definedName>
    <definedName name="PERMINTAAN_DATA_KP335" localSheetId="5">#REF!</definedName>
    <definedName name="PERMINTAAN_DATA_KP335" localSheetId="6">#REF!</definedName>
    <definedName name="PERMINTAAN_DATA_KP335" localSheetId="7">#REF!</definedName>
    <definedName name="PERMINTAAN_DATA_KP335" localSheetId="11">#REF!</definedName>
    <definedName name="PERMINTAAN_DATA_KP335" localSheetId="9">#REF!</definedName>
    <definedName name="PERMINTAAN_DATA_KP335" localSheetId="10">#REF!</definedName>
    <definedName name="PERMINTAAN_DATA_KP335" localSheetId="13">#REF!</definedName>
    <definedName name="PERMINTAAN_DATA_KP335" localSheetId="14">#REF!</definedName>
    <definedName name="PERMINTAAN_DATA_KP335">#REF!</definedName>
    <definedName name="pilkjk" localSheetId="1">#REF!</definedName>
    <definedName name="pilkjk" localSheetId="2">#REF!</definedName>
    <definedName name="pilkjk" localSheetId="3">#REF!</definedName>
    <definedName name="pilkjk" localSheetId="5">#REF!</definedName>
    <definedName name="pilkjk" localSheetId="6">#REF!</definedName>
    <definedName name="pilkjk" localSheetId="7">#REF!</definedName>
    <definedName name="pilkjk" localSheetId="11">#REF!</definedName>
    <definedName name="pilkjk" localSheetId="9">#REF!</definedName>
    <definedName name="pilkjk" localSheetId="10">#REF!</definedName>
    <definedName name="pilkjk" localSheetId="13">#REF!</definedName>
    <definedName name="pilkjk" localSheetId="14">#REF!</definedName>
    <definedName name="pilkjk">#REF!</definedName>
    <definedName name="pppp" localSheetId="1" hidden="1">'[11]7.6'!#REF!</definedName>
    <definedName name="pppp" localSheetId="2" hidden="1">'[11]7.6'!#REF!</definedName>
    <definedName name="pppp" localSheetId="3" hidden="1">'[12]7.6'!#REF!</definedName>
    <definedName name="pppp" localSheetId="5" hidden="1">'[12]7.6'!#REF!</definedName>
    <definedName name="pppp" localSheetId="6" hidden="1">'[12]7.6'!#REF!</definedName>
    <definedName name="pppp" localSheetId="7" hidden="1">'[12]7.6'!#REF!</definedName>
    <definedName name="pppp" localSheetId="11" hidden="1">'[12]7.6'!#REF!</definedName>
    <definedName name="pppp" localSheetId="9" hidden="1">'[12]7.6'!#REF!</definedName>
    <definedName name="pppp" localSheetId="10" hidden="1">'[12]7.6'!#REF!</definedName>
    <definedName name="pppp" localSheetId="13" hidden="1">'[12]7.6'!#REF!</definedName>
    <definedName name="pppp" localSheetId="14" hidden="1">'[12]7.6'!#REF!</definedName>
    <definedName name="pppp" hidden="1">'[12]7.6'!#REF!</definedName>
    <definedName name="_xlnm.Print_Area" localSheetId="0">'7.1'!$A$1:$G$61</definedName>
    <definedName name="_xlnm.Print_Area" localSheetId="1">'7.2'!$A$1:$P$79</definedName>
    <definedName name="_xlnm.Print_Area" localSheetId="2">'7.2(1)'!$A$1:$M$78</definedName>
    <definedName name="_xlnm.Print_Area" localSheetId="3">'7.3 '!$A$1:$K$79</definedName>
    <definedName name="_xlnm.Print_Area" localSheetId="4">'7.3 (samb1)'!$A$1:$R$79</definedName>
    <definedName name="_xlnm.Print_Area" localSheetId="5">'7.3 (samb2)'!$A$1:$R$79</definedName>
    <definedName name="_xlnm.Print_Area" localSheetId="6">'7.3 (samb3)'!$A$1:$R$79</definedName>
    <definedName name="_xlnm.Print_Area" localSheetId="7">'7.4'!$A$1:$L$79</definedName>
    <definedName name="_xlnm.Print_Area" localSheetId="11">'7.4 (1)'!$A$1:$L$79</definedName>
    <definedName name="_xlnm.Print_Area" localSheetId="8">'7.4 (L)'!$A$1:$R$79</definedName>
    <definedName name="_xlnm.Print_Area" localSheetId="9">'7.4 (L) (2)'!$A$1:$R$79</definedName>
    <definedName name="_xlnm.Print_Area" localSheetId="10">'7.4 (L) (3)'!$A$1:$R$79</definedName>
    <definedName name="_xlnm.Print_Area" localSheetId="12">'7.4 (P)'!$A$1:$R$79</definedName>
    <definedName name="_xlnm.Print_Area" localSheetId="13">'7.4 (P) (2)'!$A$1:$R$79</definedName>
    <definedName name="_xlnm.Print_Area" localSheetId="14">'7.4 (P) (3)'!$A$1:$R$79</definedName>
    <definedName name="_xlnm.Print_Area" localSheetId="15">'7.5'!$A$1:$H$72</definedName>
    <definedName name="q" localSheetId="1">#REF!</definedName>
    <definedName name="q" localSheetId="2">#REF!</definedName>
    <definedName name="q" localSheetId="3">#REF!</definedName>
    <definedName name="q" localSheetId="5">#REF!</definedName>
    <definedName name="q" localSheetId="6">#REF!</definedName>
    <definedName name="q" localSheetId="7">#REF!</definedName>
    <definedName name="q" localSheetId="11">#REF!</definedName>
    <definedName name="q" localSheetId="9">#REF!</definedName>
    <definedName name="q" localSheetId="10">#REF!</definedName>
    <definedName name="q" localSheetId="13">#REF!</definedName>
    <definedName name="q" localSheetId="14">#REF!</definedName>
    <definedName name="q">#REF!</definedName>
    <definedName name="qq" localSheetId="1">#REF!</definedName>
    <definedName name="qq" localSheetId="2">#REF!</definedName>
    <definedName name="qq" localSheetId="3">#REF!</definedName>
    <definedName name="qq" localSheetId="5">#REF!</definedName>
    <definedName name="qq" localSheetId="6">#REF!</definedName>
    <definedName name="qq" localSheetId="7">#REF!</definedName>
    <definedName name="qq" localSheetId="11">#REF!</definedName>
    <definedName name="qq" localSheetId="9">#REF!</definedName>
    <definedName name="qq" localSheetId="10">#REF!</definedName>
    <definedName name="qq" localSheetId="13">#REF!</definedName>
    <definedName name="qq" localSheetId="14">#REF!</definedName>
    <definedName name="qq">#REF!</definedName>
    <definedName name="qqqttt" localSheetId="1">#REF!</definedName>
    <definedName name="qqqttt" localSheetId="2">#REF!</definedName>
    <definedName name="qqqttt" localSheetId="3">#REF!</definedName>
    <definedName name="qqqttt" localSheetId="5">#REF!</definedName>
    <definedName name="qqqttt" localSheetId="6">#REF!</definedName>
    <definedName name="qqqttt" localSheetId="7">#REF!</definedName>
    <definedName name="qqqttt" localSheetId="11">#REF!</definedName>
    <definedName name="qqqttt" localSheetId="9">#REF!</definedName>
    <definedName name="qqqttt" localSheetId="10">#REF!</definedName>
    <definedName name="qqqttt" localSheetId="13">#REF!</definedName>
    <definedName name="qqqttt" localSheetId="14">#REF!</definedName>
    <definedName name="qqqttt">#REF!</definedName>
    <definedName name="qqw" localSheetId="1" hidden="1">'[15]4.8'!#REF!</definedName>
    <definedName name="qqw" localSheetId="2" hidden="1">'[15]4.8'!#REF!</definedName>
    <definedName name="qqw" localSheetId="3" hidden="1">'[16]4.8'!#REF!</definedName>
    <definedName name="qqw" localSheetId="5" hidden="1">'[16]4.8'!#REF!</definedName>
    <definedName name="qqw" localSheetId="6" hidden="1">'[16]4.8'!#REF!</definedName>
    <definedName name="qqw" localSheetId="7" hidden="1">'[16]4.8'!#REF!</definedName>
    <definedName name="qqw" localSheetId="11" hidden="1">'[16]4.8'!#REF!</definedName>
    <definedName name="qqw" localSheetId="9" hidden="1">'[16]4.8'!#REF!</definedName>
    <definedName name="qqw" localSheetId="10" hidden="1">'[16]4.8'!#REF!</definedName>
    <definedName name="qqw" localSheetId="13" hidden="1">'[16]4.8'!#REF!</definedName>
    <definedName name="qqw" localSheetId="14" hidden="1">'[16]4.8'!#REF!</definedName>
    <definedName name="qqw" hidden="1">'[16]4.8'!#REF!</definedName>
    <definedName name="Region" localSheetId="1">[19]Sheet2!$B$2:$B$7</definedName>
    <definedName name="Region" localSheetId="2">[19]Sheet2!$B$2:$B$7</definedName>
    <definedName name="Region">[20]Sheet2!$B$2:$B$7</definedName>
    <definedName name="Region1" localSheetId="1">[21]Sheet1!$B$2:$B$19</definedName>
    <definedName name="Region1" localSheetId="2">[21]Sheet1!$B$2:$B$19</definedName>
    <definedName name="Region1">[22]Sheet1!$B$2:$B$19</definedName>
    <definedName name="row_no" localSheetId="1">[23]ref!$B$3:$K$20</definedName>
    <definedName name="row_no" localSheetId="2">[23]ref!$B$3:$K$20</definedName>
    <definedName name="row_no">[24]ref!$B$3:$K$20</definedName>
    <definedName name="row_no_head" localSheetId="1">[23]ref!$B$3:$K$3</definedName>
    <definedName name="row_no_head" localSheetId="2">[23]ref!$B$3:$K$3</definedName>
    <definedName name="row_no_head">[24]ref!$B$3:$K$3</definedName>
    <definedName name="rrr" localSheetId="1">#REF!</definedName>
    <definedName name="rrr" localSheetId="2">#REF!</definedName>
    <definedName name="rrr" localSheetId="3">#REF!</definedName>
    <definedName name="rrr" localSheetId="5">#REF!</definedName>
    <definedName name="rrr" localSheetId="6">#REF!</definedName>
    <definedName name="rrr" localSheetId="7">#REF!</definedName>
    <definedName name="rrr" localSheetId="11">#REF!</definedName>
    <definedName name="rrr" localSheetId="9">#REF!</definedName>
    <definedName name="rrr" localSheetId="10">#REF!</definedName>
    <definedName name="rrr" localSheetId="13">#REF!</definedName>
    <definedName name="rrr" localSheetId="14">#REF!</definedName>
    <definedName name="rrr">#REF!</definedName>
    <definedName name="s" localSheetId="1">#REF!</definedName>
    <definedName name="s" localSheetId="2">#REF!</definedName>
    <definedName name="s" localSheetId="3">#REF!</definedName>
    <definedName name="s" localSheetId="5">#REF!</definedName>
    <definedName name="s" localSheetId="6">#REF!</definedName>
    <definedName name="s" localSheetId="7">#REF!</definedName>
    <definedName name="s" localSheetId="11">#REF!</definedName>
    <definedName name="s" localSheetId="9">#REF!</definedName>
    <definedName name="s" localSheetId="10">#REF!</definedName>
    <definedName name="s" localSheetId="13">#REF!</definedName>
    <definedName name="s" localSheetId="14">#REF!</definedName>
    <definedName name="s">#REF!</definedName>
    <definedName name="sa" localSheetId="1">#REF!</definedName>
    <definedName name="sa" localSheetId="2">#REF!</definedName>
    <definedName name="sa" localSheetId="3">#REF!</definedName>
    <definedName name="sa" localSheetId="5">#REF!</definedName>
    <definedName name="sa" localSheetId="6">#REF!</definedName>
    <definedName name="sa" localSheetId="7">#REF!</definedName>
    <definedName name="sa" localSheetId="11">#REF!</definedName>
    <definedName name="sa" localSheetId="9">#REF!</definedName>
    <definedName name="sa" localSheetId="10">#REF!</definedName>
    <definedName name="sa" localSheetId="13">#REF!</definedName>
    <definedName name="sa" localSheetId="14">#REF!</definedName>
    <definedName name="sa">#REF!</definedName>
    <definedName name="saadqff" localSheetId="1">#REF!</definedName>
    <definedName name="saadqff" localSheetId="2">#REF!</definedName>
    <definedName name="saadqff" localSheetId="3">#REF!</definedName>
    <definedName name="saadqff" localSheetId="5">#REF!</definedName>
    <definedName name="saadqff" localSheetId="6">#REF!</definedName>
    <definedName name="saadqff" localSheetId="7">#REF!</definedName>
    <definedName name="saadqff" localSheetId="11">#REF!</definedName>
    <definedName name="saadqff" localSheetId="9">#REF!</definedName>
    <definedName name="saadqff" localSheetId="10">#REF!</definedName>
    <definedName name="saadqff" localSheetId="13">#REF!</definedName>
    <definedName name="saadqff" localSheetId="14">#REF!</definedName>
    <definedName name="saadqff">#REF!</definedName>
    <definedName name="sabah" localSheetId="1" hidden="1">'[25]5.11'!$E$15:$J$15</definedName>
    <definedName name="sabah" localSheetId="2" hidden="1">'[25]5.11'!$E$15:$J$15</definedName>
    <definedName name="sabah" hidden="1">'[26]5.11'!$E$15:$J$15</definedName>
    <definedName name="sama" localSheetId="1" hidden="1">'[7]4.3'!#REF!</definedName>
    <definedName name="sama" localSheetId="2" hidden="1">'[7]4.3'!#REF!</definedName>
    <definedName name="sama" localSheetId="3" hidden="1">'[8]4.3'!#REF!</definedName>
    <definedName name="sama" localSheetId="5" hidden="1">'[8]4.3'!#REF!</definedName>
    <definedName name="sama" localSheetId="6" hidden="1">'[8]4.3'!#REF!</definedName>
    <definedName name="sama" localSheetId="7" hidden="1">'[8]4.3'!#REF!</definedName>
    <definedName name="sama" localSheetId="11" hidden="1">'[8]4.3'!#REF!</definedName>
    <definedName name="sama" localSheetId="9" hidden="1">'[8]4.3'!#REF!</definedName>
    <definedName name="sama" localSheetId="10" hidden="1">'[8]4.3'!#REF!</definedName>
    <definedName name="sama" localSheetId="13" hidden="1">'[8]4.3'!#REF!</definedName>
    <definedName name="sama" localSheetId="14" hidden="1">'[8]4.3'!#REF!</definedName>
    <definedName name="sama" hidden="1">'[8]4.3'!#REF!</definedName>
    <definedName name="sasas" localSheetId="1">#REF!</definedName>
    <definedName name="sasas" localSheetId="2">#REF!</definedName>
    <definedName name="sasas" localSheetId="3">#REF!</definedName>
    <definedName name="sasas" localSheetId="5">#REF!</definedName>
    <definedName name="sasas" localSheetId="6">#REF!</definedName>
    <definedName name="sasas" localSheetId="7">#REF!</definedName>
    <definedName name="sasas" localSheetId="11">#REF!</definedName>
    <definedName name="sasas" localSheetId="9">#REF!</definedName>
    <definedName name="sasas" localSheetId="10">#REF!</definedName>
    <definedName name="sasas" localSheetId="13">#REF!</definedName>
    <definedName name="sasas" localSheetId="14">#REF!</definedName>
    <definedName name="sasas">#REF!</definedName>
    <definedName name="sds" localSheetId="1" hidden="1">#REF!</definedName>
    <definedName name="sds" localSheetId="2" hidden="1">#REF!</definedName>
    <definedName name="sds" localSheetId="3" hidden="1">#REF!</definedName>
    <definedName name="sds" localSheetId="5" hidden="1">#REF!</definedName>
    <definedName name="sds" localSheetId="6" hidden="1">#REF!</definedName>
    <definedName name="sds" localSheetId="7" hidden="1">#REF!</definedName>
    <definedName name="sds" localSheetId="11" hidden="1">#REF!</definedName>
    <definedName name="sds" localSheetId="9" hidden="1">#REF!</definedName>
    <definedName name="sds" localSheetId="10" hidden="1">#REF!</definedName>
    <definedName name="sds" localSheetId="13" hidden="1">#REF!</definedName>
    <definedName name="sds" localSheetId="14" hidden="1">#REF!</definedName>
    <definedName name="sds" hidden="1">#REF!</definedName>
    <definedName name="sefdhdrtsg" localSheetId="1">#REF!</definedName>
    <definedName name="sefdhdrtsg" localSheetId="2">#REF!</definedName>
    <definedName name="sefdhdrtsg" localSheetId="3">#REF!</definedName>
    <definedName name="sefdhdrtsg" localSheetId="5">#REF!</definedName>
    <definedName name="sefdhdrtsg" localSheetId="6">#REF!</definedName>
    <definedName name="sefdhdrtsg" localSheetId="7">#REF!</definedName>
    <definedName name="sefdhdrtsg" localSheetId="11">#REF!</definedName>
    <definedName name="sefdhdrtsg" localSheetId="9">#REF!</definedName>
    <definedName name="sefdhdrtsg" localSheetId="10">#REF!</definedName>
    <definedName name="sefdhdrtsg" localSheetId="13">#REF!</definedName>
    <definedName name="sefdhdrtsg" localSheetId="14">#REF!</definedName>
    <definedName name="sefdhdrtsg">#REF!</definedName>
    <definedName name="sehingga18" localSheetId="1">#REF!</definedName>
    <definedName name="sehingga18" localSheetId="2">#REF!</definedName>
    <definedName name="sehingga18" localSheetId="3">#REF!</definedName>
    <definedName name="sehingga18" localSheetId="5">#REF!</definedName>
    <definedName name="sehingga18" localSheetId="6">#REF!</definedName>
    <definedName name="sehingga18" localSheetId="7">#REF!</definedName>
    <definedName name="sehingga18" localSheetId="11">#REF!</definedName>
    <definedName name="sehingga18" localSheetId="9">#REF!</definedName>
    <definedName name="sehingga18" localSheetId="10">#REF!</definedName>
    <definedName name="sehingga18" localSheetId="13">#REF!</definedName>
    <definedName name="sehingga18" localSheetId="14">#REF!</definedName>
    <definedName name="sehingga18">#REF!</definedName>
    <definedName name="sep" localSheetId="1">#REF!</definedName>
    <definedName name="sep" localSheetId="2">#REF!</definedName>
    <definedName name="sep" localSheetId="3">#REF!</definedName>
    <definedName name="sep" localSheetId="5">#REF!</definedName>
    <definedName name="sep" localSheetId="6">#REF!</definedName>
    <definedName name="sep" localSheetId="7">#REF!</definedName>
    <definedName name="sep" localSheetId="11">#REF!</definedName>
    <definedName name="sep" localSheetId="9">#REF!</definedName>
    <definedName name="sep" localSheetId="10">#REF!</definedName>
    <definedName name="sep" localSheetId="13">#REF!</definedName>
    <definedName name="sep" localSheetId="14">#REF!</definedName>
    <definedName name="sep">#REF!</definedName>
    <definedName name="sfst" localSheetId="1">#REF!</definedName>
    <definedName name="sfst" localSheetId="2">#REF!</definedName>
    <definedName name="sfst" localSheetId="3">#REF!</definedName>
    <definedName name="sfst" localSheetId="5">#REF!</definedName>
    <definedName name="sfst" localSheetId="6">#REF!</definedName>
    <definedName name="sfst" localSheetId="7">#REF!</definedName>
    <definedName name="sfst" localSheetId="11">#REF!</definedName>
    <definedName name="sfst" localSheetId="9">#REF!</definedName>
    <definedName name="sfst" localSheetId="10">#REF!</definedName>
    <definedName name="sfst" localSheetId="13">#REF!</definedName>
    <definedName name="sfst" localSheetId="14">#REF!</definedName>
    <definedName name="sfst">#REF!</definedName>
    <definedName name="sgd" localSheetId="1">#REF!</definedName>
    <definedName name="sgd" localSheetId="2">#REF!</definedName>
    <definedName name="sgd" localSheetId="3">#REF!</definedName>
    <definedName name="sgd" localSheetId="5">#REF!</definedName>
    <definedName name="sgd" localSheetId="6">#REF!</definedName>
    <definedName name="sgd" localSheetId="7">#REF!</definedName>
    <definedName name="sgd" localSheetId="11">#REF!</definedName>
    <definedName name="sgd" localSheetId="9">#REF!</definedName>
    <definedName name="sgd" localSheetId="10">#REF!</definedName>
    <definedName name="sgd" localSheetId="13">#REF!</definedName>
    <definedName name="sgd" localSheetId="14">#REF!</definedName>
    <definedName name="sgd">#REF!</definedName>
    <definedName name="slgr" localSheetId="1" hidden="1">#REF!</definedName>
    <definedName name="slgr" localSheetId="2" hidden="1">#REF!</definedName>
    <definedName name="slgr" localSheetId="3" hidden="1">#REF!</definedName>
    <definedName name="slgr" localSheetId="5" hidden="1">#REF!</definedName>
    <definedName name="slgr" localSheetId="6" hidden="1">#REF!</definedName>
    <definedName name="slgr" localSheetId="7" hidden="1">#REF!</definedName>
    <definedName name="slgr" localSheetId="11" hidden="1">#REF!</definedName>
    <definedName name="slgr" localSheetId="9" hidden="1">#REF!</definedName>
    <definedName name="slgr" localSheetId="10" hidden="1">#REF!</definedName>
    <definedName name="slgr" localSheetId="13" hidden="1">#REF!</definedName>
    <definedName name="slgr" localSheetId="14" hidden="1">#REF!</definedName>
    <definedName name="slgr" hidden="1">#REF!</definedName>
    <definedName name="srrr" localSheetId="1">#REF!</definedName>
    <definedName name="srrr" localSheetId="2">#REF!</definedName>
    <definedName name="srrr" localSheetId="3">#REF!</definedName>
    <definedName name="srrr" localSheetId="5">#REF!</definedName>
    <definedName name="srrr" localSheetId="6">#REF!</definedName>
    <definedName name="srrr" localSheetId="7">#REF!</definedName>
    <definedName name="srrr" localSheetId="11">#REF!</definedName>
    <definedName name="srrr" localSheetId="9">#REF!</definedName>
    <definedName name="srrr" localSheetId="10">#REF!</definedName>
    <definedName name="srrr" localSheetId="13">#REF!</definedName>
    <definedName name="srrr" localSheetId="14">#REF!</definedName>
    <definedName name="srrr">#REF!</definedName>
    <definedName name="sss" localSheetId="1">#REF!</definedName>
    <definedName name="sss" localSheetId="2">#REF!</definedName>
    <definedName name="sss" localSheetId="3">#REF!</definedName>
    <definedName name="sss" localSheetId="5">#REF!</definedName>
    <definedName name="sss" localSheetId="6">#REF!</definedName>
    <definedName name="sss" localSheetId="7">#REF!</definedName>
    <definedName name="sss" localSheetId="11">#REF!</definedName>
    <definedName name="sss" localSheetId="9">#REF!</definedName>
    <definedName name="sss" localSheetId="10">#REF!</definedName>
    <definedName name="sss" localSheetId="13">#REF!</definedName>
    <definedName name="sss" localSheetId="14">#REF!</definedName>
    <definedName name="sss">#REF!</definedName>
    <definedName name="ssssw" localSheetId="1" hidden="1">'[7]4.9'!#REF!</definedName>
    <definedName name="ssssw" localSheetId="2" hidden="1">'[7]4.9'!#REF!</definedName>
    <definedName name="ssssw" localSheetId="3" hidden="1">'[8]4.9'!#REF!</definedName>
    <definedName name="ssssw" localSheetId="5" hidden="1">'[8]4.9'!#REF!</definedName>
    <definedName name="ssssw" localSheetId="6" hidden="1">'[8]4.9'!#REF!</definedName>
    <definedName name="ssssw" localSheetId="7" hidden="1">'[8]4.9'!#REF!</definedName>
    <definedName name="ssssw" localSheetId="11" hidden="1">'[8]4.9'!#REF!</definedName>
    <definedName name="ssssw" localSheetId="9" hidden="1">'[8]4.9'!#REF!</definedName>
    <definedName name="ssssw" localSheetId="10" hidden="1">'[8]4.9'!#REF!</definedName>
    <definedName name="ssssw" localSheetId="13" hidden="1">'[8]4.9'!#REF!</definedName>
    <definedName name="ssssw" localSheetId="14" hidden="1">'[8]4.9'!#REF!</definedName>
    <definedName name="ssssw" hidden="1">'[8]4.9'!#REF!</definedName>
    <definedName name="state" localSheetId="1">[23]ref!$B$23:$C$38</definedName>
    <definedName name="state" localSheetId="2">[23]ref!$B$23:$C$38</definedName>
    <definedName name="state">[24]ref!$B$23:$C$38</definedName>
    <definedName name="t" localSheetId="1" hidden="1">#REF!</definedName>
    <definedName name="t" localSheetId="2" hidden="1">#REF!</definedName>
    <definedName name="t" localSheetId="3" hidden="1">#REF!</definedName>
    <definedName name="t" localSheetId="5" hidden="1">#REF!</definedName>
    <definedName name="t" localSheetId="6" hidden="1">#REF!</definedName>
    <definedName name="t" localSheetId="7" hidden="1">#REF!</definedName>
    <definedName name="t" localSheetId="11" hidden="1">#REF!</definedName>
    <definedName name="t" localSheetId="9" hidden="1">#REF!</definedName>
    <definedName name="t" localSheetId="10" hidden="1">#REF!</definedName>
    <definedName name="t" localSheetId="13" hidden="1">#REF!</definedName>
    <definedName name="t" localSheetId="14" hidden="1">#REF!</definedName>
    <definedName name="t" hidden="1">#REF!</definedName>
    <definedName name="table_no" localSheetId="1">[23]ref!$B$23:$E$38</definedName>
    <definedName name="table_no" localSheetId="2">[23]ref!$B$23:$E$38</definedName>
    <definedName name="table_no">[24]ref!$B$23:$E$38</definedName>
    <definedName name="te" localSheetId="1" hidden="1">'[7]4.9'!#REF!</definedName>
    <definedName name="te" localSheetId="2" hidden="1">'[7]4.9'!#REF!</definedName>
    <definedName name="te" localSheetId="3" hidden="1">'[8]4.9'!#REF!</definedName>
    <definedName name="te" localSheetId="5" hidden="1">'[8]4.9'!#REF!</definedName>
    <definedName name="te" localSheetId="6" hidden="1">'[8]4.9'!#REF!</definedName>
    <definedName name="te" localSheetId="7" hidden="1">'[8]4.9'!#REF!</definedName>
    <definedName name="te" localSheetId="11" hidden="1">'[8]4.9'!#REF!</definedName>
    <definedName name="te" localSheetId="9" hidden="1">'[8]4.9'!#REF!</definedName>
    <definedName name="te" localSheetId="10" hidden="1">'[8]4.9'!#REF!</definedName>
    <definedName name="te" localSheetId="13" hidden="1">'[8]4.9'!#REF!</definedName>
    <definedName name="te" localSheetId="14" hidden="1">'[8]4.9'!#REF!</definedName>
    <definedName name="te" hidden="1">'[8]4.9'!#REF!</definedName>
    <definedName name="Ter_a" localSheetId="1" hidden="1">'[7]4.9'!#REF!</definedName>
    <definedName name="Ter_a" localSheetId="2" hidden="1">'[7]4.9'!#REF!</definedName>
    <definedName name="Ter_a" localSheetId="3" hidden="1">'[8]4.9'!#REF!</definedName>
    <definedName name="Ter_a" localSheetId="5" hidden="1">'[8]4.9'!#REF!</definedName>
    <definedName name="Ter_a" localSheetId="6" hidden="1">'[8]4.9'!#REF!</definedName>
    <definedName name="Ter_a" localSheetId="7" hidden="1">'[8]4.9'!#REF!</definedName>
    <definedName name="Ter_a" localSheetId="11" hidden="1">'[8]4.9'!#REF!</definedName>
    <definedName name="Ter_a" localSheetId="9" hidden="1">'[8]4.9'!#REF!</definedName>
    <definedName name="Ter_a" localSheetId="10" hidden="1">'[8]4.9'!#REF!</definedName>
    <definedName name="Ter_a" localSheetId="13" hidden="1">'[8]4.9'!#REF!</definedName>
    <definedName name="Ter_a" localSheetId="14" hidden="1">'[8]4.9'!#REF!</definedName>
    <definedName name="Ter_a" hidden="1">'[8]4.9'!#REF!</definedName>
    <definedName name="tes" localSheetId="1" hidden="1">'[7]4.9'!#REF!</definedName>
    <definedName name="tes" localSheetId="2" hidden="1">'[7]4.9'!#REF!</definedName>
    <definedName name="tes" localSheetId="3" hidden="1">'[8]4.9'!#REF!</definedName>
    <definedName name="tes" localSheetId="5" hidden="1">'[8]4.9'!#REF!</definedName>
    <definedName name="tes" localSheetId="6" hidden="1">'[8]4.9'!#REF!</definedName>
    <definedName name="tes" localSheetId="7" hidden="1">'[8]4.9'!#REF!</definedName>
    <definedName name="tes" localSheetId="11" hidden="1">'[8]4.9'!#REF!</definedName>
    <definedName name="tes" localSheetId="9" hidden="1">'[8]4.9'!#REF!</definedName>
    <definedName name="tes" localSheetId="10" hidden="1">'[8]4.9'!#REF!</definedName>
    <definedName name="tes" localSheetId="13" hidden="1">'[8]4.9'!#REF!</definedName>
    <definedName name="tes" localSheetId="14" hidden="1">'[8]4.9'!#REF!</definedName>
    <definedName name="tes" hidden="1">'[8]4.9'!#REF!</definedName>
    <definedName name="test" localSheetId="1" hidden="1">#REF!</definedName>
    <definedName name="test" localSheetId="2" hidden="1">#REF!</definedName>
    <definedName name="test" localSheetId="3" hidden="1">#REF!</definedName>
    <definedName name="test" localSheetId="5" hidden="1">#REF!</definedName>
    <definedName name="test" localSheetId="6" hidden="1">#REF!</definedName>
    <definedName name="test" localSheetId="7" hidden="1">#REF!</definedName>
    <definedName name="test" localSheetId="11" hidden="1">#REF!</definedName>
    <definedName name="test" localSheetId="9" hidden="1">#REF!</definedName>
    <definedName name="test" localSheetId="10" hidden="1">#REF!</definedName>
    <definedName name="test" localSheetId="13" hidden="1">#REF!</definedName>
    <definedName name="test" localSheetId="14" hidden="1">#REF!</definedName>
    <definedName name="test" hidden="1">#REF!</definedName>
    <definedName name="test3333333" localSheetId="1" hidden="1">#REF!</definedName>
    <definedName name="test3333333" localSheetId="2" hidden="1">#REF!</definedName>
    <definedName name="test3333333" localSheetId="3" hidden="1">#REF!</definedName>
    <definedName name="test3333333" localSheetId="5" hidden="1">#REF!</definedName>
    <definedName name="test3333333" localSheetId="6" hidden="1">#REF!</definedName>
    <definedName name="test3333333" localSheetId="7" hidden="1">#REF!</definedName>
    <definedName name="test3333333" localSheetId="11" hidden="1">#REF!</definedName>
    <definedName name="test3333333" localSheetId="9" hidden="1">#REF!</definedName>
    <definedName name="test3333333" localSheetId="10" hidden="1">#REF!</definedName>
    <definedName name="test3333333" localSheetId="13" hidden="1">#REF!</definedName>
    <definedName name="test3333333" localSheetId="14" hidden="1">#REF!</definedName>
    <definedName name="test3333333" hidden="1">#REF!</definedName>
    <definedName name="tt" localSheetId="1">#REF!</definedName>
    <definedName name="tt" localSheetId="2">#REF!</definedName>
    <definedName name="tt" localSheetId="3">#REF!</definedName>
    <definedName name="tt" localSheetId="5">#REF!</definedName>
    <definedName name="tt" localSheetId="6">#REF!</definedName>
    <definedName name="tt" localSheetId="7">#REF!</definedName>
    <definedName name="tt" localSheetId="11">#REF!</definedName>
    <definedName name="tt" localSheetId="9">#REF!</definedName>
    <definedName name="tt" localSheetId="10">#REF!</definedName>
    <definedName name="tt" localSheetId="13">#REF!</definedName>
    <definedName name="tt" localSheetId="14">#REF!</definedName>
    <definedName name="tt">#REF!</definedName>
    <definedName name="tttt" localSheetId="1" hidden="1">'[7]4.9'!#REF!</definedName>
    <definedName name="tttt" localSheetId="2" hidden="1">'[7]4.9'!#REF!</definedName>
    <definedName name="tttt" localSheetId="3" hidden="1">'[8]4.9'!#REF!</definedName>
    <definedName name="tttt" localSheetId="5" hidden="1">'[8]4.9'!#REF!</definedName>
    <definedName name="tttt" localSheetId="6" hidden="1">'[8]4.9'!#REF!</definedName>
    <definedName name="tttt" localSheetId="7" hidden="1">'[8]4.9'!#REF!</definedName>
    <definedName name="tttt" localSheetId="11" hidden="1">'[8]4.9'!#REF!</definedName>
    <definedName name="tttt" localSheetId="9" hidden="1">'[8]4.9'!#REF!</definedName>
    <definedName name="tttt" localSheetId="10" hidden="1">'[8]4.9'!#REF!</definedName>
    <definedName name="tttt" localSheetId="13" hidden="1">'[8]4.9'!#REF!</definedName>
    <definedName name="tttt" localSheetId="14" hidden="1">'[8]4.9'!#REF!</definedName>
    <definedName name="tttt" hidden="1">'[8]4.9'!#REF!</definedName>
    <definedName name="tttww" localSheetId="1">#REF!</definedName>
    <definedName name="tttww" localSheetId="2">#REF!</definedName>
    <definedName name="tttww" localSheetId="3">#REF!</definedName>
    <definedName name="tttww" localSheetId="5">#REF!</definedName>
    <definedName name="tttww" localSheetId="6">#REF!</definedName>
    <definedName name="tttww" localSheetId="7">#REF!</definedName>
    <definedName name="tttww" localSheetId="11">#REF!</definedName>
    <definedName name="tttww" localSheetId="9">#REF!</definedName>
    <definedName name="tttww" localSheetId="10">#REF!</definedName>
    <definedName name="tttww" localSheetId="13">#REF!</definedName>
    <definedName name="tttww" localSheetId="14">#REF!</definedName>
    <definedName name="tttww">#REF!</definedName>
    <definedName name="u" localSheetId="1">#REF!</definedName>
    <definedName name="u" localSheetId="2">#REF!</definedName>
    <definedName name="u" localSheetId="3">#REF!</definedName>
    <definedName name="u" localSheetId="5">#REF!</definedName>
    <definedName name="u" localSheetId="6">#REF!</definedName>
    <definedName name="u" localSheetId="7">#REF!</definedName>
    <definedName name="u" localSheetId="11">#REF!</definedName>
    <definedName name="u" localSheetId="9">#REF!</definedName>
    <definedName name="u" localSheetId="10">#REF!</definedName>
    <definedName name="u" localSheetId="13">#REF!</definedName>
    <definedName name="u" localSheetId="14">#REF!</definedName>
    <definedName name="u">#REF!</definedName>
    <definedName name="umum" localSheetId="1">#REF!</definedName>
    <definedName name="umum" localSheetId="2">#REF!</definedName>
    <definedName name="umum" localSheetId="3">#REF!</definedName>
    <definedName name="umum" localSheetId="5">#REF!</definedName>
    <definedName name="umum" localSheetId="6">#REF!</definedName>
    <definedName name="umum" localSheetId="7">#REF!</definedName>
    <definedName name="umum" localSheetId="11">#REF!</definedName>
    <definedName name="umum" localSheetId="9">#REF!</definedName>
    <definedName name="umum" localSheetId="10">#REF!</definedName>
    <definedName name="umum" localSheetId="13">#REF!</definedName>
    <definedName name="umum" localSheetId="14">#REF!</definedName>
    <definedName name="umum">#REF!</definedName>
    <definedName name="uuu" localSheetId="1" hidden="1">#REF!</definedName>
    <definedName name="uuu" localSheetId="2" hidden="1">#REF!</definedName>
    <definedName name="uuu" localSheetId="3" hidden="1">#REF!</definedName>
    <definedName name="uuu" localSheetId="5" hidden="1">#REF!</definedName>
    <definedName name="uuu" localSheetId="6" hidden="1">#REF!</definedName>
    <definedName name="uuu" localSheetId="7" hidden="1">#REF!</definedName>
    <definedName name="uuu" localSheetId="11" hidden="1">#REF!</definedName>
    <definedName name="uuu" localSheetId="9" hidden="1">#REF!</definedName>
    <definedName name="uuu" localSheetId="10" hidden="1">#REF!</definedName>
    <definedName name="uuu" localSheetId="13" hidden="1">#REF!</definedName>
    <definedName name="uuu" localSheetId="14" hidden="1">#REF!</definedName>
    <definedName name="uuu" hidden="1">#REF!</definedName>
    <definedName name="uuuuu" localSheetId="1">#REF!</definedName>
    <definedName name="uuuuu" localSheetId="2">#REF!</definedName>
    <definedName name="uuuuu" localSheetId="3">#REF!</definedName>
    <definedName name="uuuuu" localSheetId="5">#REF!</definedName>
    <definedName name="uuuuu" localSheetId="6">#REF!</definedName>
    <definedName name="uuuuu" localSheetId="7">#REF!</definedName>
    <definedName name="uuuuu" localSheetId="11">#REF!</definedName>
    <definedName name="uuuuu" localSheetId="9">#REF!</definedName>
    <definedName name="uuuuu" localSheetId="10">#REF!</definedName>
    <definedName name="uuuuu" localSheetId="13">#REF!</definedName>
    <definedName name="uuuuu" localSheetId="14">#REF!</definedName>
    <definedName name="uuuuu">#REF!</definedName>
    <definedName name="v" localSheetId="1" hidden="1">'[7]4.3'!#REF!</definedName>
    <definedName name="v" localSheetId="2" hidden="1">'[7]4.3'!#REF!</definedName>
    <definedName name="v" localSheetId="3" hidden="1">'[8]4.3'!#REF!</definedName>
    <definedName name="v" localSheetId="5" hidden="1">'[8]4.3'!#REF!</definedName>
    <definedName name="v" localSheetId="6" hidden="1">'[8]4.3'!#REF!</definedName>
    <definedName name="v" localSheetId="7" hidden="1">'[8]4.3'!#REF!</definedName>
    <definedName name="v" localSheetId="11" hidden="1">'[8]4.3'!#REF!</definedName>
    <definedName name="v" localSheetId="9" hidden="1">'[8]4.3'!#REF!</definedName>
    <definedName name="v" localSheetId="10" hidden="1">'[8]4.3'!#REF!</definedName>
    <definedName name="v" localSheetId="13" hidden="1">'[8]4.3'!#REF!</definedName>
    <definedName name="v" localSheetId="14" hidden="1">'[8]4.3'!#REF!</definedName>
    <definedName name="v" hidden="1">'[8]4.3'!#REF!</definedName>
    <definedName name="vbcbvc" localSheetId="1">#REF!</definedName>
    <definedName name="vbcbvc" localSheetId="2">#REF!</definedName>
    <definedName name="vbcbvc" localSheetId="3">#REF!</definedName>
    <definedName name="vbcbvc" localSheetId="5">#REF!</definedName>
    <definedName name="vbcbvc" localSheetId="6">#REF!</definedName>
    <definedName name="vbcbvc" localSheetId="7">#REF!</definedName>
    <definedName name="vbcbvc" localSheetId="11">#REF!</definedName>
    <definedName name="vbcbvc" localSheetId="9">#REF!</definedName>
    <definedName name="vbcbvc" localSheetId="10">#REF!</definedName>
    <definedName name="vbcbvc" localSheetId="13">#REF!</definedName>
    <definedName name="vbcbvc" localSheetId="14">#REF!</definedName>
    <definedName name="vbcbvc">#REF!</definedName>
    <definedName name="vbv" localSheetId="1">#REF!</definedName>
    <definedName name="vbv" localSheetId="2">#REF!</definedName>
    <definedName name="vbv" localSheetId="3">#REF!</definedName>
    <definedName name="vbv" localSheetId="5">#REF!</definedName>
    <definedName name="vbv" localSheetId="6">#REF!</definedName>
    <definedName name="vbv" localSheetId="7">#REF!</definedName>
    <definedName name="vbv" localSheetId="11">#REF!</definedName>
    <definedName name="vbv" localSheetId="9">#REF!</definedName>
    <definedName name="vbv" localSheetId="10">#REF!</definedName>
    <definedName name="vbv" localSheetId="13">#REF!</definedName>
    <definedName name="vbv" localSheetId="14">#REF!</definedName>
    <definedName name="vbv">#REF!</definedName>
    <definedName name="vcb" localSheetId="1">#REF!</definedName>
    <definedName name="vcb" localSheetId="2">#REF!</definedName>
    <definedName name="vcb" localSheetId="3">#REF!</definedName>
    <definedName name="vcb" localSheetId="5">#REF!</definedName>
    <definedName name="vcb" localSheetId="6">#REF!</definedName>
    <definedName name="vcb" localSheetId="7">#REF!</definedName>
    <definedName name="vcb" localSheetId="11">#REF!</definedName>
    <definedName name="vcb" localSheetId="9">#REF!</definedName>
    <definedName name="vcb" localSheetId="10">#REF!</definedName>
    <definedName name="vcb" localSheetId="13">#REF!</definedName>
    <definedName name="vcb" localSheetId="14">#REF!</definedName>
    <definedName name="vcb">#REF!</definedName>
    <definedName name="vcc" localSheetId="1">#REF!</definedName>
    <definedName name="vcc" localSheetId="2">#REF!</definedName>
    <definedName name="vcc" localSheetId="3">#REF!</definedName>
    <definedName name="vcc" localSheetId="5">#REF!</definedName>
    <definedName name="vcc" localSheetId="6">#REF!</definedName>
    <definedName name="vcc" localSheetId="7">#REF!</definedName>
    <definedName name="vcc" localSheetId="11">#REF!</definedName>
    <definedName name="vcc" localSheetId="9">#REF!</definedName>
    <definedName name="vcc" localSheetId="10">#REF!</definedName>
    <definedName name="vcc" localSheetId="13">#REF!</definedName>
    <definedName name="vcc" localSheetId="14">#REF!</definedName>
    <definedName name="vcc">#REF!</definedName>
    <definedName name="vcvc" localSheetId="1">#REF!</definedName>
    <definedName name="vcvc" localSheetId="2">#REF!</definedName>
    <definedName name="vcvc" localSheetId="3">#REF!</definedName>
    <definedName name="vcvc" localSheetId="5">#REF!</definedName>
    <definedName name="vcvc" localSheetId="6">#REF!</definedName>
    <definedName name="vcvc" localSheetId="7">#REF!</definedName>
    <definedName name="vcvc" localSheetId="11">#REF!</definedName>
    <definedName name="vcvc" localSheetId="9">#REF!</definedName>
    <definedName name="vcvc" localSheetId="10">#REF!</definedName>
    <definedName name="vcvc" localSheetId="13">#REF!</definedName>
    <definedName name="vcvc" localSheetId="14">#REF!</definedName>
    <definedName name="vcvc">#REF!</definedName>
    <definedName name="vcx" localSheetId="1">#REF!</definedName>
    <definedName name="vcx" localSheetId="2">#REF!</definedName>
    <definedName name="vcx" localSheetId="3">#REF!</definedName>
    <definedName name="vcx" localSheetId="5">#REF!</definedName>
    <definedName name="vcx" localSheetId="6">#REF!</definedName>
    <definedName name="vcx" localSheetId="7">#REF!</definedName>
    <definedName name="vcx" localSheetId="11">#REF!</definedName>
    <definedName name="vcx" localSheetId="9">#REF!</definedName>
    <definedName name="vcx" localSheetId="10">#REF!</definedName>
    <definedName name="vcx" localSheetId="13">#REF!</definedName>
    <definedName name="vcx" localSheetId="14">#REF!</definedName>
    <definedName name="vcx">#REF!</definedName>
    <definedName name="vdfvd" localSheetId="1" hidden="1">#REF!</definedName>
    <definedName name="vdfvd" localSheetId="2" hidden="1">#REF!</definedName>
    <definedName name="vdfvd" localSheetId="3" hidden="1">#REF!</definedName>
    <definedName name="vdfvd" localSheetId="5" hidden="1">#REF!</definedName>
    <definedName name="vdfvd" localSheetId="6" hidden="1">#REF!</definedName>
    <definedName name="vdfvd" localSheetId="7" hidden="1">#REF!</definedName>
    <definedName name="vdfvd" localSheetId="11" hidden="1">#REF!</definedName>
    <definedName name="vdfvd" localSheetId="9" hidden="1">#REF!</definedName>
    <definedName name="vdfvd" localSheetId="10" hidden="1">#REF!</definedName>
    <definedName name="vdfvd" localSheetId="13" hidden="1">#REF!</definedName>
    <definedName name="vdfvd" localSheetId="14" hidden="1">#REF!</definedName>
    <definedName name="vdfvd" hidden="1">#REF!</definedName>
    <definedName name="w" localSheetId="1">#REF!</definedName>
    <definedName name="w" localSheetId="2">#REF!</definedName>
    <definedName name="w" localSheetId="3">#REF!</definedName>
    <definedName name="w" localSheetId="5">#REF!</definedName>
    <definedName name="w" localSheetId="6">#REF!</definedName>
    <definedName name="w" localSheetId="7">#REF!</definedName>
    <definedName name="w" localSheetId="11">#REF!</definedName>
    <definedName name="w" localSheetId="9">#REF!</definedName>
    <definedName name="w" localSheetId="10">#REF!</definedName>
    <definedName name="w" localSheetId="13">#REF!</definedName>
    <definedName name="w" localSheetId="14">#REF!</definedName>
    <definedName name="w">#REF!</definedName>
    <definedName name="wwvvv" localSheetId="1">#REF!</definedName>
    <definedName name="wwvvv" localSheetId="2">#REF!</definedName>
    <definedName name="wwvvv" localSheetId="3">#REF!</definedName>
    <definedName name="wwvvv" localSheetId="5">#REF!</definedName>
    <definedName name="wwvvv" localSheetId="6">#REF!</definedName>
    <definedName name="wwvvv" localSheetId="7">#REF!</definedName>
    <definedName name="wwvvv" localSheetId="11">#REF!</definedName>
    <definedName name="wwvvv" localSheetId="9">#REF!</definedName>
    <definedName name="wwvvv" localSheetId="10">#REF!</definedName>
    <definedName name="wwvvv" localSheetId="13">#REF!</definedName>
    <definedName name="wwvvv" localSheetId="14">#REF!</definedName>
    <definedName name="wwvvv">#REF!</definedName>
    <definedName name="wwwq" localSheetId="1">#REF!</definedName>
    <definedName name="wwwq" localSheetId="2">#REF!</definedName>
    <definedName name="wwwq" localSheetId="3">#REF!</definedName>
    <definedName name="wwwq" localSheetId="5">#REF!</definedName>
    <definedName name="wwwq" localSheetId="6">#REF!</definedName>
    <definedName name="wwwq" localSheetId="7">#REF!</definedName>
    <definedName name="wwwq" localSheetId="11">#REF!</definedName>
    <definedName name="wwwq" localSheetId="9">#REF!</definedName>
    <definedName name="wwwq" localSheetId="10">#REF!</definedName>
    <definedName name="wwwq" localSheetId="13">#REF!</definedName>
    <definedName name="wwwq" localSheetId="14">#REF!</definedName>
    <definedName name="wwwq">#REF!</definedName>
    <definedName name="x" localSheetId="1">#REF!</definedName>
    <definedName name="x" localSheetId="2">#REF!</definedName>
    <definedName name="x" localSheetId="3">#REF!</definedName>
    <definedName name="x" localSheetId="5">#REF!</definedName>
    <definedName name="x" localSheetId="6">#REF!</definedName>
    <definedName name="x" localSheetId="7">#REF!</definedName>
    <definedName name="x" localSheetId="11">#REF!</definedName>
    <definedName name="x" localSheetId="9">#REF!</definedName>
    <definedName name="x" localSheetId="10">#REF!</definedName>
    <definedName name="x" localSheetId="13">#REF!</definedName>
    <definedName name="x" localSheetId="14">#REF!</definedName>
    <definedName name="x">#REF!</definedName>
    <definedName name="xcz" localSheetId="1">#REF!</definedName>
    <definedName name="xcz" localSheetId="2">#REF!</definedName>
    <definedName name="xcz" localSheetId="3">#REF!</definedName>
    <definedName name="xcz" localSheetId="5">#REF!</definedName>
    <definedName name="xcz" localSheetId="6">#REF!</definedName>
    <definedName name="xcz" localSheetId="7">#REF!</definedName>
    <definedName name="xcz" localSheetId="11">#REF!</definedName>
    <definedName name="xcz" localSheetId="9">#REF!</definedName>
    <definedName name="xcz" localSheetId="10">#REF!</definedName>
    <definedName name="xcz" localSheetId="13">#REF!</definedName>
    <definedName name="xcz" localSheetId="14">#REF!</definedName>
    <definedName name="xcz">#REF!</definedName>
    <definedName name="xxx" localSheetId="1">#REF!</definedName>
    <definedName name="xxx" localSheetId="2">#REF!</definedName>
    <definedName name="xxx" localSheetId="3">#REF!</definedName>
    <definedName name="xxx" localSheetId="5">#REF!</definedName>
    <definedName name="xxx" localSheetId="6">#REF!</definedName>
    <definedName name="xxx" localSheetId="7">#REF!</definedName>
    <definedName name="xxx" localSheetId="11">#REF!</definedName>
    <definedName name="xxx" localSheetId="9">#REF!</definedName>
    <definedName name="xxx" localSheetId="10">#REF!</definedName>
    <definedName name="xxx" localSheetId="13">#REF!</definedName>
    <definedName name="xxx" localSheetId="14">#REF!</definedName>
    <definedName name="xxx">#REF!</definedName>
    <definedName name="xxxa" localSheetId="1" hidden="1">#REF!</definedName>
    <definedName name="xxxa" localSheetId="2" hidden="1">#REF!</definedName>
    <definedName name="xxxa" localSheetId="3" hidden="1">#REF!</definedName>
    <definedName name="xxxa" localSheetId="5" hidden="1">#REF!</definedName>
    <definedName name="xxxa" localSheetId="6" hidden="1">#REF!</definedName>
    <definedName name="xxxa" localSheetId="7" hidden="1">#REF!</definedName>
    <definedName name="xxxa" localSheetId="11" hidden="1">#REF!</definedName>
    <definedName name="xxxa" localSheetId="9" hidden="1">#REF!</definedName>
    <definedName name="xxxa" localSheetId="10" hidden="1">#REF!</definedName>
    <definedName name="xxxa" localSheetId="13" hidden="1">#REF!</definedName>
    <definedName name="xxxa" localSheetId="14" hidden="1">#REF!</definedName>
    <definedName name="xxxa" hidden="1">#REF!</definedName>
    <definedName name="xzcx" localSheetId="1" hidden="1">#REF!</definedName>
    <definedName name="xzcx" localSheetId="2" hidden="1">#REF!</definedName>
    <definedName name="xzcx" localSheetId="3" hidden="1">#REF!</definedName>
    <definedName name="xzcx" localSheetId="5" hidden="1">#REF!</definedName>
    <definedName name="xzcx" localSheetId="6" hidden="1">#REF!</definedName>
    <definedName name="xzcx" localSheetId="7" hidden="1">#REF!</definedName>
    <definedName name="xzcx" localSheetId="11" hidden="1">#REF!</definedName>
    <definedName name="xzcx" localSheetId="9" hidden="1">#REF!</definedName>
    <definedName name="xzcx" localSheetId="10" hidden="1">#REF!</definedName>
    <definedName name="xzcx" localSheetId="13" hidden="1">#REF!</definedName>
    <definedName name="xzcx" localSheetId="14" hidden="1">#REF!</definedName>
    <definedName name="xzcx" hidden="1">#REF!</definedName>
    <definedName name="y" localSheetId="1">#REF!</definedName>
    <definedName name="y" localSheetId="2">#REF!</definedName>
    <definedName name="y" localSheetId="3">#REF!</definedName>
    <definedName name="y" localSheetId="5">#REF!</definedName>
    <definedName name="y" localSheetId="6">#REF!</definedName>
    <definedName name="y" localSheetId="7">#REF!</definedName>
    <definedName name="y" localSheetId="11">#REF!</definedName>
    <definedName name="y" localSheetId="9">#REF!</definedName>
    <definedName name="y" localSheetId="10">#REF!</definedName>
    <definedName name="y" localSheetId="13">#REF!</definedName>
    <definedName name="y" localSheetId="14">#REF!</definedName>
    <definedName name="y">#REF!</definedName>
    <definedName name="ya" localSheetId="1">#REF!</definedName>
    <definedName name="ya" localSheetId="2">#REF!</definedName>
    <definedName name="ya" localSheetId="3">#REF!</definedName>
    <definedName name="ya" localSheetId="5">#REF!</definedName>
    <definedName name="ya" localSheetId="6">#REF!</definedName>
    <definedName name="ya" localSheetId="7">#REF!</definedName>
    <definedName name="ya" localSheetId="11">#REF!</definedName>
    <definedName name="ya" localSheetId="9">#REF!</definedName>
    <definedName name="ya" localSheetId="10">#REF!</definedName>
    <definedName name="ya" localSheetId="13">#REF!</definedName>
    <definedName name="ya" localSheetId="14">#REF!</definedName>
    <definedName name="ya">#REF!</definedName>
    <definedName name="yaa" localSheetId="1">#REF!</definedName>
    <definedName name="yaa" localSheetId="2">#REF!</definedName>
    <definedName name="yaa" localSheetId="3">#REF!</definedName>
    <definedName name="yaa" localSheetId="5">#REF!</definedName>
    <definedName name="yaa" localSheetId="6">#REF!</definedName>
    <definedName name="yaa" localSheetId="7">#REF!</definedName>
    <definedName name="yaa" localSheetId="11">#REF!</definedName>
    <definedName name="yaa" localSheetId="9">#REF!</definedName>
    <definedName name="yaa" localSheetId="10">#REF!</definedName>
    <definedName name="yaa" localSheetId="13">#REF!</definedName>
    <definedName name="yaa" localSheetId="14">#REF!</definedName>
    <definedName name="yaa">#REF!</definedName>
    <definedName name="yaaa" localSheetId="1">#REF!</definedName>
    <definedName name="yaaa" localSheetId="2">#REF!</definedName>
    <definedName name="yaaa" localSheetId="3">#REF!</definedName>
    <definedName name="yaaa" localSheetId="5">#REF!</definedName>
    <definedName name="yaaa" localSheetId="6">#REF!</definedName>
    <definedName name="yaaa" localSheetId="7">#REF!</definedName>
    <definedName name="yaaa" localSheetId="11">#REF!</definedName>
    <definedName name="yaaa" localSheetId="9">#REF!</definedName>
    <definedName name="yaaa" localSheetId="10">#REF!</definedName>
    <definedName name="yaaa" localSheetId="13">#REF!</definedName>
    <definedName name="yaaa" localSheetId="14">#REF!</definedName>
    <definedName name="yaaa">#REF!</definedName>
    <definedName name="yi" localSheetId="1">#REF!</definedName>
    <definedName name="yi" localSheetId="2">#REF!</definedName>
    <definedName name="yi" localSheetId="3">#REF!</definedName>
    <definedName name="yi" localSheetId="5">#REF!</definedName>
    <definedName name="yi" localSheetId="6">#REF!</definedName>
    <definedName name="yi" localSheetId="7">#REF!</definedName>
    <definedName name="yi" localSheetId="11">#REF!</definedName>
    <definedName name="yi" localSheetId="9">#REF!</definedName>
    <definedName name="yi" localSheetId="10">#REF!</definedName>
    <definedName name="yi" localSheetId="13">#REF!</definedName>
    <definedName name="yi" localSheetId="14">#REF!</definedName>
    <definedName name="yi">#REF!</definedName>
    <definedName name="yyy" localSheetId="1">#REF!</definedName>
    <definedName name="yyy" localSheetId="2">#REF!</definedName>
    <definedName name="yyy" localSheetId="3">#REF!</definedName>
    <definedName name="yyy" localSheetId="5">#REF!</definedName>
    <definedName name="yyy" localSheetId="6">#REF!</definedName>
    <definedName name="yyy" localSheetId="7">#REF!</definedName>
    <definedName name="yyy" localSheetId="11">#REF!</definedName>
    <definedName name="yyy" localSheetId="9">#REF!</definedName>
    <definedName name="yyy" localSheetId="10">#REF!</definedName>
    <definedName name="yyy" localSheetId="13">#REF!</definedName>
    <definedName name="yyy" localSheetId="14">#REF!</definedName>
    <definedName name="yyy">#REF!</definedName>
    <definedName name="Z" localSheetId="1">#REF!</definedName>
    <definedName name="Z" localSheetId="2">#REF!</definedName>
    <definedName name="Z" localSheetId="3">#REF!</definedName>
    <definedName name="Z" localSheetId="5">#REF!</definedName>
    <definedName name="Z" localSheetId="6">#REF!</definedName>
    <definedName name="Z" localSheetId="7">#REF!</definedName>
    <definedName name="Z" localSheetId="11">#REF!</definedName>
    <definedName name="Z" localSheetId="9">#REF!</definedName>
    <definedName name="Z" localSheetId="10">#REF!</definedName>
    <definedName name="Z" localSheetId="13">#REF!</definedName>
    <definedName name="Z" localSheetId="14">#REF!</definedName>
    <definedName name="Z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74" i="33" l="1"/>
  <c r="I74" i="33"/>
  <c r="H74" i="33"/>
  <c r="G74" i="33"/>
  <c r="F74" i="33"/>
  <c r="E74" i="33"/>
  <c r="J73" i="33"/>
  <c r="I73" i="33"/>
  <c r="H73" i="33"/>
  <c r="G73" i="33"/>
  <c r="F73" i="33"/>
  <c r="E73" i="33"/>
  <c r="J72" i="33"/>
  <c r="I72" i="33"/>
  <c r="H72" i="33"/>
  <c r="G72" i="33"/>
  <c r="F72" i="33"/>
  <c r="E72" i="33"/>
  <c r="J70" i="33"/>
  <c r="I70" i="33"/>
  <c r="H70" i="33"/>
  <c r="G70" i="33"/>
  <c r="F70" i="33"/>
  <c r="E70" i="33"/>
  <c r="J69" i="33"/>
  <c r="I69" i="33"/>
  <c r="H69" i="33"/>
  <c r="G69" i="33"/>
  <c r="F69" i="33"/>
  <c r="E69" i="33"/>
  <c r="J68" i="33"/>
  <c r="I68" i="33"/>
  <c r="H68" i="33"/>
  <c r="G68" i="33"/>
  <c r="F68" i="33"/>
  <c r="E68" i="33"/>
  <c r="J66" i="33"/>
  <c r="I66" i="33"/>
  <c r="H66" i="33"/>
  <c r="G66" i="33"/>
  <c r="F66" i="33"/>
  <c r="E66" i="33"/>
  <c r="J65" i="33"/>
  <c r="I65" i="33"/>
  <c r="H65" i="33"/>
  <c r="G65" i="33"/>
  <c r="F65" i="33"/>
  <c r="E65" i="33"/>
  <c r="J64" i="33"/>
  <c r="I64" i="33"/>
  <c r="H64" i="33"/>
  <c r="G64" i="33"/>
  <c r="F64" i="33"/>
  <c r="E64" i="33"/>
  <c r="J62" i="33"/>
  <c r="I62" i="33"/>
  <c r="H62" i="33"/>
  <c r="G62" i="33"/>
  <c r="F62" i="33"/>
  <c r="E62" i="33"/>
  <c r="J61" i="33"/>
  <c r="I61" i="33"/>
  <c r="H61" i="33"/>
  <c r="G61" i="33"/>
  <c r="F61" i="33"/>
  <c r="E61" i="33"/>
  <c r="J60" i="33"/>
  <c r="I60" i="33"/>
  <c r="H60" i="33"/>
  <c r="G60" i="33"/>
  <c r="F60" i="33"/>
  <c r="E60" i="33"/>
  <c r="J58" i="33"/>
  <c r="I58" i="33"/>
  <c r="H58" i="33"/>
  <c r="G58" i="33"/>
  <c r="F58" i="33"/>
  <c r="E58" i="33"/>
  <c r="J57" i="33"/>
  <c r="I57" i="33"/>
  <c r="H57" i="33"/>
  <c r="G57" i="33"/>
  <c r="F57" i="33"/>
  <c r="E57" i="33"/>
  <c r="J56" i="33"/>
  <c r="I56" i="33"/>
  <c r="H56" i="33"/>
  <c r="G56" i="33"/>
  <c r="F56" i="33"/>
  <c r="E56" i="33"/>
  <c r="J54" i="33"/>
  <c r="I54" i="33"/>
  <c r="H54" i="33"/>
  <c r="G54" i="33"/>
  <c r="F54" i="33"/>
  <c r="E54" i="33"/>
  <c r="J53" i="33"/>
  <c r="I53" i="33"/>
  <c r="H53" i="33"/>
  <c r="G53" i="33"/>
  <c r="F53" i="33"/>
  <c r="E53" i="33"/>
  <c r="J52" i="33"/>
  <c r="I52" i="33"/>
  <c r="H52" i="33"/>
  <c r="G52" i="33"/>
  <c r="F52" i="33"/>
  <c r="E52" i="33"/>
  <c r="J50" i="33"/>
  <c r="I50" i="33"/>
  <c r="H50" i="33"/>
  <c r="G50" i="33"/>
  <c r="F50" i="33"/>
  <c r="E50" i="33"/>
  <c r="J49" i="33"/>
  <c r="I49" i="33"/>
  <c r="H49" i="33"/>
  <c r="G49" i="33"/>
  <c r="F49" i="33"/>
  <c r="E49" i="33"/>
  <c r="J48" i="33"/>
  <c r="I48" i="33"/>
  <c r="H48" i="33"/>
  <c r="G48" i="33"/>
  <c r="F48" i="33"/>
  <c r="E48" i="33"/>
  <c r="J46" i="33"/>
  <c r="I46" i="33"/>
  <c r="H46" i="33"/>
  <c r="G46" i="33"/>
  <c r="F46" i="33"/>
  <c r="E46" i="33"/>
  <c r="J45" i="33"/>
  <c r="I45" i="33"/>
  <c r="H45" i="33"/>
  <c r="G45" i="33"/>
  <c r="F45" i="33"/>
  <c r="E45" i="33"/>
  <c r="J44" i="33"/>
  <c r="I44" i="33"/>
  <c r="H44" i="33"/>
  <c r="G44" i="33"/>
  <c r="F44" i="33"/>
  <c r="E44" i="33"/>
  <c r="J42" i="33"/>
  <c r="I42" i="33"/>
  <c r="H42" i="33"/>
  <c r="G42" i="33"/>
  <c r="F42" i="33"/>
  <c r="E42" i="33"/>
  <c r="J41" i="33"/>
  <c r="I41" i="33"/>
  <c r="H41" i="33"/>
  <c r="G41" i="33"/>
  <c r="F41" i="33"/>
  <c r="E41" i="33"/>
  <c r="J40" i="33"/>
  <c r="I40" i="33"/>
  <c r="H40" i="33"/>
  <c r="G40" i="33"/>
  <c r="F40" i="33"/>
  <c r="E40" i="33"/>
  <c r="J38" i="33"/>
  <c r="I38" i="33"/>
  <c r="H38" i="33"/>
  <c r="G38" i="33"/>
  <c r="F38" i="33"/>
  <c r="E38" i="33"/>
  <c r="J37" i="33"/>
  <c r="I37" i="33"/>
  <c r="H37" i="33"/>
  <c r="G37" i="33"/>
  <c r="F37" i="33"/>
  <c r="E37" i="33"/>
  <c r="J36" i="33"/>
  <c r="I36" i="33"/>
  <c r="H36" i="33"/>
  <c r="G36" i="33"/>
  <c r="F36" i="33"/>
  <c r="E36" i="33"/>
  <c r="J34" i="33"/>
  <c r="I34" i="33"/>
  <c r="H34" i="33"/>
  <c r="G34" i="33"/>
  <c r="F34" i="33"/>
  <c r="E34" i="33"/>
  <c r="J33" i="33"/>
  <c r="I33" i="33"/>
  <c r="H33" i="33"/>
  <c r="G33" i="33"/>
  <c r="F33" i="33"/>
  <c r="E33" i="33"/>
  <c r="J32" i="33"/>
  <c r="I32" i="33"/>
  <c r="H32" i="33"/>
  <c r="G32" i="33"/>
  <c r="F32" i="33"/>
  <c r="E32" i="33"/>
  <c r="J30" i="33"/>
  <c r="I30" i="33"/>
  <c r="H30" i="33"/>
  <c r="G30" i="33"/>
  <c r="F30" i="33"/>
  <c r="E30" i="33"/>
  <c r="J29" i="33"/>
  <c r="I29" i="33"/>
  <c r="H29" i="33"/>
  <c r="G29" i="33"/>
  <c r="F29" i="33"/>
  <c r="E29" i="33"/>
  <c r="J28" i="33"/>
  <c r="I28" i="33"/>
  <c r="H28" i="33"/>
  <c r="G28" i="33"/>
  <c r="F28" i="33"/>
  <c r="E28" i="33"/>
  <c r="J26" i="33"/>
  <c r="I26" i="33"/>
  <c r="H26" i="33"/>
  <c r="G26" i="33"/>
  <c r="F26" i="33"/>
  <c r="E26" i="33"/>
  <c r="J25" i="33"/>
  <c r="I25" i="33"/>
  <c r="H25" i="33"/>
  <c r="G25" i="33"/>
  <c r="F25" i="33"/>
  <c r="E25" i="33"/>
  <c r="J24" i="33"/>
  <c r="I24" i="33"/>
  <c r="H24" i="33"/>
  <c r="G24" i="33"/>
  <c r="F24" i="33"/>
  <c r="E24" i="33"/>
  <c r="J22" i="33"/>
  <c r="I22" i="33"/>
  <c r="H22" i="33"/>
  <c r="G22" i="33"/>
  <c r="F22" i="33"/>
  <c r="E22" i="33"/>
  <c r="J21" i="33"/>
  <c r="I21" i="33"/>
  <c r="H21" i="33"/>
  <c r="G21" i="33"/>
  <c r="F21" i="33"/>
  <c r="E21" i="33"/>
  <c r="J20" i="33"/>
  <c r="I20" i="33"/>
  <c r="H20" i="33"/>
  <c r="G20" i="33"/>
  <c r="F20" i="33"/>
  <c r="E20" i="33"/>
  <c r="J74" i="32"/>
  <c r="I74" i="32"/>
  <c r="H74" i="32"/>
  <c r="G74" i="32"/>
  <c r="F74" i="32"/>
  <c r="E74" i="32"/>
  <c r="J73" i="32"/>
  <c r="I73" i="32"/>
  <c r="H73" i="32"/>
  <c r="G73" i="32"/>
  <c r="F73" i="32"/>
  <c r="E73" i="32"/>
  <c r="J72" i="32"/>
  <c r="I72" i="32"/>
  <c r="H72" i="32"/>
  <c r="G72" i="32"/>
  <c r="F72" i="32"/>
  <c r="E72" i="32"/>
  <c r="J70" i="32"/>
  <c r="I70" i="32"/>
  <c r="H70" i="32"/>
  <c r="G70" i="32"/>
  <c r="F70" i="32"/>
  <c r="E70" i="32"/>
  <c r="J69" i="32"/>
  <c r="I69" i="32"/>
  <c r="H69" i="32"/>
  <c r="G69" i="32"/>
  <c r="F69" i="32"/>
  <c r="E69" i="32"/>
  <c r="J68" i="32"/>
  <c r="I68" i="32"/>
  <c r="H68" i="32"/>
  <c r="G68" i="32"/>
  <c r="F68" i="32"/>
  <c r="E68" i="32"/>
  <c r="J66" i="32"/>
  <c r="I66" i="32"/>
  <c r="H66" i="32"/>
  <c r="G66" i="32"/>
  <c r="F66" i="32"/>
  <c r="E66" i="32"/>
  <c r="J65" i="32"/>
  <c r="I65" i="32"/>
  <c r="H65" i="32"/>
  <c r="G65" i="32"/>
  <c r="F65" i="32"/>
  <c r="E65" i="32"/>
  <c r="J64" i="32"/>
  <c r="I64" i="32"/>
  <c r="H64" i="32"/>
  <c r="G64" i="32"/>
  <c r="F64" i="32"/>
  <c r="E64" i="32"/>
  <c r="J62" i="32"/>
  <c r="I62" i="32"/>
  <c r="H62" i="32"/>
  <c r="G62" i="32"/>
  <c r="F62" i="32"/>
  <c r="E62" i="32"/>
  <c r="J61" i="32"/>
  <c r="I61" i="32"/>
  <c r="H61" i="32"/>
  <c r="G61" i="32"/>
  <c r="F61" i="32"/>
  <c r="E61" i="32"/>
  <c r="J60" i="32"/>
  <c r="I60" i="32"/>
  <c r="H60" i="32"/>
  <c r="G60" i="32"/>
  <c r="F60" i="32"/>
  <c r="E60" i="32"/>
  <c r="J58" i="32"/>
  <c r="I58" i="32"/>
  <c r="H58" i="32"/>
  <c r="G58" i="32"/>
  <c r="F58" i="32"/>
  <c r="E58" i="32"/>
  <c r="J57" i="32"/>
  <c r="I57" i="32"/>
  <c r="H57" i="32"/>
  <c r="G57" i="32"/>
  <c r="F57" i="32"/>
  <c r="E57" i="32"/>
  <c r="J56" i="32"/>
  <c r="I56" i="32"/>
  <c r="H56" i="32"/>
  <c r="G56" i="32"/>
  <c r="F56" i="32"/>
  <c r="E56" i="32"/>
  <c r="J54" i="32"/>
  <c r="I54" i="32"/>
  <c r="H54" i="32"/>
  <c r="G54" i="32"/>
  <c r="F54" i="32"/>
  <c r="E54" i="32"/>
  <c r="J53" i="32"/>
  <c r="I53" i="32"/>
  <c r="H53" i="32"/>
  <c r="G53" i="32"/>
  <c r="F53" i="32"/>
  <c r="E53" i="32"/>
  <c r="J52" i="32"/>
  <c r="I52" i="32"/>
  <c r="H52" i="32"/>
  <c r="G52" i="32"/>
  <c r="F52" i="32"/>
  <c r="E52" i="32"/>
  <c r="J50" i="32"/>
  <c r="I50" i="32"/>
  <c r="H50" i="32"/>
  <c r="G50" i="32"/>
  <c r="F50" i="32"/>
  <c r="E50" i="32"/>
  <c r="J49" i="32"/>
  <c r="I49" i="32"/>
  <c r="H49" i="32"/>
  <c r="G49" i="32"/>
  <c r="F49" i="32"/>
  <c r="E49" i="32"/>
  <c r="J48" i="32"/>
  <c r="I48" i="32"/>
  <c r="H48" i="32"/>
  <c r="G48" i="32"/>
  <c r="F48" i="32"/>
  <c r="E48" i="32"/>
  <c r="J46" i="32"/>
  <c r="I46" i="32"/>
  <c r="H46" i="32"/>
  <c r="G46" i="32"/>
  <c r="F46" i="32"/>
  <c r="E46" i="32"/>
  <c r="J45" i="32"/>
  <c r="I45" i="32"/>
  <c r="H45" i="32"/>
  <c r="G45" i="32"/>
  <c r="F45" i="32"/>
  <c r="E45" i="32"/>
  <c r="J44" i="32"/>
  <c r="I44" i="32"/>
  <c r="H44" i="32"/>
  <c r="G44" i="32"/>
  <c r="F44" i="32"/>
  <c r="E44" i="32"/>
  <c r="J42" i="32"/>
  <c r="I42" i="32"/>
  <c r="H42" i="32"/>
  <c r="G42" i="32"/>
  <c r="F42" i="32"/>
  <c r="E42" i="32"/>
  <c r="J41" i="32"/>
  <c r="I41" i="32"/>
  <c r="H41" i="32"/>
  <c r="G41" i="32"/>
  <c r="F41" i="32"/>
  <c r="E41" i="32"/>
  <c r="J40" i="32"/>
  <c r="I40" i="32"/>
  <c r="H40" i="32"/>
  <c r="G40" i="32"/>
  <c r="F40" i="32"/>
  <c r="E40" i="32"/>
  <c r="J38" i="32"/>
  <c r="I38" i="32"/>
  <c r="H38" i="32"/>
  <c r="G38" i="32"/>
  <c r="F38" i="32"/>
  <c r="E38" i="32"/>
  <c r="J37" i="32"/>
  <c r="I37" i="32"/>
  <c r="H37" i="32"/>
  <c r="G37" i="32"/>
  <c r="F37" i="32"/>
  <c r="E37" i="32"/>
  <c r="J36" i="32"/>
  <c r="I36" i="32"/>
  <c r="H36" i="32"/>
  <c r="G36" i="32"/>
  <c r="F36" i="32"/>
  <c r="E36" i="32"/>
  <c r="J34" i="32"/>
  <c r="I34" i="32"/>
  <c r="H34" i="32"/>
  <c r="G34" i="32"/>
  <c r="F34" i="32"/>
  <c r="E34" i="32"/>
  <c r="J33" i="32"/>
  <c r="I33" i="32"/>
  <c r="H33" i="32"/>
  <c r="G33" i="32"/>
  <c r="F33" i="32"/>
  <c r="E33" i="32"/>
  <c r="J32" i="32"/>
  <c r="I32" i="32"/>
  <c r="H32" i="32"/>
  <c r="G32" i="32"/>
  <c r="F32" i="32"/>
  <c r="E32" i="32"/>
  <c r="J30" i="32"/>
  <c r="I30" i="32"/>
  <c r="H30" i="32"/>
  <c r="G30" i="32"/>
  <c r="F30" i="32"/>
  <c r="E30" i="32"/>
  <c r="J29" i="32"/>
  <c r="I29" i="32"/>
  <c r="H29" i="32"/>
  <c r="G29" i="32"/>
  <c r="F29" i="32"/>
  <c r="E29" i="32"/>
  <c r="J28" i="32"/>
  <c r="I28" i="32"/>
  <c r="H28" i="32"/>
  <c r="G28" i="32"/>
  <c r="F28" i="32"/>
  <c r="E28" i="32"/>
  <c r="J26" i="32"/>
  <c r="I26" i="32"/>
  <c r="H26" i="32"/>
  <c r="G26" i="32"/>
  <c r="F26" i="32"/>
  <c r="E26" i="32"/>
  <c r="J25" i="32"/>
  <c r="I25" i="32"/>
  <c r="H25" i="32"/>
  <c r="G25" i="32"/>
  <c r="F25" i="32"/>
  <c r="E25" i="32"/>
  <c r="J24" i="32"/>
  <c r="I24" i="32"/>
  <c r="H24" i="32"/>
  <c r="G24" i="32"/>
  <c r="F24" i="32"/>
  <c r="E24" i="32"/>
  <c r="J22" i="32"/>
  <c r="I22" i="32"/>
  <c r="H22" i="32"/>
  <c r="G22" i="32"/>
  <c r="F22" i="32"/>
  <c r="E22" i="32"/>
  <c r="J21" i="32"/>
  <c r="I21" i="32"/>
  <c r="H21" i="32"/>
  <c r="G21" i="32"/>
  <c r="F21" i="32"/>
  <c r="E21" i="32"/>
  <c r="J20" i="32"/>
  <c r="I20" i="32"/>
  <c r="H20" i="32"/>
  <c r="G20" i="32"/>
  <c r="F20" i="32"/>
  <c r="E20" i="32"/>
  <c r="L18" i="24" l="1"/>
  <c r="E18" i="24"/>
  <c r="F74" i="11" l="1"/>
  <c r="E74" i="11"/>
  <c r="F73" i="11"/>
  <c r="E73" i="11"/>
  <c r="F72" i="11"/>
  <c r="E72" i="11"/>
  <c r="F70" i="11"/>
  <c r="E70" i="11"/>
  <c r="F69" i="11"/>
  <c r="E69" i="11"/>
  <c r="F68" i="11"/>
  <c r="E68" i="11"/>
  <c r="F66" i="11"/>
  <c r="E66" i="11"/>
  <c r="F65" i="11"/>
  <c r="E65" i="11"/>
  <c r="F64" i="11"/>
  <c r="E64" i="11"/>
  <c r="F62" i="11"/>
  <c r="E62" i="11"/>
  <c r="F61" i="11"/>
  <c r="E61" i="11"/>
  <c r="F60" i="11"/>
  <c r="E60" i="11"/>
  <c r="F58" i="11"/>
  <c r="E58" i="11"/>
  <c r="F57" i="11"/>
  <c r="E57" i="11"/>
  <c r="F56" i="11"/>
  <c r="E56" i="11"/>
  <c r="F54" i="11"/>
  <c r="E54" i="11"/>
  <c r="F53" i="11"/>
  <c r="E53" i="11"/>
  <c r="F52" i="11"/>
  <c r="E52" i="11"/>
  <c r="F50" i="11"/>
  <c r="E50" i="11"/>
  <c r="F49" i="11"/>
  <c r="E49" i="11"/>
  <c r="F48" i="11"/>
  <c r="E48" i="11"/>
  <c r="F46" i="11"/>
  <c r="E46" i="11"/>
  <c r="F45" i="11"/>
  <c r="E45" i="11"/>
  <c r="F44" i="11"/>
  <c r="E44" i="11"/>
  <c r="F42" i="11"/>
  <c r="E42" i="11"/>
  <c r="F41" i="11"/>
  <c r="E41" i="11"/>
  <c r="F40" i="11"/>
  <c r="E40" i="11"/>
  <c r="F38" i="11"/>
  <c r="E38" i="11"/>
  <c r="F37" i="11"/>
  <c r="E37" i="11"/>
  <c r="F36" i="11"/>
  <c r="E36" i="11"/>
  <c r="F34" i="11"/>
  <c r="E34" i="11"/>
  <c r="F33" i="11"/>
  <c r="E33" i="11"/>
  <c r="F32" i="11"/>
  <c r="E32" i="11"/>
  <c r="F30" i="11"/>
  <c r="E30" i="11"/>
  <c r="F29" i="11"/>
  <c r="E29" i="11"/>
  <c r="F28" i="11"/>
  <c r="E28" i="11"/>
  <c r="F26" i="11"/>
  <c r="E26" i="11"/>
  <c r="F25" i="11"/>
  <c r="E25" i="11"/>
  <c r="F24" i="11"/>
  <c r="E24" i="11"/>
  <c r="F22" i="11"/>
  <c r="E22" i="11"/>
  <c r="F21" i="11"/>
  <c r="E21" i="11"/>
  <c r="F20" i="11"/>
  <c r="E20" i="11"/>
  <c r="H16" i="30"/>
  <c r="I16" i="30"/>
  <c r="H17" i="30"/>
  <c r="I17" i="30"/>
  <c r="H18" i="30"/>
  <c r="I18" i="30"/>
  <c r="K16" i="30"/>
  <c r="L16" i="30"/>
  <c r="K17" i="30"/>
  <c r="L17" i="30"/>
  <c r="K18" i="30"/>
  <c r="L18" i="30"/>
  <c r="N16" i="11"/>
  <c r="O16" i="11"/>
  <c r="N17" i="11"/>
  <c r="O17" i="11"/>
  <c r="N18" i="11"/>
  <c r="O18" i="11"/>
  <c r="F18" i="30"/>
  <c r="E18" i="30"/>
  <c r="F17" i="30"/>
  <c r="E17" i="30"/>
  <c r="F16" i="30"/>
  <c r="E16" i="30"/>
  <c r="Q74" i="29" l="1"/>
  <c r="P74" i="29"/>
  <c r="O74" i="29"/>
  <c r="N74" i="29"/>
  <c r="M74" i="29"/>
  <c r="L74" i="29"/>
  <c r="Q73" i="29"/>
  <c r="P73" i="29"/>
  <c r="O73" i="29"/>
  <c r="N73" i="29"/>
  <c r="M73" i="29"/>
  <c r="L73" i="29"/>
  <c r="Q72" i="29"/>
  <c r="P72" i="29"/>
  <c r="O72" i="29"/>
  <c r="N72" i="29"/>
  <c r="M72" i="29"/>
  <c r="L72" i="29"/>
  <c r="Q70" i="29"/>
  <c r="P70" i="29"/>
  <c r="O70" i="29"/>
  <c r="N70" i="29"/>
  <c r="M70" i="29"/>
  <c r="L70" i="29"/>
  <c r="Q69" i="29"/>
  <c r="P69" i="29"/>
  <c r="O69" i="29"/>
  <c r="N69" i="29"/>
  <c r="M69" i="29"/>
  <c r="L69" i="29"/>
  <c r="Q68" i="29"/>
  <c r="P68" i="29"/>
  <c r="O68" i="29"/>
  <c r="N68" i="29"/>
  <c r="M68" i="29"/>
  <c r="L68" i="29"/>
  <c r="Q66" i="29"/>
  <c r="P66" i="29"/>
  <c r="O66" i="29"/>
  <c r="N66" i="29"/>
  <c r="M66" i="29"/>
  <c r="L66" i="29"/>
  <c r="Q65" i="29"/>
  <c r="P65" i="29"/>
  <c r="O65" i="29"/>
  <c r="N65" i="29"/>
  <c r="M65" i="29"/>
  <c r="L65" i="29"/>
  <c r="Q64" i="29"/>
  <c r="P64" i="29"/>
  <c r="O64" i="29"/>
  <c r="N64" i="29"/>
  <c r="M64" i="29"/>
  <c r="L64" i="29"/>
  <c r="Q62" i="29"/>
  <c r="P62" i="29"/>
  <c r="O62" i="29"/>
  <c r="N62" i="29"/>
  <c r="M62" i="29"/>
  <c r="L62" i="29"/>
  <c r="Q61" i="29"/>
  <c r="P61" i="29"/>
  <c r="O61" i="29"/>
  <c r="N61" i="29"/>
  <c r="M61" i="29"/>
  <c r="L61" i="29"/>
  <c r="Q60" i="29"/>
  <c r="P60" i="29"/>
  <c r="O60" i="29"/>
  <c r="N60" i="29"/>
  <c r="M60" i="29"/>
  <c r="L60" i="29"/>
  <c r="Q58" i="29"/>
  <c r="P58" i="29"/>
  <c r="O58" i="29"/>
  <c r="N58" i="29"/>
  <c r="M58" i="29"/>
  <c r="L58" i="29"/>
  <c r="Q57" i="29"/>
  <c r="P57" i="29"/>
  <c r="O57" i="29"/>
  <c r="N57" i="29"/>
  <c r="M57" i="29"/>
  <c r="L57" i="29"/>
  <c r="Q56" i="29"/>
  <c r="P56" i="29"/>
  <c r="O56" i="29"/>
  <c r="N56" i="29"/>
  <c r="M56" i="29"/>
  <c r="L56" i="29"/>
  <c r="Q54" i="29"/>
  <c r="P54" i="29"/>
  <c r="O54" i="29"/>
  <c r="N54" i="29"/>
  <c r="M54" i="29"/>
  <c r="L54" i="29"/>
  <c r="Q53" i="29"/>
  <c r="P53" i="29"/>
  <c r="O53" i="29"/>
  <c r="N53" i="29"/>
  <c r="M53" i="29"/>
  <c r="L53" i="29"/>
  <c r="Q52" i="29"/>
  <c r="P52" i="29"/>
  <c r="O52" i="29"/>
  <c r="N52" i="29"/>
  <c r="M52" i="29"/>
  <c r="L52" i="29"/>
  <c r="Q50" i="29"/>
  <c r="P50" i="29"/>
  <c r="O50" i="29"/>
  <c r="N50" i="29"/>
  <c r="M50" i="29"/>
  <c r="L50" i="29"/>
  <c r="Q49" i="29"/>
  <c r="P49" i="29"/>
  <c r="O49" i="29"/>
  <c r="N49" i="29"/>
  <c r="M49" i="29"/>
  <c r="L49" i="29"/>
  <c r="Q48" i="29"/>
  <c r="P48" i="29"/>
  <c r="O48" i="29"/>
  <c r="N48" i="29"/>
  <c r="M48" i="29"/>
  <c r="L48" i="29"/>
  <c r="Q46" i="29"/>
  <c r="P46" i="29"/>
  <c r="O46" i="29"/>
  <c r="N46" i="29"/>
  <c r="M46" i="29"/>
  <c r="L46" i="29"/>
  <c r="Q45" i="29"/>
  <c r="P45" i="29"/>
  <c r="O45" i="29"/>
  <c r="N45" i="29"/>
  <c r="M45" i="29"/>
  <c r="L45" i="29"/>
  <c r="Q44" i="29"/>
  <c r="P44" i="29"/>
  <c r="O44" i="29"/>
  <c r="N44" i="29"/>
  <c r="M44" i="29"/>
  <c r="L44" i="29"/>
  <c r="Q42" i="29"/>
  <c r="P42" i="29"/>
  <c r="O42" i="29"/>
  <c r="N42" i="29"/>
  <c r="M42" i="29"/>
  <c r="L42" i="29"/>
  <c r="Q41" i="29"/>
  <c r="P41" i="29"/>
  <c r="O41" i="29"/>
  <c r="N41" i="29"/>
  <c r="M41" i="29"/>
  <c r="L41" i="29"/>
  <c r="Q40" i="29"/>
  <c r="P40" i="29"/>
  <c r="O40" i="29"/>
  <c r="N40" i="29"/>
  <c r="M40" i="29"/>
  <c r="L40" i="29"/>
  <c r="Q38" i="29"/>
  <c r="P38" i="29"/>
  <c r="O38" i="29"/>
  <c r="N38" i="29"/>
  <c r="M38" i="29"/>
  <c r="L38" i="29"/>
  <c r="Q37" i="29"/>
  <c r="P37" i="29"/>
  <c r="O37" i="29"/>
  <c r="N37" i="29"/>
  <c r="M37" i="29"/>
  <c r="L37" i="29"/>
  <c r="Q36" i="29"/>
  <c r="P36" i="29"/>
  <c r="O36" i="29"/>
  <c r="N36" i="29"/>
  <c r="M36" i="29"/>
  <c r="L36" i="29"/>
  <c r="Q34" i="29"/>
  <c r="P34" i="29"/>
  <c r="O34" i="29"/>
  <c r="N34" i="29"/>
  <c r="M34" i="29"/>
  <c r="L34" i="29"/>
  <c r="Q33" i="29"/>
  <c r="P33" i="29"/>
  <c r="O33" i="29"/>
  <c r="N33" i="29"/>
  <c r="M33" i="29"/>
  <c r="L33" i="29"/>
  <c r="Q32" i="29"/>
  <c r="P32" i="29"/>
  <c r="O32" i="29"/>
  <c r="N32" i="29"/>
  <c r="M32" i="29"/>
  <c r="L32" i="29"/>
  <c r="Q30" i="29"/>
  <c r="P30" i="29"/>
  <c r="O30" i="29"/>
  <c r="N30" i="29"/>
  <c r="M30" i="29"/>
  <c r="L30" i="29"/>
  <c r="Q29" i="29"/>
  <c r="P29" i="29"/>
  <c r="O29" i="29"/>
  <c r="N29" i="29"/>
  <c r="M29" i="29"/>
  <c r="L29" i="29"/>
  <c r="Q28" i="29"/>
  <c r="P28" i="29"/>
  <c r="O28" i="29"/>
  <c r="N28" i="29"/>
  <c r="M28" i="29"/>
  <c r="L28" i="29"/>
  <c r="Q26" i="29"/>
  <c r="P26" i="29"/>
  <c r="O26" i="29"/>
  <c r="N26" i="29"/>
  <c r="M26" i="29"/>
  <c r="L26" i="29"/>
  <c r="Q25" i="29"/>
  <c r="P25" i="29"/>
  <c r="O25" i="29"/>
  <c r="N25" i="29"/>
  <c r="M25" i="29"/>
  <c r="L25" i="29"/>
  <c r="Q24" i="29"/>
  <c r="P24" i="29"/>
  <c r="O24" i="29"/>
  <c r="N24" i="29"/>
  <c r="M24" i="29"/>
  <c r="L24" i="29"/>
  <c r="Q22" i="29"/>
  <c r="P22" i="29"/>
  <c r="O22" i="29"/>
  <c r="N22" i="29"/>
  <c r="M22" i="29"/>
  <c r="L22" i="29"/>
  <c r="Q21" i="29"/>
  <c r="P21" i="29"/>
  <c r="O21" i="29"/>
  <c r="N21" i="29"/>
  <c r="M21" i="29"/>
  <c r="L21" i="29"/>
  <c r="Q20" i="29"/>
  <c r="P20" i="29"/>
  <c r="O20" i="29"/>
  <c r="N20" i="29"/>
  <c r="M20" i="29"/>
  <c r="L20" i="29"/>
  <c r="J74" i="29"/>
  <c r="I74" i="29"/>
  <c r="H74" i="29"/>
  <c r="G74" i="29"/>
  <c r="F74" i="29"/>
  <c r="E74" i="29"/>
  <c r="J73" i="29"/>
  <c r="I73" i="29"/>
  <c r="H73" i="29"/>
  <c r="G73" i="29"/>
  <c r="F73" i="29"/>
  <c r="E73" i="29"/>
  <c r="J72" i="29"/>
  <c r="I72" i="29"/>
  <c r="H72" i="29"/>
  <c r="G72" i="29"/>
  <c r="F72" i="29"/>
  <c r="E72" i="29"/>
  <c r="J70" i="29"/>
  <c r="I70" i="29"/>
  <c r="H70" i="29"/>
  <c r="G70" i="29"/>
  <c r="F70" i="29"/>
  <c r="E70" i="29"/>
  <c r="J69" i="29"/>
  <c r="I69" i="29"/>
  <c r="H69" i="29"/>
  <c r="G69" i="29"/>
  <c r="F69" i="29"/>
  <c r="E69" i="29"/>
  <c r="J68" i="29"/>
  <c r="I68" i="29"/>
  <c r="H68" i="29"/>
  <c r="G68" i="29"/>
  <c r="F68" i="29"/>
  <c r="E68" i="29"/>
  <c r="J66" i="29"/>
  <c r="I66" i="29"/>
  <c r="H66" i="29"/>
  <c r="G66" i="29"/>
  <c r="F66" i="29"/>
  <c r="E66" i="29"/>
  <c r="J65" i="29"/>
  <c r="I65" i="29"/>
  <c r="H65" i="29"/>
  <c r="G65" i="29"/>
  <c r="F65" i="29"/>
  <c r="E65" i="29"/>
  <c r="J64" i="29"/>
  <c r="I64" i="29"/>
  <c r="H64" i="29"/>
  <c r="G64" i="29"/>
  <c r="F64" i="29"/>
  <c r="E64" i="29"/>
  <c r="J62" i="29"/>
  <c r="J62" i="31" s="1"/>
  <c r="I62" i="29"/>
  <c r="H62" i="29"/>
  <c r="G62" i="29"/>
  <c r="F62" i="29"/>
  <c r="E62" i="29"/>
  <c r="J61" i="29"/>
  <c r="I61" i="29"/>
  <c r="H61" i="29"/>
  <c r="G61" i="29"/>
  <c r="F61" i="29"/>
  <c r="E61" i="29"/>
  <c r="J60" i="29"/>
  <c r="I60" i="29"/>
  <c r="H60" i="29"/>
  <c r="G60" i="29"/>
  <c r="F60" i="29"/>
  <c r="E60" i="29"/>
  <c r="J58" i="29"/>
  <c r="I58" i="29"/>
  <c r="H58" i="29"/>
  <c r="G58" i="29"/>
  <c r="F58" i="29"/>
  <c r="E58" i="29"/>
  <c r="J57" i="29"/>
  <c r="I57" i="29"/>
  <c r="H57" i="29"/>
  <c r="G57" i="29"/>
  <c r="F57" i="29"/>
  <c r="E57" i="29"/>
  <c r="J56" i="29"/>
  <c r="I56" i="29"/>
  <c r="H56" i="29"/>
  <c r="G56" i="29"/>
  <c r="F56" i="29"/>
  <c r="E56" i="29"/>
  <c r="J54" i="29"/>
  <c r="I54" i="29"/>
  <c r="H54" i="29"/>
  <c r="G54" i="29"/>
  <c r="F54" i="29"/>
  <c r="E54" i="29"/>
  <c r="J53" i="29"/>
  <c r="I53" i="29"/>
  <c r="H53" i="29"/>
  <c r="G53" i="29"/>
  <c r="F53" i="29"/>
  <c r="E53" i="29"/>
  <c r="J52" i="29"/>
  <c r="I52" i="29"/>
  <c r="H52" i="29"/>
  <c r="G52" i="29"/>
  <c r="F52" i="29"/>
  <c r="E52" i="29"/>
  <c r="J50" i="29"/>
  <c r="I50" i="29"/>
  <c r="H50" i="29"/>
  <c r="G50" i="29"/>
  <c r="F50" i="29"/>
  <c r="E50" i="29"/>
  <c r="J49" i="29"/>
  <c r="I49" i="29"/>
  <c r="H49" i="29"/>
  <c r="G49" i="29"/>
  <c r="F49" i="29"/>
  <c r="E49" i="29"/>
  <c r="J48" i="29"/>
  <c r="I48" i="29"/>
  <c r="H48" i="29"/>
  <c r="G48" i="29"/>
  <c r="F48" i="29"/>
  <c r="E48" i="29"/>
  <c r="J46" i="29"/>
  <c r="I46" i="29"/>
  <c r="H46" i="29"/>
  <c r="G46" i="29"/>
  <c r="F46" i="29"/>
  <c r="E46" i="29"/>
  <c r="J45" i="29"/>
  <c r="I45" i="29"/>
  <c r="H45" i="29"/>
  <c r="G45" i="29"/>
  <c r="F45" i="29"/>
  <c r="E45" i="29"/>
  <c r="J44" i="29"/>
  <c r="I44" i="29"/>
  <c r="H44" i="29"/>
  <c r="G44" i="29"/>
  <c r="F44" i="29"/>
  <c r="E44" i="29"/>
  <c r="J42" i="29"/>
  <c r="I42" i="29"/>
  <c r="H42" i="29"/>
  <c r="G42" i="29"/>
  <c r="F42" i="29"/>
  <c r="E42" i="29"/>
  <c r="J41" i="29"/>
  <c r="I41" i="29"/>
  <c r="H41" i="29"/>
  <c r="G41" i="29"/>
  <c r="F41" i="29"/>
  <c r="E41" i="29"/>
  <c r="J40" i="29"/>
  <c r="I40" i="29"/>
  <c r="H40" i="29"/>
  <c r="G40" i="29"/>
  <c r="F40" i="29"/>
  <c r="E40" i="29"/>
  <c r="J38" i="29"/>
  <c r="I38" i="29"/>
  <c r="H38" i="29"/>
  <c r="G38" i="29"/>
  <c r="F38" i="29"/>
  <c r="E38" i="29"/>
  <c r="J37" i="29"/>
  <c r="I37" i="29"/>
  <c r="H37" i="29"/>
  <c r="G37" i="29"/>
  <c r="F37" i="29"/>
  <c r="E37" i="29"/>
  <c r="J36" i="29"/>
  <c r="I36" i="29"/>
  <c r="H36" i="29"/>
  <c r="G36" i="29"/>
  <c r="F36" i="29"/>
  <c r="E36" i="29"/>
  <c r="J34" i="29"/>
  <c r="I34" i="29"/>
  <c r="H34" i="29"/>
  <c r="G34" i="29"/>
  <c r="F34" i="29"/>
  <c r="E34" i="29"/>
  <c r="J33" i="29"/>
  <c r="I33" i="29"/>
  <c r="H33" i="29"/>
  <c r="G33" i="29"/>
  <c r="F33" i="29"/>
  <c r="E33" i="29"/>
  <c r="J32" i="29"/>
  <c r="I32" i="29"/>
  <c r="H32" i="29"/>
  <c r="G32" i="29"/>
  <c r="F32" i="29"/>
  <c r="E32" i="29"/>
  <c r="J30" i="29"/>
  <c r="I30" i="29"/>
  <c r="H30" i="29"/>
  <c r="G30" i="29"/>
  <c r="F30" i="29"/>
  <c r="E30" i="29"/>
  <c r="J29" i="29"/>
  <c r="I29" i="29"/>
  <c r="H29" i="29"/>
  <c r="G29" i="29"/>
  <c r="F29" i="29"/>
  <c r="E29" i="29"/>
  <c r="J28" i="29"/>
  <c r="I28" i="29"/>
  <c r="H28" i="29"/>
  <c r="G28" i="29"/>
  <c r="F28" i="29"/>
  <c r="E28" i="29"/>
  <c r="J26" i="29"/>
  <c r="I26" i="29"/>
  <c r="H26" i="29"/>
  <c r="G26" i="29"/>
  <c r="F26" i="29"/>
  <c r="E26" i="29"/>
  <c r="J25" i="29"/>
  <c r="I25" i="29"/>
  <c r="H25" i="29"/>
  <c r="G25" i="29"/>
  <c r="F25" i="29"/>
  <c r="E25" i="29"/>
  <c r="J24" i="29"/>
  <c r="I24" i="29"/>
  <c r="H24" i="29"/>
  <c r="G24" i="29"/>
  <c r="F24" i="29"/>
  <c r="E24" i="29"/>
  <c r="J22" i="29"/>
  <c r="I22" i="29"/>
  <c r="H22" i="29"/>
  <c r="G22" i="29"/>
  <c r="F22" i="29"/>
  <c r="E22" i="29"/>
  <c r="J21" i="29"/>
  <c r="I21" i="29"/>
  <c r="H21" i="29"/>
  <c r="G21" i="29"/>
  <c r="F21" i="29"/>
  <c r="E21" i="29"/>
  <c r="J20" i="29"/>
  <c r="I20" i="29"/>
  <c r="H20" i="29"/>
  <c r="G20" i="29"/>
  <c r="F20" i="29"/>
  <c r="E20" i="29"/>
  <c r="Q74" i="28"/>
  <c r="P74" i="28"/>
  <c r="O74" i="28"/>
  <c r="N74" i="28"/>
  <c r="M74" i="28"/>
  <c r="L74" i="28"/>
  <c r="Q73" i="28"/>
  <c r="P73" i="28"/>
  <c r="O73" i="28"/>
  <c r="N73" i="28"/>
  <c r="M73" i="28"/>
  <c r="L73" i="28"/>
  <c r="Q72" i="28"/>
  <c r="P72" i="28"/>
  <c r="O72" i="28"/>
  <c r="N72" i="28"/>
  <c r="M72" i="28"/>
  <c r="L72" i="28"/>
  <c r="Q70" i="28"/>
  <c r="J70" i="31" s="1"/>
  <c r="P70" i="28"/>
  <c r="I70" i="31" s="1"/>
  <c r="O70" i="28"/>
  <c r="H70" i="31" s="1"/>
  <c r="N70" i="28"/>
  <c r="G70" i="31" s="1"/>
  <c r="M70" i="28"/>
  <c r="F70" i="31" s="1"/>
  <c r="L70" i="28"/>
  <c r="E70" i="31" s="1"/>
  <c r="Q69" i="28"/>
  <c r="P69" i="28"/>
  <c r="O69" i="28"/>
  <c r="N69" i="28"/>
  <c r="M69" i="28"/>
  <c r="L69" i="28"/>
  <c r="Q68" i="28"/>
  <c r="P68" i="28"/>
  <c r="O68" i="28"/>
  <c r="N68" i="28"/>
  <c r="M68" i="28"/>
  <c r="L68" i="28"/>
  <c r="Q66" i="28"/>
  <c r="P66" i="28"/>
  <c r="O66" i="28"/>
  <c r="N66" i="28"/>
  <c r="G66" i="31" s="1"/>
  <c r="M66" i="28"/>
  <c r="F66" i="31" s="1"/>
  <c r="L66" i="28"/>
  <c r="E66" i="31" s="1"/>
  <c r="Q65" i="28"/>
  <c r="P65" i="28"/>
  <c r="O65" i="28"/>
  <c r="N65" i="28"/>
  <c r="M65" i="28"/>
  <c r="L65" i="28"/>
  <c r="Q64" i="28"/>
  <c r="P64" i="28"/>
  <c r="O64" i="28"/>
  <c r="N64" i="28"/>
  <c r="M64" i="28"/>
  <c r="L64" i="28"/>
  <c r="P62" i="28"/>
  <c r="O62" i="28"/>
  <c r="N62" i="28"/>
  <c r="M62" i="28"/>
  <c r="L62" i="28"/>
  <c r="Q61" i="28"/>
  <c r="P61" i="28"/>
  <c r="O61" i="28"/>
  <c r="N61" i="28"/>
  <c r="M61" i="28"/>
  <c r="L61" i="28"/>
  <c r="Q60" i="28"/>
  <c r="P60" i="28"/>
  <c r="O60" i="28"/>
  <c r="N60" i="28"/>
  <c r="M60" i="28"/>
  <c r="L60" i="28"/>
  <c r="Q58" i="28"/>
  <c r="P58" i="28"/>
  <c r="O58" i="28"/>
  <c r="N58" i="28"/>
  <c r="M58" i="28"/>
  <c r="L58" i="28"/>
  <c r="Q57" i="28"/>
  <c r="P57" i="28"/>
  <c r="O57" i="28"/>
  <c r="N57" i="28"/>
  <c r="M57" i="28"/>
  <c r="L57" i="28"/>
  <c r="Q56" i="28"/>
  <c r="P56" i="28"/>
  <c r="O56" i="28"/>
  <c r="N56" i="28"/>
  <c r="M56" i="28"/>
  <c r="L56" i="28"/>
  <c r="Q54" i="28"/>
  <c r="P54" i="28"/>
  <c r="O54" i="28"/>
  <c r="N54" i="28"/>
  <c r="M54" i="28"/>
  <c r="L54" i="28"/>
  <c r="P53" i="28"/>
  <c r="O53" i="28"/>
  <c r="N53" i="28"/>
  <c r="M53" i="28"/>
  <c r="L53" i="28"/>
  <c r="Q52" i="28"/>
  <c r="P52" i="28"/>
  <c r="O52" i="28"/>
  <c r="N52" i="28"/>
  <c r="M52" i="28"/>
  <c r="L52" i="28"/>
  <c r="Q50" i="28"/>
  <c r="P50" i="28"/>
  <c r="O50" i="28"/>
  <c r="N50" i="28"/>
  <c r="M50" i="28"/>
  <c r="L50" i="28"/>
  <c r="Q49" i="28"/>
  <c r="P49" i="28"/>
  <c r="O49" i="28"/>
  <c r="N49" i="28"/>
  <c r="M49" i="28"/>
  <c r="L49" i="28"/>
  <c r="Q48" i="28"/>
  <c r="P48" i="28"/>
  <c r="O48" i="28"/>
  <c r="N48" i="28"/>
  <c r="M48" i="28"/>
  <c r="L48" i="28"/>
  <c r="Q46" i="28"/>
  <c r="P46" i="28"/>
  <c r="O46" i="28"/>
  <c r="N46" i="28"/>
  <c r="M46" i="28"/>
  <c r="L46" i="28"/>
  <c r="Q45" i="28"/>
  <c r="P45" i="28"/>
  <c r="O45" i="28"/>
  <c r="N45" i="28"/>
  <c r="M45" i="28"/>
  <c r="L45" i="28"/>
  <c r="Q44" i="28"/>
  <c r="P44" i="28"/>
  <c r="O44" i="28"/>
  <c r="N44" i="28"/>
  <c r="M44" i="28"/>
  <c r="L44" i="28"/>
  <c r="Q42" i="28"/>
  <c r="P42" i="28"/>
  <c r="O42" i="28"/>
  <c r="N42" i="28"/>
  <c r="M42" i="28"/>
  <c r="L42" i="28"/>
  <c r="Q41" i="28"/>
  <c r="P41" i="28"/>
  <c r="O41" i="28"/>
  <c r="N41" i="28"/>
  <c r="M41" i="28"/>
  <c r="L41" i="28"/>
  <c r="Q40" i="28"/>
  <c r="P40" i="28"/>
  <c r="O40" i="28"/>
  <c r="N40" i="28"/>
  <c r="M40" i="28"/>
  <c r="L40" i="28"/>
  <c r="Q38" i="28"/>
  <c r="P38" i="28"/>
  <c r="O38" i="28"/>
  <c r="N38" i="28"/>
  <c r="M38" i="28"/>
  <c r="L38" i="28"/>
  <c r="Q37" i="28"/>
  <c r="P37" i="28"/>
  <c r="O37" i="28"/>
  <c r="N37" i="28"/>
  <c r="M37" i="28"/>
  <c r="L37" i="28"/>
  <c r="Q36" i="28"/>
  <c r="P36" i="28"/>
  <c r="O36" i="28"/>
  <c r="N36" i="28"/>
  <c r="M36" i="28"/>
  <c r="L36" i="28"/>
  <c r="Q34" i="28"/>
  <c r="P34" i="28"/>
  <c r="O34" i="28"/>
  <c r="N34" i="28"/>
  <c r="M34" i="28"/>
  <c r="L34" i="28"/>
  <c r="Q33" i="28"/>
  <c r="P33" i="28"/>
  <c r="O33" i="28"/>
  <c r="N33" i="28"/>
  <c r="M33" i="28"/>
  <c r="L33" i="28"/>
  <c r="Q32" i="28"/>
  <c r="P32" i="28"/>
  <c r="O32" i="28"/>
  <c r="N32" i="28"/>
  <c r="M32" i="28"/>
  <c r="L32" i="28"/>
  <c r="Q30" i="28"/>
  <c r="P30" i="28"/>
  <c r="O30" i="28"/>
  <c r="N30" i="28"/>
  <c r="M30" i="28"/>
  <c r="L30" i="28"/>
  <c r="Q29" i="28"/>
  <c r="P29" i="28"/>
  <c r="O29" i="28"/>
  <c r="N29" i="28"/>
  <c r="M29" i="28"/>
  <c r="L29" i="28"/>
  <c r="P28" i="28"/>
  <c r="O28" i="28"/>
  <c r="N28" i="28"/>
  <c r="M28" i="28"/>
  <c r="L28" i="28"/>
  <c r="Q26" i="28"/>
  <c r="P26" i="28"/>
  <c r="O26" i="28"/>
  <c r="N26" i="28"/>
  <c r="M26" i="28"/>
  <c r="L26" i="28"/>
  <c r="Q25" i="28"/>
  <c r="P25" i="28"/>
  <c r="O25" i="28"/>
  <c r="N25" i="28"/>
  <c r="M25" i="28"/>
  <c r="L25" i="28"/>
  <c r="Q24" i="28"/>
  <c r="P24" i="28"/>
  <c r="O24" i="28"/>
  <c r="N24" i="28"/>
  <c r="M24" i="28"/>
  <c r="L24" i="28"/>
  <c r="Q22" i="28"/>
  <c r="P22" i="28"/>
  <c r="O22" i="28"/>
  <c r="N22" i="28"/>
  <c r="M22" i="28"/>
  <c r="L22" i="28"/>
  <c r="Q21" i="28"/>
  <c r="P21" i="28"/>
  <c r="O21" i="28"/>
  <c r="N21" i="28"/>
  <c r="M21" i="28"/>
  <c r="L21" i="28"/>
  <c r="Q20" i="28"/>
  <c r="P20" i="28"/>
  <c r="O20" i="28"/>
  <c r="N20" i="28"/>
  <c r="M20" i="28"/>
  <c r="L20" i="28"/>
  <c r="J74" i="28"/>
  <c r="I74" i="28"/>
  <c r="H74" i="28"/>
  <c r="G74" i="28"/>
  <c r="F74" i="28"/>
  <c r="E74" i="28"/>
  <c r="J73" i="28"/>
  <c r="I73" i="28"/>
  <c r="H73" i="28"/>
  <c r="G73" i="28"/>
  <c r="F73" i="28"/>
  <c r="E73" i="28"/>
  <c r="J72" i="28"/>
  <c r="I72" i="28"/>
  <c r="H72" i="28"/>
  <c r="G72" i="28"/>
  <c r="F72" i="28"/>
  <c r="E72" i="28"/>
  <c r="J70" i="28"/>
  <c r="I70" i="28"/>
  <c r="H70" i="28"/>
  <c r="G70" i="28"/>
  <c r="F70" i="28"/>
  <c r="E70" i="28"/>
  <c r="J69" i="28"/>
  <c r="I69" i="28"/>
  <c r="H69" i="28"/>
  <c r="G69" i="28"/>
  <c r="F69" i="28"/>
  <c r="E69" i="28"/>
  <c r="J68" i="28"/>
  <c r="I68" i="28"/>
  <c r="H68" i="28"/>
  <c r="G68" i="28"/>
  <c r="F68" i="28"/>
  <c r="E68" i="28"/>
  <c r="J66" i="28"/>
  <c r="I66" i="28"/>
  <c r="H66" i="28"/>
  <c r="G66" i="28"/>
  <c r="F66" i="28"/>
  <c r="E66" i="28"/>
  <c r="J65" i="28"/>
  <c r="I65" i="28"/>
  <c r="H65" i="28"/>
  <c r="G65" i="28"/>
  <c r="F65" i="28"/>
  <c r="E65" i="28"/>
  <c r="J64" i="28"/>
  <c r="I64" i="28"/>
  <c r="H64" i="28"/>
  <c r="G64" i="28"/>
  <c r="F64" i="28"/>
  <c r="J62" i="28"/>
  <c r="I62" i="28"/>
  <c r="H62" i="28"/>
  <c r="G62" i="28"/>
  <c r="F62" i="28"/>
  <c r="E62" i="28"/>
  <c r="I61" i="28"/>
  <c r="H61" i="28"/>
  <c r="G61" i="28"/>
  <c r="F61" i="28"/>
  <c r="E61" i="28"/>
  <c r="I60" i="28"/>
  <c r="H60" i="28"/>
  <c r="G60" i="28"/>
  <c r="F60" i="28"/>
  <c r="E60" i="28"/>
  <c r="J58" i="28"/>
  <c r="I58" i="28"/>
  <c r="H58" i="28"/>
  <c r="G58" i="28"/>
  <c r="F58" i="28"/>
  <c r="J57" i="28"/>
  <c r="I57" i="28"/>
  <c r="H57" i="28"/>
  <c r="G57" i="28"/>
  <c r="F57" i="28"/>
  <c r="E57" i="28"/>
  <c r="J56" i="28"/>
  <c r="I56" i="28"/>
  <c r="H56" i="28"/>
  <c r="G56" i="28"/>
  <c r="F56" i="28"/>
  <c r="E56" i="28"/>
  <c r="J54" i="28"/>
  <c r="H54" i="28"/>
  <c r="G54" i="28"/>
  <c r="F54" i="28"/>
  <c r="E54" i="28"/>
  <c r="J53" i="28"/>
  <c r="H53" i="28"/>
  <c r="G53" i="28"/>
  <c r="F53" i="28"/>
  <c r="I52" i="28"/>
  <c r="H52" i="28"/>
  <c r="G52" i="28"/>
  <c r="F52" i="28"/>
  <c r="E52" i="28"/>
  <c r="J50" i="28"/>
  <c r="I50" i="28"/>
  <c r="H50" i="28"/>
  <c r="G50" i="28"/>
  <c r="F50" i="28"/>
  <c r="E50" i="28"/>
  <c r="J49" i="28"/>
  <c r="I49" i="28"/>
  <c r="H49" i="28"/>
  <c r="G49" i="28"/>
  <c r="F49" i="28"/>
  <c r="E49" i="28"/>
  <c r="J48" i="28"/>
  <c r="I48" i="28"/>
  <c r="H48" i="28"/>
  <c r="G48" i="28"/>
  <c r="F48" i="28"/>
  <c r="E48" i="28"/>
  <c r="J46" i="28"/>
  <c r="I46" i="28"/>
  <c r="H46" i="28"/>
  <c r="G46" i="28"/>
  <c r="F46" i="28"/>
  <c r="E46" i="28"/>
  <c r="J45" i="28"/>
  <c r="I45" i="28"/>
  <c r="H45" i="28"/>
  <c r="G45" i="28"/>
  <c r="F45" i="28"/>
  <c r="E45" i="28"/>
  <c r="J44" i="28"/>
  <c r="I44" i="28"/>
  <c r="H44" i="28"/>
  <c r="G44" i="28"/>
  <c r="F44" i="28"/>
  <c r="E44" i="28"/>
  <c r="J42" i="28"/>
  <c r="I42" i="28"/>
  <c r="H42" i="28"/>
  <c r="G42" i="28"/>
  <c r="F42" i="28"/>
  <c r="E42" i="28"/>
  <c r="J41" i="28"/>
  <c r="I41" i="28"/>
  <c r="H41" i="28"/>
  <c r="G41" i="28"/>
  <c r="F41" i="28"/>
  <c r="E41" i="28"/>
  <c r="J40" i="28"/>
  <c r="I40" i="28"/>
  <c r="H40" i="28"/>
  <c r="G40" i="28"/>
  <c r="F40" i="28"/>
  <c r="E40" i="28"/>
  <c r="J38" i="28"/>
  <c r="I38" i="28"/>
  <c r="H38" i="28"/>
  <c r="G38" i="28"/>
  <c r="F38" i="28"/>
  <c r="E38" i="28"/>
  <c r="J37" i="28"/>
  <c r="I37" i="28"/>
  <c r="H37" i="28"/>
  <c r="G37" i="28"/>
  <c r="F37" i="28"/>
  <c r="E37" i="28"/>
  <c r="J36" i="28"/>
  <c r="I36" i="28"/>
  <c r="H36" i="28"/>
  <c r="G36" i="28"/>
  <c r="F36" i="28"/>
  <c r="E36" i="28"/>
  <c r="J34" i="28"/>
  <c r="I34" i="28"/>
  <c r="H34" i="28"/>
  <c r="G34" i="28"/>
  <c r="F34" i="28"/>
  <c r="E34" i="28"/>
  <c r="J33" i="28"/>
  <c r="I33" i="28"/>
  <c r="H33" i="28"/>
  <c r="G33" i="28"/>
  <c r="F33" i="28"/>
  <c r="J32" i="28"/>
  <c r="I32" i="28"/>
  <c r="H32" i="28"/>
  <c r="G32" i="28"/>
  <c r="F32" i="28"/>
  <c r="E32" i="28"/>
  <c r="J30" i="28"/>
  <c r="I30" i="28"/>
  <c r="H30" i="28"/>
  <c r="G30" i="28"/>
  <c r="F30" i="28"/>
  <c r="E30" i="28"/>
  <c r="J29" i="28"/>
  <c r="I29" i="28"/>
  <c r="H29" i="28"/>
  <c r="G29" i="28"/>
  <c r="F29" i="28"/>
  <c r="E29" i="28"/>
  <c r="J28" i="28"/>
  <c r="I28" i="28"/>
  <c r="H28" i="28"/>
  <c r="G28" i="28"/>
  <c r="F28" i="28"/>
  <c r="E28" i="28"/>
  <c r="J26" i="28"/>
  <c r="I26" i="28"/>
  <c r="H26" i="28"/>
  <c r="G26" i="28"/>
  <c r="F26" i="28"/>
  <c r="E26" i="28"/>
  <c r="J25" i="28"/>
  <c r="I25" i="28"/>
  <c r="H25" i="28"/>
  <c r="G25" i="28"/>
  <c r="F25" i="28"/>
  <c r="J24" i="28"/>
  <c r="I24" i="28"/>
  <c r="H24" i="28"/>
  <c r="G24" i="28"/>
  <c r="F24" i="28"/>
  <c r="E24" i="28"/>
  <c r="J22" i="28"/>
  <c r="I22" i="28"/>
  <c r="H22" i="28"/>
  <c r="G22" i="28"/>
  <c r="F22" i="28"/>
  <c r="E22" i="28"/>
  <c r="J21" i="28"/>
  <c r="I21" i="28"/>
  <c r="H21" i="28"/>
  <c r="G21" i="28"/>
  <c r="F21" i="28"/>
  <c r="E21" i="28"/>
  <c r="J20" i="28"/>
  <c r="I20" i="28"/>
  <c r="H20" i="28"/>
  <c r="G20" i="28"/>
  <c r="F20" i="28"/>
  <c r="E20" i="28"/>
  <c r="Q74" i="27"/>
  <c r="P74" i="27"/>
  <c r="O74" i="27"/>
  <c r="N74" i="27"/>
  <c r="M74" i="27"/>
  <c r="L74" i="27"/>
  <c r="Q73" i="27"/>
  <c r="P73" i="27"/>
  <c r="O73" i="27"/>
  <c r="N73" i="27"/>
  <c r="M73" i="27"/>
  <c r="L73" i="27"/>
  <c r="Q72" i="27"/>
  <c r="P72" i="27"/>
  <c r="O72" i="27"/>
  <c r="N72" i="27"/>
  <c r="M72" i="27"/>
  <c r="L72" i="27"/>
  <c r="Q70" i="27"/>
  <c r="P70" i="27"/>
  <c r="O70" i="27"/>
  <c r="N70" i="27"/>
  <c r="M70" i="27"/>
  <c r="L70" i="27"/>
  <c r="Q69" i="27"/>
  <c r="P69" i="27"/>
  <c r="O69" i="27"/>
  <c r="N69" i="27"/>
  <c r="M69" i="27"/>
  <c r="L69" i="27"/>
  <c r="Q68" i="27"/>
  <c r="P68" i="27"/>
  <c r="O68" i="27"/>
  <c r="N68" i="27"/>
  <c r="M68" i="27"/>
  <c r="L68" i="27"/>
  <c r="Q66" i="27"/>
  <c r="P66" i="27"/>
  <c r="O66" i="27"/>
  <c r="N66" i="27"/>
  <c r="M66" i="27"/>
  <c r="L66" i="27"/>
  <c r="Q65" i="27"/>
  <c r="P65" i="27"/>
  <c r="O65" i="27"/>
  <c r="N65" i="27"/>
  <c r="M65" i="27"/>
  <c r="L65" i="27"/>
  <c r="Q64" i="27"/>
  <c r="P64" i="27"/>
  <c r="O64" i="27"/>
  <c r="N64" i="27"/>
  <c r="M64" i="27"/>
  <c r="L64" i="27"/>
  <c r="Q62" i="27"/>
  <c r="P62" i="27"/>
  <c r="O62" i="27"/>
  <c r="N62" i="27"/>
  <c r="M62" i="27"/>
  <c r="L62" i="27"/>
  <c r="Q61" i="27"/>
  <c r="P61" i="27"/>
  <c r="O61" i="27"/>
  <c r="N61" i="27"/>
  <c r="M61" i="27"/>
  <c r="L61" i="27"/>
  <c r="Q60" i="27"/>
  <c r="P60" i="27"/>
  <c r="O60" i="27"/>
  <c r="N60" i="27"/>
  <c r="M60" i="27"/>
  <c r="L60" i="27"/>
  <c r="Q58" i="27"/>
  <c r="P58" i="27"/>
  <c r="O58" i="27"/>
  <c r="N58" i="27"/>
  <c r="M58" i="27"/>
  <c r="L58" i="27"/>
  <c r="Q57" i="27"/>
  <c r="P57" i="27"/>
  <c r="O57" i="27"/>
  <c r="N57" i="27"/>
  <c r="M57" i="27"/>
  <c r="L57" i="27"/>
  <c r="Q56" i="27"/>
  <c r="P56" i="27"/>
  <c r="O56" i="27"/>
  <c r="N56" i="27"/>
  <c r="M56" i="27"/>
  <c r="L56" i="27"/>
  <c r="Q54" i="27"/>
  <c r="P54" i="27"/>
  <c r="O54" i="27"/>
  <c r="N54" i="27"/>
  <c r="M54" i="27"/>
  <c r="L54" i="27"/>
  <c r="Q53" i="27"/>
  <c r="P53" i="27"/>
  <c r="O53" i="27"/>
  <c r="N53" i="27"/>
  <c r="M53" i="27"/>
  <c r="L53" i="27"/>
  <c r="Q52" i="27"/>
  <c r="P52" i="27"/>
  <c r="O52" i="27"/>
  <c r="N52" i="27"/>
  <c r="M52" i="27"/>
  <c r="L52" i="27"/>
  <c r="Q50" i="27"/>
  <c r="P50" i="27"/>
  <c r="O50" i="27"/>
  <c r="N50" i="27"/>
  <c r="M50" i="27"/>
  <c r="L50" i="27"/>
  <c r="Q49" i="27"/>
  <c r="P49" i="27"/>
  <c r="O49" i="27"/>
  <c r="N49" i="27"/>
  <c r="M49" i="27"/>
  <c r="L49" i="27"/>
  <c r="Q48" i="27"/>
  <c r="P48" i="27"/>
  <c r="O48" i="27"/>
  <c r="N48" i="27"/>
  <c r="M48" i="27"/>
  <c r="L48" i="27"/>
  <c r="Q46" i="27"/>
  <c r="P46" i="27"/>
  <c r="O46" i="27"/>
  <c r="N46" i="27"/>
  <c r="M46" i="27"/>
  <c r="L46" i="27"/>
  <c r="Q45" i="27"/>
  <c r="P45" i="27"/>
  <c r="O45" i="27"/>
  <c r="N45" i="27"/>
  <c r="M45" i="27"/>
  <c r="L45" i="27"/>
  <c r="Q44" i="27"/>
  <c r="P44" i="27"/>
  <c r="O44" i="27"/>
  <c r="N44" i="27"/>
  <c r="M44" i="27"/>
  <c r="L44" i="27"/>
  <c r="Q42" i="27"/>
  <c r="P42" i="27"/>
  <c r="O42" i="27"/>
  <c r="N42" i="27"/>
  <c r="M42" i="27"/>
  <c r="L42" i="27"/>
  <c r="Q41" i="27"/>
  <c r="P41" i="27"/>
  <c r="O41" i="27"/>
  <c r="N41" i="27"/>
  <c r="M41" i="27"/>
  <c r="L41" i="27"/>
  <c r="Q40" i="27"/>
  <c r="P40" i="27"/>
  <c r="O40" i="27"/>
  <c r="N40" i="27"/>
  <c r="M40" i="27"/>
  <c r="L40" i="27"/>
  <c r="Q38" i="27"/>
  <c r="P38" i="27"/>
  <c r="O38" i="27"/>
  <c r="N38" i="27"/>
  <c r="M38" i="27"/>
  <c r="L38" i="27"/>
  <c r="Q37" i="27"/>
  <c r="P37" i="27"/>
  <c r="O37" i="27"/>
  <c r="N37" i="27"/>
  <c r="M37" i="27"/>
  <c r="L37" i="27"/>
  <c r="Q36" i="27"/>
  <c r="P36" i="27"/>
  <c r="O36" i="27"/>
  <c r="N36" i="27"/>
  <c r="M36" i="27"/>
  <c r="L36" i="27"/>
  <c r="Q34" i="27"/>
  <c r="P34" i="27"/>
  <c r="O34" i="27"/>
  <c r="N34" i="27"/>
  <c r="M34" i="27"/>
  <c r="L34" i="27"/>
  <c r="Q33" i="27"/>
  <c r="P33" i="27"/>
  <c r="O33" i="27"/>
  <c r="N33" i="27"/>
  <c r="M33" i="27"/>
  <c r="L33" i="27"/>
  <c r="Q32" i="27"/>
  <c r="P32" i="27"/>
  <c r="O32" i="27"/>
  <c r="N32" i="27"/>
  <c r="M32" i="27"/>
  <c r="L32" i="27"/>
  <c r="Q30" i="27"/>
  <c r="P30" i="27"/>
  <c r="O30" i="27"/>
  <c r="N30" i="27"/>
  <c r="M30" i="27"/>
  <c r="L30" i="27"/>
  <c r="Q29" i="27"/>
  <c r="P29" i="27"/>
  <c r="O29" i="27"/>
  <c r="N29" i="27"/>
  <c r="M29" i="27"/>
  <c r="L29" i="27"/>
  <c r="Q28" i="27"/>
  <c r="P28" i="27"/>
  <c r="O28" i="27"/>
  <c r="N28" i="27"/>
  <c r="M28" i="27"/>
  <c r="L28" i="27"/>
  <c r="Q26" i="27"/>
  <c r="P26" i="27"/>
  <c r="O26" i="27"/>
  <c r="N26" i="27"/>
  <c r="M26" i="27"/>
  <c r="L26" i="27"/>
  <c r="Q25" i="27"/>
  <c r="P25" i="27"/>
  <c r="O25" i="27"/>
  <c r="N25" i="27"/>
  <c r="M25" i="27"/>
  <c r="L25" i="27"/>
  <c r="Q24" i="27"/>
  <c r="P24" i="27"/>
  <c r="O24" i="27"/>
  <c r="N24" i="27"/>
  <c r="M24" i="27"/>
  <c r="L24" i="27"/>
  <c r="Q22" i="27"/>
  <c r="P22" i="27"/>
  <c r="O22" i="27"/>
  <c r="N22" i="27"/>
  <c r="M22" i="27"/>
  <c r="L22" i="27"/>
  <c r="Q21" i="27"/>
  <c r="P21" i="27"/>
  <c r="O21" i="27"/>
  <c r="N21" i="27"/>
  <c r="M21" i="27"/>
  <c r="L21" i="27"/>
  <c r="Q20" i="27"/>
  <c r="P20" i="27"/>
  <c r="O20" i="27"/>
  <c r="N20" i="27"/>
  <c r="M20" i="27"/>
  <c r="L20" i="27"/>
  <c r="J74" i="27"/>
  <c r="I74" i="27"/>
  <c r="H74" i="27"/>
  <c r="G74" i="27"/>
  <c r="F74" i="27"/>
  <c r="E74" i="27"/>
  <c r="J73" i="27"/>
  <c r="I73" i="27"/>
  <c r="H73" i="27"/>
  <c r="G73" i="27"/>
  <c r="F73" i="27"/>
  <c r="E73" i="27"/>
  <c r="J72" i="27"/>
  <c r="I72" i="27"/>
  <c r="H72" i="27"/>
  <c r="G72" i="27"/>
  <c r="F72" i="27"/>
  <c r="E72" i="27"/>
  <c r="J70" i="27"/>
  <c r="I70" i="27"/>
  <c r="H70" i="27"/>
  <c r="G70" i="27"/>
  <c r="F70" i="27"/>
  <c r="E70" i="27"/>
  <c r="J69" i="27"/>
  <c r="J69" i="31" s="1"/>
  <c r="I69" i="27"/>
  <c r="H69" i="27"/>
  <c r="G69" i="27"/>
  <c r="F69" i="27"/>
  <c r="E69" i="27"/>
  <c r="J68" i="27"/>
  <c r="I68" i="27"/>
  <c r="H68" i="27"/>
  <c r="G68" i="27"/>
  <c r="F68" i="27"/>
  <c r="E68" i="27"/>
  <c r="J66" i="27"/>
  <c r="I66" i="27"/>
  <c r="H66" i="27"/>
  <c r="G66" i="27"/>
  <c r="F66" i="27"/>
  <c r="E66" i="27"/>
  <c r="J65" i="27"/>
  <c r="I65" i="27"/>
  <c r="H65" i="27"/>
  <c r="G65" i="27"/>
  <c r="F65" i="27"/>
  <c r="E65" i="27"/>
  <c r="J64" i="27"/>
  <c r="J64" i="31" s="1"/>
  <c r="I64" i="27"/>
  <c r="H64" i="27"/>
  <c r="G64" i="27"/>
  <c r="F64" i="27"/>
  <c r="E64" i="27"/>
  <c r="J62" i="27"/>
  <c r="I62" i="27"/>
  <c r="H62" i="27"/>
  <c r="G62" i="27"/>
  <c r="F62" i="27"/>
  <c r="E62" i="27"/>
  <c r="J61" i="27"/>
  <c r="I61" i="27"/>
  <c r="H61" i="27"/>
  <c r="G61" i="27"/>
  <c r="F61" i="27"/>
  <c r="E61" i="27"/>
  <c r="E61" i="31" s="1"/>
  <c r="J60" i="27"/>
  <c r="I60" i="27"/>
  <c r="H60" i="27"/>
  <c r="G60" i="27"/>
  <c r="F60" i="27"/>
  <c r="E60" i="27"/>
  <c r="J58" i="27"/>
  <c r="I58" i="27"/>
  <c r="H58" i="27"/>
  <c r="G58" i="27"/>
  <c r="F58" i="27"/>
  <c r="E58" i="27"/>
  <c r="J57" i="27"/>
  <c r="I57" i="27"/>
  <c r="H57" i="27"/>
  <c r="G57" i="27"/>
  <c r="F57" i="27"/>
  <c r="E57" i="27"/>
  <c r="J56" i="27"/>
  <c r="I56" i="27"/>
  <c r="H56" i="27"/>
  <c r="G56" i="27"/>
  <c r="F56" i="27"/>
  <c r="E56" i="27"/>
  <c r="J54" i="27"/>
  <c r="I54" i="27"/>
  <c r="H54" i="27"/>
  <c r="G54" i="27"/>
  <c r="F54" i="27"/>
  <c r="E54" i="27"/>
  <c r="J53" i="27"/>
  <c r="J53" i="31" s="1"/>
  <c r="I53" i="27"/>
  <c r="H53" i="27"/>
  <c r="G53" i="27"/>
  <c r="F53" i="27"/>
  <c r="E53" i="27"/>
  <c r="J52" i="27"/>
  <c r="I52" i="27"/>
  <c r="H52" i="27"/>
  <c r="G52" i="27"/>
  <c r="F52" i="27"/>
  <c r="E52" i="27"/>
  <c r="J50" i="27"/>
  <c r="I50" i="27"/>
  <c r="H50" i="27"/>
  <c r="G50" i="27"/>
  <c r="F50" i="27"/>
  <c r="E50" i="27"/>
  <c r="J49" i="27"/>
  <c r="I49" i="27"/>
  <c r="H49" i="27"/>
  <c r="G49" i="27"/>
  <c r="F49" i="27"/>
  <c r="E49" i="27"/>
  <c r="J48" i="27"/>
  <c r="J48" i="31" s="1"/>
  <c r="I48" i="27"/>
  <c r="H48" i="27"/>
  <c r="G48" i="27"/>
  <c r="F48" i="27"/>
  <c r="E48" i="27"/>
  <c r="J46" i="27"/>
  <c r="I46" i="27"/>
  <c r="H46" i="27"/>
  <c r="G46" i="27"/>
  <c r="F46" i="27"/>
  <c r="E46" i="27"/>
  <c r="J45" i="27"/>
  <c r="I45" i="27"/>
  <c r="I45" i="31" s="1"/>
  <c r="H45" i="27"/>
  <c r="G45" i="27"/>
  <c r="F45" i="27"/>
  <c r="E45" i="27"/>
  <c r="J44" i="27"/>
  <c r="I44" i="27"/>
  <c r="H44" i="27"/>
  <c r="G44" i="27"/>
  <c r="F44" i="27"/>
  <c r="E44" i="27"/>
  <c r="J42" i="27"/>
  <c r="I42" i="27"/>
  <c r="H42" i="27"/>
  <c r="G42" i="27"/>
  <c r="F42" i="27"/>
  <c r="E42" i="27"/>
  <c r="J41" i="27"/>
  <c r="I41" i="27"/>
  <c r="H41" i="27"/>
  <c r="G41" i="27"/>
  <c r="F41" i="27"/>
  <c r="E41" i="27"/>
  <c r="J40" i="27"/>
  <c r="I40" i="27"/>
  <c r="I40" i="31" s="1"/>
  <c r="H40" i="27"/>
  <c r="G40" i="27"/>
  <c r="F40" i="27"/>
  <c r="E40" i="27"/>
  <c r="J38" i="27"/>
  <c r="I38" i="27"/>
  <c r="H38" i="27"/>
  <c r="G38" i="27"/>
  <c r="F38" i="27"/>
  <c r="E38" i="27"/>
  <c r="J37" i="27"/>
  <c r="J37" i="31" s="1"/>
  <c r="I37" i="27"/>
  <c r="H37" i="27"/>
  <c r="G37" i="27"/>
  <c r="F37" i="27"/>
  <c r="E37" i="27"/>
  <c r="J36" i="27"/>
  <c r="I36" i="27"/>
  <c r="H36" i="27"/>
  <c r="G36" i="27"/>
  <c r="F36" i="27"/>
  <c r="E36" i="27"/>
  <c r="J34" i="27"/>
  <c r="I34" i="27"/>
  <c r="H34" i="27"/>
  <c r="G34" i="27"/>
  <c r="F34" i="27"/>
  <c r="E34" i="27"/>
  <c r="J33" i="27"/>
  <c r="I33" i="27"/>
  <c r="H33" i="27"/>
  <c r="G33" i="27"/>
  <c r="F33" i="27"/>
  <c r="E33" i="27"/>
  <c r="J32" i="27"/>
  <c r="J32" i="31" s="1"/>
  <c r="I32" i="27"/>
  <c r="H32" i="27"/>
  <c r="G32" i="27"/>
  <c r="F32" i="27"/>
  <c r="E32" i="27"/>
  <c r="J30" i="27"/>
  <c r="I30" i="27"/>
  <c r="H30" i="27"/>
  <c r="G30" i="27"/>
  <c r="F30" i="27"/>
  <c r="E30" i="27"/>
  <c r="J29" i="27"/>
  <c r="I29" i="27"/>
  <c r="I29" i="31" s="1"/>
  <c r="H29" i="27"/>
  <c r="G29" i="27"/>
  <c r="F29" i="27"/>
  <c r="E29" i="27"/>
  <c r="J28" i="27"/>
  <c r="I28" i="27"/>
  <c r="H28" i="27"/>
  <c r="G28" i="27"/>
  <c r="F28" i="27"/>
  <c r="E28" i="27"/>
  <c r="J26" i="27"/>
  <c r="I26" i="27"/>
  <c r="H26" i="27"/>
  <c r="G26" i="27"/>
  <c r="F26" i="27"/>
  <c r="E26" i="27"/>
  <c r="J25" i="27"/>
  <c r="I25" i="27"/>
  <c r="H25" i="27"/>
  <c r="G25" i="27"/>
  <c r="F25" i="27"/>
  <c r="E25" i="27"/>
  <c r="J24" i="27"/>
  <c r="I24" i="27"/>
  <c r="I24" i="31" s="1"/>
  <c r="H24" i="27"/>
  <c r="G24" i="27"/>
  <c r="F24" i="27"/>
  <c r="E24" i="27"/>
  <c r="J22" i="27"/>
  <c r="I22" i="27"/>
  <c r="H22" i="27"/>
  <c r="G22" i="27"/>
  <c r="F22" i="27"/>
  <c r="E22" i="27"/>
  <c r="J21" i="27"/>
  <c r="J21" i="31" s="1"/>
  <c r="I21" i="27"/>
  <c r="H21" i="27"/>
  <c r="G21" i="27"/>
  <c r="F21" i="27"/>
  <c r="E21" i="27"/>
  <c r="J20" i="27"/>
  <c r="I20" i="27"/>
  <c r="H20" i="27"/>
  <c r="G20" i="27"/>
  <c r="F20" i="27"/>
  <c r="E20" i="27"/>
  <c r="E33" i="31" l="1"/>
  <c r="F33" i="31"/>
  <c r="G33" i="31"/>
  <c r="H44" i="31"/>
  <c r="I44" i="31"/>
  <c r="J65" i="31"/>
  <c r="F24" i="31"/>
  <c r="G24" i="31"/>
  <c r="G29" i="31"/>
  <c r="G40" i="31"/>
  <c r="G45" i="31"/>
  <c r="G56" i="31"/>
  <c r="G61" i="31"/>
  <c r="G72" i="31"/>
  <c r="H66" i="31"/>
  <c r="H24" i="31"/>
  <c r="H29" i="31"/>
  <c r="H40" i="31"/>
  <c r="H45" i="31"/>
  <c r="H56" i="31"/>
  <c r="H61" i="31"/>
  <c r="H72" i="31"/>
  <c r="E28" i="31"/>
  <c r="F65" i="31"/>
  <c r="H49" i="31"/>
  <c r="E29" i="31"/>
  <c r="F45" i="31"/>
  <c r="E50" i="31"/>
  <c r="J29" i="31"/>
  <c r="I50" i="31"/>
  <c r="E20" i="31"/>
  <c r="E25" i="31"/>
  <c r="E36" i="31"/>
  <c r="E41" i="31"/>
  <c r="E52" i="31"/>
  <c r="E57" i="31"/>
  <c r="E68" i="31"/>
  <c r="E73" i="31"/>
  <c r="I49" i="31"/>
  <c r="E40" i="31"/>
  <c r="I72" i="31"/>
  <c r="F57" i="31"/>
  <c r="G49" i="31"/>
  <c r="I65" i="31"/>
  <c r="H22" i="31"/>
  <c r="G36" i="31"/>
  <c r="G68" i="31"/>
  <c r="G73" i="31"/>
  <c r="F49" i="31"/>
  <c r="J33" i="31"/>
  <c r="F56" i="31"/>
  <c r="F28" i="31"/>
  <c r="H28" i="31"/>
  <c r="I68" i="31"/>
  <c r="E44" i="31"/>
  <c r="G60" i="31"/>
  <c r="I28" i="31"/>
  <c r="J56" i="31"/>
  <c r="F20" i="31"/>
  <c r="J73" i="31"/>
  <c r="E74" i="31"/>
  <c r="E65" i="31"/>
  <c r="F60" i="31"/>
  <c r="G65" i="31"/>
  <c r="H65" i="31"/>
  <c r="J49" i="31"/>
  <c r="F40" i="31"/>
  <c r="I56" i="31"/>
  <c r="G20" i="31"/>
  <c r="G57" i="31"/>
  <c r="H41" i="31"/>
  <c r="I20" i="31"/>
  <c r="J68" i="31"/>
  <c r="E21" i="31"/>
  <c r="E32" i="31"/>
  <c r="E37" i="31"/>
  <c r="E48" i="31"/>
  <c r="E53" i="31"/>
  <c r="E64" i="31"/>
  <c r="E69" i="31"/>
  <c r="F74" i="31"/>
  <c r="F44" i="31"/>
  <c r="E38" i="31"/>
  <c r="G54" i="31"/>
  <c r="H54" i="31"/>
  <c r="J44" i="31"/>
  <c r="E24" i="31"/>
  <c r="F72" i="31"/>
  <c r="J72" i="31"/>
  <c r="F25" i="31"/>
  <c r="F52" i="31"/>
  <c r="G25" i="31"/>
  <c r="H20" i="31"/>
  <c r="H57" i="31"/>
  <c r="I52" i="31"/>
  <c r="J41" i="31"/>
  <c r="F32" i="31"/>
  <c r="F37" i="31"/>
  <c r="F48" i="31"/>
  <c r="F53" i="31"/>
  <c r="F64" i="31"/>
  <c r="F69" i="31"/>
  <c r="G74" i="31"/>
  <c r="G28" i="31"/>
  <c r="I60" i="31"/>
  <c r="J28" i="31"/>
  <c r="E56" i="31"/>
  <c r="F29" i="31"/>
  <c r="J24" i="31"/>
  <c r="J61" i="31"/>
  <c r="F36" i="31"/>
  <c r="F68" i="31"/>
  <c r="G41" i="31"/>
  <c r="H52" i="31"/>
  <c r="I36" i="31"/>
  <c r="I73" i="31"/>
  <c r="H46" i="31"/>
  <c r="J25" i="31"/>
  <c r="J57" i="31"/>
  <c r="F21" i="31"/>
  <c r="G37" i="31"/>
  <c r="G48" i="31"/>
  <c r="G53" i="31"/>
  <c r="G64" i="31"/>
  <c r="G69" i="31"/>
  <c r="F42" i="31"/>
  <c r="H74" i="31"/>
  <c r="E60" i="31"/>
  <c r="H33" i="31"/>
  <c r="G22" i="31"/>
  <c r="I38" i="31"/>
  <c r="E45" i="31"/>
  <c r="J66" i="31"/>
  <c r="J45" i="31"/>
  <c r="F73" i="31"/>
  <c r="H25" i="31"/>
  <c r="H68" i="31"/>
  <c r="G30" i="31"/>
  <c r="I41" i="31"/>
  <c r="J52" i="31"/>
  <c r="G21" i="31"/>
  <c r="G32" i="31"/>
  <c r="H21" i="31"/>
  <c r="H32" i="31"/>
  <c r="H37" i="31"/>
  <c r="H48" i="31"/>
  <c r="H53" i="31"/>
  <c r="H64" i="31"/>
  <c r="H69" i="31"/>
  <c r="I74" i="31"/>
  <c r="E49" i="31"/>
  <c r="J42" i="31"/>
  <c r="G44" i="31"/>
  <c r="H60" i="31"/>
  <c r="I33" i="31"/>
  <c r="J60" i="31"/>
  <c r="E72" i="31"/>
  <c r="F61" i="31"/>
  <c r="I61" i="31"/>
  <c r="J40" i="31"/>
  <c r="F41" i="31"/>
  <c r="G52" i="31"/>
  <c r="H36" i="31"/>
  <c r="H73" i="31"/>
  <c r="G46" i="31"/>
  <c r="I25" i="31"/>
  <c r="I57" i="31"/>
  <c r="J20" i="31"/>
  <c r="J36" i="31"/>
  <c r="I21" i="31"/>
  <c r="I32" i="31"/>
  <c r="I37" i="31"/>
  <c r="I48" i="31"/>
  <c r="I53" i="31"/>
  <c r="I64" i="31"/>
  <c r="I69" i="31"/>
  <c r="J74" i="31"/>
  <c r="I66" i="31"/>
  <c r="H30" i="31"/>
  <c r="F62" i="31"/>
  <c r="H58" i="31"/>
  <c r="E42" i="31"/>
  <c r="I42" i="31"/>
  <c r="H42" i="31"/>
  <c r="F38" i="31"/>
  <c r="J38" i="31"/>
  <c r="E34" i="31"/>
  <c r="I34" i="31"/>
  <c r="H34" i="31"/>
  <c r="H62" i="31"/>
  <c r="E58" i="31"/>
  <c r="F58" i="31"/>
  <c r="J58" i="31"/>
  <c r="I58" i="31"/>
  <c r="H50" i="31"/>
  <c r="F46" i="31"/>
  <c r="J46" i="31"/>
  <c r="H38" i="31"/>
  <c r="G34" i="31"/>
  <c r="E22" i="31"/>
  <c r="I22" i="31"/>
  <c r="E30" i="31"/>
  <c r="E62" i="31"/>
  <c r="I62" i="31"/>
  <c r="G62" i="31"/>
  <c r="G58" i="31"/>
  <c r="F54" i="31"/>
  <c r="J54" i="31"/>
  <c r="E54" i="31"/>
  <c r="I54" i="31"/>
  <c r="F50" i="31"/>
  <c r="J50" i="31"/>
  <c r="G50" i="31"/>
  <c r="E46" i="31"/>
  <c r="I46" i="31"/>
  <c r="G42" i="31"/>
  <c r="G38" i="31"/>
  <c r="F34" i="31"/>
  <c r="J34" i="31"/>
  <c r="I30" i="31"/>
  <c r="F30" i="31"/>
  <c r="J30" i="31"/>
  <c r="F22" i="31"/>
  <c r="J22" i="31"/>
  <c r="H26" i="31"/>
  <c r="I26" i="31"/>
  <c r="G26" i="31"/>
  <c r="J26" i="31"/>
  <c r="F26" i="31"/>
  <c r="E26" i="31"/>
  <c r="Q18" i="26"/>
  <c r="P18" i="26"/>
  <c r="O18" i="26"/>
  <c r="N18" i="26"/>
  <c r="M18" i="26"/>
  <c r="L18" i="26"/>
  <c r="J18" i="26"/>
  <c r="I18" i="26"/>
  <c r="H18" i="26"/>
  <c r="G18" i="26"/>
  <c r="F18" i="26"/>
  <c r="E18" i="26"/>
  <c r="Q17" i="26"/>
  <c r="P17" i="26"/>
  <c r="O17" i="26"/>
  <c r="N17" i="26"/>
  <c r="M17" i="26"/>
  <c r="L17" i="26"/>
  <c r="J17" i="26"/>
  <c r="I17" i="26"/>
  <c r="H17" i="26"/>
  <c r="G17" i="26"/>
  <c r="F17" i="26"/>
  <c r="E17" i="26"/>
  <c r="Q16" i="26"/>
  <c r="P16" i="26"/>
  <c r="O16" i="26"/>
  <c r="N16" i="26"/>
  <c r="M16" i="26"/>
  <c r="L16" i="26"/>
  <c r="J16" i="26"/>
  <c r="I16" i="26"/>
  <c r="H16" i="26"/>
  <c r="G16" i="26"/>
  <c r="F16" i="26"/>
  <c r="E16" i="26"/>
  <c r="Q18" i="25"/>
  <c r="P18" i="25"/>
  <c r="O18" i="25"/>
  <c r="N18" i="25"/>
  <c r="M18" i="25"/>
  <c r="L18" i="25"/>
  <c r="J18" i="25"/>
  <c r="I18" i="25"/>
  <c r="H18" i="25"/>
  <c r="G18" i="25"/>
  <c r="F18" i="25"/>
  <c r="E18" i="25"/>
  <c r="Q17" i="25"/>
  <c r="P17" i="25"/>
  <c r="O17" i="25"/>
  <c r="N17" i="25"/>
  <c r="M17" i="25"/>
  <c r="L17" i="25"/>
  <c r="J17" i="25"/>
  <c r="I17" i="25"/>
  <c r="H17" i="25"/>
  <c r="G17" i="25"/>
  <c r="F17" i="25"/>
  <c r="E17" i="25"/>
  <c r="Q16" i="25"/>
  <c r="P16" i="25"/>
  <c r="O16" i="25"/>
  <c r="N16" i="25"/>
  <c r="M16" i="25"/>
  <c r="L16" i="25"/>
  <c r="J16" i="25"/>
  <c r="I16" i="25"/>
  <c r="H16" i="25"/>
  <c r="G16" i="25"/>
  <c r="F16" i="25"/>
  <c r="E16" i="25"/>
  <c r="Q18" i="24"/>
  <c r="P18" i="24"/>
  <c r="O18" i="24"/>
  <c r="N18" i="24"/>
  <c r="M18" i="24"/>
  <c r="J18" i="24"/>
  <c r="I18" i="24"/>
  <c r="H18" i="24"/>
  <c r="G18" i="24"/>
  <c r="F18" i="24"/>
  <c r="F18" i="33" s="1"/>
  <c r="Q17" i="24"/>
  <c r="P17" i="24"/>
  <c r="O17" i="24"/>
  <c r="N17" i="24"/>
  <c r="M17" i="24"/>
  <c r="L17" i="24"/>
  <c r="J17" i="24"/>
  <c r="I17" i="24"/>
  <c r="H17" i="24"/>
  <c r="G17" i="24"/>
  <c r="F17" i="24"/>
  <c r="E17" i="24"/>
  <c r="Q16" i="24"/>
  <c r="P16" i="24"/>
  <c r="O16" i="24"/>
  <c r="N16" i="24"/>
  <c r="M16" i="24"/>
  <c r="L16" i="24"/>
  <c r="J16" i="24"/>
  <c r="I16" i="24"/>
  <c r="H16" i="24"/>
  <c r="G16" i="24"/>
  <c r="F16" i="24"/>
  <c r="F16" i="33" s="1"/>
  <c r="E16" i="24"/>
  <c r="E16" i="33" s="1"/>
  <c r="Q18" i="23"/>
  <c r="P18" i="23"/>
  <c r="O18" i="23"/>
  <c r="N18" i="23"/>
  <c r="M18" i="23"/>
  <c r="L18" i="23"/>
  <c r="J18" i="23"/>
  <c r="I18" i="23"/>
  <c r="H18" i="23"/>
  <c r="G18" i="23"/>
  <c r="F18" i="23"/>
  <c r="E18" i="23"/>
  <c r="Q17" i="23"/>
  <c r="P17" i="23"/>
  <c r="P17" i="29" s="1"/>
  <c r="O17" i="23"/>
  <c r="N17" i="23"/>
  <c r="N17" i="29" s="1"/>
  <c r="M17" i="23"/>
  <c r="M17" i="29" s="1"/>
  <c r="L17" i="23"/>
  <c r="L17" i="29" s="1"/>
  <c r="J17" i="23"/>
  <c r="J17" i="29" s="1"/>
  <c r="I17" i="23"/>
  <c r="H17" i="23"/>
  <c r="G17" i="23"/>
  <c r="G17" i="29" s="1"/>
  <c r="F17" i="23"/>
  <c r="E17" i="23"/>
  <c r="E17" i="29" s="1"/>
  <c r="Q16" i="23"/>
  <c r="P16" i="23"/>
  <c r="O16" i="23"/>
  <c r="N16" i="23"/>
  <c r="M16" i="23"/>
  <c r="L16" i="23"/>
  <c r="J16" i="23"/>
  <c r="I16" i="23"/>
  <c r="H16" i="23"/>
  <c r="G16" i="23"/>
  <c r="F16" i="23"/>
  <c r="F16" i="29" s="1"/>
  <c r="E16" i="23"/>
  <c r="E16" i="22"/>
  <c r="F16" i="22"/>
  <c r="G16" i="22"/>
  <c r="G16" i="28" s="1"/>
  <c r="H16" i="22"/>
  <c r="H16" i="28" s="1"/>
  <c r="I16" i="22"/>
  <c r="I16" i="28" s="1"/>
  <c r="J16" i="22"/>
  <c r="J16" i="28" s="1"/>
  <c r="L16" i="22"/>
  <c r="L16" i="28" s="1"/>
  <c r="M16" i="22"/>
  <c r="M16" i="28" s="1"/>
  <c r="N16" i="22"/>
  <c r="N16" i="28" s="1"/>
  <c r="O16" i="22"/>
  <c r="P16" i="22"/>
  <c r="P16" i="28" s="1"/>
  <c r="Q16" i="22"/>
  <c r="Q16" i="28" s="1"/>
  <c r="E17" i="22"/>
  <c r="E17" i="28" s="1"/>
  <c r="F17" i="22"/>
  <c r="F17" i="28" s="1"/>
  <c r="G17" i="22"/>
  <c r="H17" i="22"/>
  <c r="I17" i="22"/>
  <c r="J17" i="22"/>
  <c r="L17" i="22"/>
  <c r="M17" i="22"/>
  <c r="N17" i="22"/>
  <c r="O17" i="22"/>
  <c r="P17" i="22"/>
  <c r="Q17" i="22"/>
  <c r="E18" i="22"/>
  <c r="F18" i="22"/>
  <c r="G18" i="22"/>
  <c r="H18" i="22"/>
  <c r="H18" i="28" s="1"/>
  <c r="I18" i="22"/>
  <c r="I18" i="28" s="1"/>
  <c r="J18" i="22"/>
  <c r="L18" i="22"/>
  <c r="M18" i="22"/>
  <c r="N18" i="22"/>
  <c r="O18" i="22"/>
  <c r="P18" i="22"/>
  <c r="Q18" i="22"/>
  <c r="E18" i="7"/>
  <c r="E17" i="7"/>
  <c r="Q18" i="7"/>
  <c r="P18" i="7"/>
  <c r="O18" i="7"/>
  <c r="N18" i="7"/>
  <c r="M18" i="7"/>
  <c r="L18" i="7"/>
  <c r="J18" i="7"/>
  <c r="I18" i="7"/>
  <c r="H18" i="7"/>
  <c r="G18" i="7"/>
  <c r="F18" i="7"/>
  <c r="Q17" i="7"/>
  <c r="Q17" i="27" s="1"/>
  <c r="P17" i="7"/>
  <c r="P17" i="27" s="1"/>
  <c r="O17" i="7"/>
  <c r="N17" i="7"/>
  <c r="N17" i="27" s="1"/>
  <c r="M17" i="7"/>
  <c r="M17" i="27" s="1"/>
  <c r="L17" i="7"/>
  <c r="L17" i="27" s="1"/>
  <c r="J17" i="7"/>
  <c r="I17" i="7"/>
  <c r="H17" i="7"/>
  <c r="G17" i="7"/>
  <c r="F17" i="7"/>
  <c r="Q16" i="7"/>
  <c r="P16" i="7"/>
  <c r="O16" i="7"/>
  <c r="N16" i="7"/>
  <c r="M16" i="7"/>
  <c r="L16" i="7"/>
  <c r="J16" i="7"/>
  <c r="I16" i="7"/>
  <c r="H16" i="7"/>
  <c r="G16" i="7"/>
  <c r="F16" i="7"/>
  <c r="E16" i="7"/>
  <c r="L18" i="11"/>
  <c r="L17" i="11"/>
  <c r="L16" i="11"/>
  <c r="K18" i="11"/>
  <c r="K17" i="11"/>
  <c r="K16" i="11"/>
  <c r="I18" i="11"/>
  <c r="F18" i="11" s="1"/>
  <c r="I17" i="11"/>
  <c r="F17" i="11" s="1"/>
  <c r="I16" i="11"/>
  <c r="F16" i="11" s="1"/>
  <c r="H18" i="11"/>
  <c r="E18" i="11" s="1"/>
  <c r="H17" i="11"/>
  <c r="E17" i="11" s="1"/>
  <c r="H16" i="11"/>
  <c r="E16" i="11" s="1"/>
  <c r="E17" i="33" l="1"/>
  <c r="F17" i="33"/>
  <c r="G16" i="29"/>
  <c r="G18" i="32"/>
  <c r="G18" i="27"/>
  <c r="H18" i="32"/>
  <c r="H18" i="27"/>
  <c r="G17" i="32"/>
  <c r="G17" i="27"/>
  <c r="M17" i="28"/>
  <c r="I17" i="32"/>
  <c r="I17" i="27"/>
  <c r="E18" i="28"/>
  <c r="E18" i="33"/>
  <c r="E16" i="32"/>
  <c r="G16" i="32"/>
  <c r="G16" i="27"/>
  <c r="G16" i="31" s="1"/>
  <c r="J18" i="32"/>
  <c r="J18" i="27"/>
  <c r="I16" i="32"/>
  <c r="I16" i="27"/>
  <c r="I16" i="31" s="1"/>
  <c r="F17" i="32"/>
  <c r="F17" i="27"/>
  <c r="F17" i="31" s="1"/>
  <c r="H18" i="33"/>
  <c r="J17" i="32"/>
  <c r="J17" i="27"/>
  <c r="J16" i="33"/>
  <c r="E16" i="28"/>
  <c r="Q17" i="28"/>
  <c r="P17" i="28"/>
  <c r="I18" i="32"/>
  <c r="I18" i="27"/>
  <c r="H17" i="33"/>
  <c r="I16" i="29"/>
  <c r="L17" i="28"/>
  <c r="I17" i="28"/>
  <c r="H17" i="32"/>
  <c r="H17" i="27"/>
  <c r="I18" i="33"/>
  <c r="F18" i="32"/>
  <c r="F18" i="27"/>
  <c r="F16" i="32"/>
  <c r="F16" i="27"/>
  <c r="J17" i="33"/>
  <c r="H17" i="28"/>
  <c r="J18" i="33"/>
  <c r="O17" i="28"/>
  <c r="H16" i="32"/>
  <c r="H16" i="27"/>
  <c r="I17" i="33"/>
  <c r="J16" i="32"/>
  <c r="J16" i="27"/>
  <c r="L16" i="27"/>
  <c r="O16" i="27"/>
  <c r="O16" i="29"/>
  <c r="G18" i="33"/>
  <c r="G16" i="33"/>
  <c r="H16" i="33"/>
  <c r="I16" i="33"/>
  <c r="N17" i="28"/>
  <c r="O18" i="27"/>
  <c r="G17" i="28"/>
  <c r="P16" i="27"/>
  <c r="E17" i="32"/>
  <c r="E17" i="27"/>
  <c r="E17" i="31" s="1"/>
  <c r="P16" i="29"/>
  <c r="G17" i="33"/>
  <c r="H16" i="29"/>
  <c r="M18" i="27"/>
  <c r="L16" i="29"/>
  <c r="Q18" i="27"/>
  <c r="Q16" i="27"/>
  <c r="E18" i="32"/>
  <c r="E18" i="27"/>
  <c r="Q16" i="29"/>
  <c r="E18" i="29"/>
  <c r="H18" i="29"/>
  <c r="Q18" i="29"/>
  <c r="I18" i="29"/>
  <c r="L18" i="29"/>
  <c r="P18" i="29"/>
  <c r="F18" i="29"/>
  <c r="O18" i="29"/>
  <c r="M18" i="28"/>
  <c r="Q18" i="28"/>
  <c r="N18" i="28"/>
  <c r="G18" i="29"/>
  <c r="L18" i="28"/>
  <c r="P18" i="28"/>
  <c r="G18" i="28"/>
  <c r="J18" i="28"/>
  <c r="L18" i="27"/>
  <c r="P18" i="27"/>
  <c r="N18" i="27"/>
  <c r="O17" i="27"/>
  <c r="M16" i="27"/>
  <c r="J16" i="29"/>
  <c r="F17" i="29"/>
  <c r="O17" i="29"/>
  <c r="J18" i="29"/>
  <c r="E16" i="27"/>
  <c r="N16" i="27"/>
  <c r="O18" i="28"/>
  <c r="F18" i="28"/>
  <c r="J17" i="28"/>
  <c r="O16" i="28"/>
  <c r="F16" i="28"/>
  <c r="M16" i="29"/>
  <c r="H17" i="29"/>
  <c r="Q17" i="29"/>
  <c r="M18" i="29"/>
  <c r="E16" i="29"/>
  <c r="N16" i="29"/>
  <c r="I17" i="29"/>
  <c r="N18" i="29"/>
  <c r="F48" i="2"/>
  <c r="F40" i="2"/>
  <c r="F36" i="2"/>
  <c r="F32" i="2"/>
  <c r="F28" i="2"/>
  <c r="F24" i="2"/>
  <c r="F20" i="2"/>
  <c r="F16" i="2"/>
  <c r="F49" i="2"/>
  <c r="F41" i="2"/>
  <c r="F37" i="2"/>
  <c r="F33" i="2"/>
  <c r="F29" i="2"/>
  <c r="F25" i="2"/>
  <c r="F21" i="2"/>
  <c r="F17" i="2"/>
  <c r="E12" i="2"/>
  <c r="E13" i="2"/>
  <c r="F16" i="31" l="1"/>
  <c r="H17" i="31"/>
  <c r="I17" i="31"/>
  <c r="F13" i="2"/>
  <c r="G17" i="31"/>
  <c r="E16" i="31"/>
  <c r="J16" i="31"/>
  <c r="E18" i="31"/>
  <c r="J17" i="31"/>
  <c r="H16" i="31"/>
  <c r="H18" i="31"/>
  <c r="I18" i="31"/>
  <c r="G18" i="31"/>
  <c r="J18" i="31"/>
  <c r="F18" i="31"/>
  <c r="F12" i="2"/>
  <c r="F33" i="1"/>
  <c r="E33" i="1"/>
  <c r="F24" i="1"/>
  <c r="E24" i="1"/>
  <c r="F20" i="1"/>
  <c r="E20" i="1"/>
  <c r="F16" i="1"/>
  <c r="E16" i="1"/>
  <c r="E13" i="1" l="1"/>
  <c r="F57" i="1"/>
  <c r="F54" i="1"/>
  <c r="F11" i="2" l="1"/>
  <c r="E11" i="2"/>
  <c r="E57" i="1" l="1"/>
  <c r="E54" i="1"/>
  <c r="F13" i="1" s="1"/>
</calcChain>
</file>

<file path=xl/sharedStrings.xml><?xml version="1.0" encoding="utf-8"?>
<sst xmlns="http://schemas.openxmlformats.org/spreadsheetml/2006/main" count="820" uniqueCount="150">
  <si>
    <t>Jumlah</t>
  </si>
  <si>
    <t>Total</t>
  </si>
  <si>
    <t>Sumber: Suruhanjaya Komunikasi dan Multimedia Malaysia</t>
  </si>
  <si>
    <t>Source: Malaysian Communications and Multimedia Commission</t>
  </si>
  <si>
    <t>Jadual 7.1</t>
  </si>
  <si>
    <t>Jadual 7.2</t>
  </si>
  <si>
    <t>Table 7.2</t>
  </si>
  <si>
    <t>JENAYAH KOMERSIAL</t>
  </si>
  <si>
    <t>Table 7.1</t>
  </si>
  <si>
    <t>Tipu</t>
  </si>
  <si>
    <t>Pecah amanah jenayah</t>
  </si>
  <si>
    <t>Criminal breach of trust</t>
  </si>
  <si>
    <t>Jenayah siber</t>
  </si>
  <si>
    <t>Cyber crime</t>
  </si>
  <si>
    <t>Wang palsu</t>
  </si>
  <si>
    <t>Pemalsuan</t>
  </si>
  <si>
    <t>Forgery</t>
  </si>
  <si>
    <t>Salah guna harta</t>
  </si>
  <si>
    <t>Misuse of property</t>
  </si>
  <si>
    <t>Sumber: Polis Diraja Malaysia</t>
  </si>
  <si>
    <t>Source: Royal Malaysia Police</t>
  </si>
  <si>
    <t>Others case</t>
  </si>
  <si>
    <t>-</t>
  </si>
  <si>
    <t>Case of VCD/ DVD without certificate B</t>
  </si>
  <si>
    <t xml:space="preserve">   Film Censorship Act 2002</t>
  </si>
  <si>
    <t>: Bilangan aduan kandungan media baharu yang diterima oleh Suruhanjaya Komunikasi</t>
  </si>
  <si>
    <t xml:space="preserve">: Number of new media content complaints received by Malaysian Communications and </t>
  </si>
  <si>
    <t>Counterfeit money</t>
  </si>
  <si>
    <t>Fraud</t>
  </si>
  <si>
    <r>
      <t xml:space="preserve">Kesalahan
</t>
    </r>
    <r>
      <rPr>
        <i/>
        <sz val="10"/>
        <color rgb="FF000000"/>
        <rFont val="Century Gothic"/>
        <family val="2"/>
      </rPr>
      <t>Offence</t>
    </r>
  </si>
  <si>
    <r>
      <t xml:space="preserve">Tahun
</t>
    </r>
    <r>
      <rPr>
        <i/>
        <sz val="10"/>
        <color rgb="FF000000"/>
        <rFont val="Century Gothic"/>
        <family val="2"/>
      </rPr>
      <t>Year</t>
    </r>
  </si>
  <si>
    <r>
      <t xml:space="preserve">Bilangan kes
</t>
    </r>
    <r>
      <rPr>
        <i/>
        <sz val="10"/>
        <color rgb="FF000000"/>
        <rFont val="Century Gothic"/>
        <family val="2"/>
      </rPr>
      <t>Number of cases</t>
    </r>
  </si>
  <si>
    <r>
      <t>Kes VCD/ DVD tanpa sijil B</t>
    </r>
    <r>
      <rPr>
        <b/>
        <vertAlign val="superscript"/>
        <sz val="10"/>
        <color rgb="FF000000"/>
        <rFont val="Century Gothic"/>
        <family val="2"/>
      </rPr>
      <t>a</t>
    </r>
  </si>
  <si>
    <r>
      <t>Lain-lain kes</t>
    </r>
    <r>
      <rPr>
        <b/>
        <vertAlign val="superscript"/>
        <sz val="10"/>
        <color rgb="FF000000"/>
        <rFont val="Century Gothic"/>
        <family val="2"/>
      </rPr>
      <t>b</t>
    </r>
  </si>
  <si>
    <r>
      <t xml:space="preserve">Elemen
</t>
    </r>
    <r>
      <rPr>
        <i/>
        <sz val="10"/>
        <color rgb="FF000000"/>
        <rFont val="Century Gothic"/>
        <family val="2"/>
      </rPr>
      <t>Element</t>
    </r>
  </si>
  <si>
    <r>
      <t xml:space="preserve">Kategori aduan
</t>
    </r>
    <r>
      <rPr>
        <i/>
        <sz val="10"/>
        <color rgb="FF000000"/>
        <rFont val="Century Gothic"/>
        <family val="2"/>
      </rPr>
      <t>Complaint category</t>
    </r>
  </si>
  <si>
    <r>
      <rPr>
        <b/>
        <sz val="10"/>
        <color rgb="FF000000"/>
        <rFont val="Century Gothic"/>
        <family val="2"/>
      </rPr>
      <t>Lucah</t>
    </r>
    <r>
      <rPr>
        <sz val="10"/>
        <color rgb="FF000000"/>
        <rFont val="Century Gothic"/>
        <family val="2"/>
      </rPr>
      <t xml:space="preserve">
</t>
    </r>
    <r>
      <rPr>
        <i/>
        <sz val="10"/>
        <color rgb="FF000000"/>
        <rFont val="Century Gothic"/>
        <family val="2"/>
      </rPr>
      <t>Obscene</t>
    </r>
  </si>
  <si>
    <r>
      <rPr>
        <b/>
        <sz val="10"/>
        <color rgb="FF000000"/>
        <rFont val="Century Gothic"/>
        <family val="2"/>
      </rPr>
      <t>Pornografi</t>
    </r>
    <r>
      <rPr>
        <sz val="10"/>
        <color rgb="FF000000"/>
        <rFont val="Century Gothic"/>
        <family val="2"/>
      </rPr>
      <t xml:space="preserve">
</t>
    </r>
    <r>
      <rPr>
        <i/>
        <sz val="10"/>
        <color rgb="FF000000"/>
        <rFont val="Century Gothic"/>
        <family val="2"/>
      </rPr>
      <t>Pornography</t>
    </r>
  </si>
  <si>
    <r>
      <rPr>
        <b/>
        <sz val="10"/>
        <color rgb="FF000000"/>
        <rFont val="Century Gothic"/>
        <family val="2"/>
      </rPr>
      <t>Gangguan (Lucah)</t>
    </r>
    <r>
      <rPr>
        <sz val="10"/>
        <color rgb="FF000000"/>
        <rFont val="Century Gothic"/>
        <family val="2"/>
      </rPr>
      <t xml:space="preserve">
</t>
    </r>
    <r>
      <rPr>
        <i/>
        <sz val="10"/>
        <color rgb="FF000000"/>
        <rFont val="Century Gothic"/>
        <family val="2"/>
      </rPr>
      <t>Harassment (Obscene)</t>
    </r>
  </si>
  <si>
    <r>
      <rPr>
        <b/>
        <sz val="10"/>
        <color rgb="FF000000"/>
        <rFont val="Century Gothic"/>
        <family val="2"/>
      </rPr>
      <t>Palsu</t>
    </r>
    <r>
      <rPr>
        <sz val="10"/>
        <color rgb="FF000000"/>
        <rFont val="Century Gothic"/>
        <family val="2"/>
      </rPr>
      <t xml:space="preserve">
</t>
    </r>
    <r>
      <rPr>
        <i/>
        <sz val="10"/>
        <color rgb="FF000000"/>
        <rFont val="Century Gothic"/>
        <family val="2"/>
      </rPr>
      <t>False</t>
    </r>
  </si>
  <si>
    <r>
      <rPr>
        <b/>
        <sz val="10"/>
        <color rgb="FF000000"/>
        <rFont val="Century Gothic"/>
        <family val="2"/>
      </rPr>
      <t xml:space="preserve">Gangguan (Palsu) </t>
    </r>
    <r>
      <rPr>
        <sz val="10"/>
        <color rgb="FF000000"/>
        <rFont val="Century Gothic"/>
        <family val="2"/>
      </rPr>
      <t xml:space="preserve">
</t>
    </r>
    <r>
      <rPr>
        <i/>
        <sz val="10"/>
        <color rgb="FF000000"/>
        <rFont val="Century Gothic"/>
        <family val="2"/>
      </rPr>
      <t>Harassment (False)</t>
    </r>
  </si>
  <si>
    <r>
      <rPr>
        <b/>
        <sz val="10"/>
        <color rgb="FF000000"/>
        <rFont val="Century Gothic"/>
        <family val="2"/>
      </rPr>
      <t>Jelik</t>
    </r>
    <r>
      <rPr>
        <sz val="10"/>
        <color rgb="FF000000"/>
        <rFont val="Century Gothic"/>
        <family val="2"/>
      </rPr>
      <t xml:space="preserve">
</t>
    </r>
    <r>
      <rPr>
        <i/>
        <sz val="10"/>
        <color rgb="FF000000"/>
        <rFont val="Century Gothic"/>
        <family val="2"/>
      </rPr>
      <t xml:space="preserve">Offensive </t>
    </r>
  </si>
  <si>
    <r>
      <rPr>
        <b/>
        <sz val="10"/>
        <color theme="1"/>
        <rFont val="Century Gothic"/>
        <family val="2"/>
      </rPr>
      <t>Gangguan (Jelik)</t>
    </r>
    <r>
      <rPr>
        <sz val="10"/>
        <color theme="1"/>
        <rFont val="Century Gothic"/>
        <family val="2"/>
      </rPr>
      <t xml:space="preserve">
</t>
    </r>
    <r>
      <rPr>
        <i/>
        <sz val="10"/>
        <color theme="1"/>
        <rFont val="Century Gothic"/>
        <family val="2"/>
      </rPr>
      <t>Harassment (Offensive)</t>
    </r>
  </si>
  <si>
    <r>
      <rPr>
        <b/>
        <sz val="10"/>
        <color rgb="FF000000"/>
        <rFont val="Century Gothic"/>
        <family val="2"/>
      </rPr>
      <t>Sumbang</t>
    </r>
    <r>
      <rPr>
        <sz val="10"/>
        <color rgb="FF000000"/>
        <rFont val="Century Gothic"/>
        <family val="2"/>
      </rPr>
      <t xml:space="preserve">
</t>
    </r>
    <r>
      <rPr>
        <i/>
        <sz val="10"/>
        <color rgb="FF000000"/>
        <rFont val="Century Gothic"/>
        <family val="2"/>
      </rPr>
      <t>Indecent</t>
    </r>
  </si>
  <si>
    <r>
      <rPr>
        <b/>
        <sz val="10"/>
        <color rgb="FF000000"/>
        <rFont val="Century Gothic"/>
        <family val="2"/>
      </rPr>
      <t>Gangguan (Sumbang)</t>
    </r>
    <r>
      <rPr>
        <sz val="10"/>
        <color rgb="FF000000"/>
        <rFont val="Century Gothic"/>
        <family val="2"/>
      </rPr>
      <t xml:space="preserve"> 
</t>
    </r>
    <r>
      <rPr>
        <i/>
        <sz val="10"/>
        <color rgb="FF000000"/>
        <rFont val="Century Gothic"/>
        <family val="2"/>
      </rPr>
      <t>Harassment (Indecent)</t>
    </r>
  </si>
  <si>
    <r>
      <rPr>
        <b/>
        <sz val="10"/>
        <color rgb="FF000000"/>
        <rFont val="Century Gothic"/>
        <family val="2"/>
      </rPr>
      <t>Mengancam</t>
    </r>
    <r>
      <rPr>
        <i/>
        <sz val="10"/>
        <color rgb="FF000000"/>
        <rFont val="Century Gothic"/>
        <family val="2"/>
      </rPr>
      <t xml:space="preserve">
Menacing</t>
    </r>
    <r>
      <rPr>
        <sz val="10"/>
        <color rgb="FF000000"/>
        <rFont val="Century Gothic"/>
        <family val="2"/>
      </rPr>
      <t xml:space="preserve"> </t>
    </r>
  </si>
  <si>
    <r>
      <rPr>
        <b/>
        <sz val="10"/>
        <color rgb="FF000000"/>
        <rFont val="Century Gothic"/>
        <family val="2"/>
      </rPr>
      <t xml:space="preserve">Ekstremisme </t>
    </r>
    <r>
      <rPr>
        <sz val="10"/>
        <color rgb="FF000000"/>
        <rFont val="Century Gothic"/>
        <family val="2"/>
      </rPr>
      <t xml:space="preserve">
</t>
    </r>
    <r>
      <rPr>
        <i/>
        <sz val="10"/>
        <color rgb="FF000000"/>
        <rFont val="Century Gothic"/>
        <family val="2"/>
      </rPr>
      <t>Extremisme</t>
    </r>
  </si>
  <si>
    <r>
      <rPr>
        <b/>
        <sz val="10"/>
        <color rgb="FF000000"/>
        <rFont val="Century Gothic"/>
        <family val="2"/>
      </rPr>
      <t>Gangguan (Mengancam)</t>
    </r>
    <r>
      <rPr>
        <sz val="10"/>
        <color rgb="FF000000"/>
        <rFont val="Century Gothic"/>
        <family val="2"/>
      </rPr>
      <t xml:space="preserve"> 
</t>
    </r>
    <r>
      <rPr>
        <i/>
        <sz val="10"/>
        <color rgb="FF000000"/>
        <rFont val="Century Gothic"/>
        <family val="2"/>
      </rPr>
      <t>Harassment (Menacing)</t>
    </r>
  </si>
  <si>
    <r>
      <rPr>
        <b/>
        <sz val="10"/>
        <color rgb="FF000000"/>
        <rFont val="Century Gothic"/>
        <family val="2"/>
      </rPr>
      <t>Penyelewengan agama</t>
    </r>
    <r>
      <rPr>
        <sz val="10"/>
        <color rgb="FF000000"/>
        <rFont val="Century Gothic"/>
        <family val="2"/>
      </rPr>
      <t xml:space="preserve"> 
</t>
    </r>
    <r>
      <rPr>
        <i/>
        <sz val="10"/>
        <color rgb="FF000000"/>
        <rFont val="Century Gothic"/>
        <family val="2"/>
      </rPr>
      <t>Religious Deviation</t>
    </r>
  </si>
  <si>
    <r>
      <rPr>
        <b/>
        <sz val="10"/>
        <color rgb="FF000000"/>
        <rFont val="Century Gothic"/>
        <family val="2"/>
      </rPr>
      <t xml:space="preserve">Penipuan </t>
    </r>
    <r>
      <rPr>
        <sz val="10"/>
        <color rgb="FF000000"/>
        <rFont val="Century Gothic"/>
        <family val="2"/>
      </rPr>
      <t xml:space="preserve">
</t>
    </r>
    <r>
      <rPr>
        <i/>
        <sz val="10"/>
        <color rgb="FF000000"/>
        <rFont val="Century Gothic"/>
        <family val="2"/>
      </rPr>
      <t>Scam</t>
    </r>
  </si>
  <si>
    <r>
      <rPr>
        <b/>
        <sz val="10"/>
        <color rgb="FF000000"/>
        <rFont val="Century Gothic"/>
        <family val="2"/>
      </rPr>
      <t xml:space="preserve">Penggodaman </t>
    </r>
    <r>
      <rPr>
        <sz val="10"/>
        <color rgb="FF000000"/>
        <rFont val="Century Gothic"/>
        <family val="2"/>
      </rPr>
      <t xml:space="preserve">
</t>
    </r>
    <r>
      <rPr>
        <i/>
        <sz val="10"/>
        <color rgb="FF000000"/>
        <rFont val="Century Gothic"/>
        <family val="2"/>
      </rPr>
      <t>Hacking</t>
    </r>
  </si>
  <si>
    <r>
      <rPr>
        <b/>
        <sz val="10"/>
        <color rgb="FF000000"/>
        <rFont val="Century Gothic"/>
        <family val="2"/>
      </rPr>
      <t>Pelacuran</t>
    </r>
    <r>
      <rPr>
        <sz val="10"/>
        <color rgb="FF000000"/>
        <rFont val="Century Gothic"/>
        <family val="2"/>
      </rPr>
      <t xml:space="preserve"> 
</t>
    </r>
    <r>
      <rPr>
        <i/>
        <sz val="10"/>
        <color rgb="FF000000"/>
        <rFont val="Century Gothic"/>
        <family val="2"/>
      </rPr>
      <t>Prostitution</t>
    </r>
  </si>
  <si>
    <r>
      <rPr>
        <b/>
        <sz val="10"/>
        <color rgb="FF000000"/>
        <rFont val="Century Gothic"/>
        <family val="2"/>
      </rPr>
      <t xml:space="preserve">Judi </t>
    </r>
    <r>
      <rPr>
        <sz val="10"/>
        <color rgb="FF000000"/>
        <rFont val="Century Gothic"/>
        <family val="2"/>
      </rPr>
      <t xml:space="preserve">
</t>
    </r>
    <r>
      <rPr>
        <i/>
        <sz val="10"/>
        <color rgb="FF000000"/>
        <rFont val="Century Gothic"/>
        <family val="2"/>
      </rPr>
      <t>Gambling</t>
    </r>
  </si>
  <si>
    <r>
      <rPr>
        <b/>
        <sz val="10"/>
        <color rgb="FF000000"/>
        <rFont val="Century Gothic"/>
        <family val="2"/>
      </rPr>
      <t>Perlindungan Data Peribadi</t>
    </r>
    <r>
      <rPr>
        <sz val="10"/>
        <color rgb="FF000000"/>
        <rFont val="Century Gothic"/>
        <family val="2"/>
      </rPr>
      <t xml:space="preserve"> 
</t>
    </r>
    <r>
      <rPr>
        <i/>
        <sz val="10"/>
        <color rgb="FF000000"/>
        <rFont val="Century Gothic"/>
        <family val="2"/>
      </rPr>
      <t>Personal Data Protection</t>
    </r>
  </si>
  <si>
    <r>
      <rPr>
        <b/>
        <sz val="10"/>
        <color rgb="FF000000"/>
        <rFont val="Century Gothic"/>
        <family val="2"/>
      </rPr>
      <t xml:space="preserve">Penyebaran Rahsia Rasmi </t>
    </r>
    <r>
      <rPr>
        <sz val="10"/>
        <color rgb="FF000000"/>
        <rFont val="Century Gothic"/>
        <family val="2"/>
      </rPr>
      <t xml:space="preserve">
</t>
    </r>
    <r>
      <rPr>
        <i/>
        <sz val="10"/>
        <color rgb="FF000000"/>
        <rFont val="Century Gothic"/>
        <family val="2"/>
      </rPr>
      <t>Disclosure of Official Secrets Documents</t>
    </r>
  </si>
  <si>
    <t>COMMERCIAL CRIMES</t>
  </si>
  <si>
    <r>
      <rPr>
        <b/>
        <vertAlign val="superscript"/>
        <sz val="8"/>
        <color theme="1"/>
        <rFont val="Century Gothic"/>
        <family val="2"/>
      </rPr>
      <t>a</t>
    </r>
    <r>
      <rPr>
        <b/>
        <sz val="8"/>
        <color theme="1"/>
        <rFont val="Century Gothic"/>
        <family val="2"/>
      </rPr>
      <t xml:space="preserve">  Akta Penapisan Filem 2002</t>
    </r>
  </si>
  <si>
    <r>
      <rPr>
        <b/>
        <sz val="10"/>
        <color rgb="FF000000"/>
        <rFont val="Century Gothic"/>
        <family val="2"/>
      </rPr>
      <t>Penyalahgunaan Hakcipta/ Cap Dagangan</t>
    </r>
    <r>
      <rPr>
        <sz val="10"/>
        <color rgb="FF000000"/>
        <rFont val="Century Gothic"/>
        <family val="2"/>
      </rPr>
      <t xml:space="preserve"> 
</t>
    </r>
    <r>
      <rPr>
        <i/>
        <sz val="10"/>
        <color rgb="FF000000"/>
        <rFont val="Century Gothic"/>
        <family val="2"/>
      </rPr>
      <t>Copyright/ Trademark Infringement</t>
    </r>
  </si>
  <si>
    <r>
      <t xml:space="preserve">Kerugian
</t>
    </r>
    <r>
      <rPr>
        <i/>
        <sz val="10"/>
        <color rgb="FF000000"/>
        <rFont val="Century Gothic"/>
        <family val="2"/>
      </rPr>
      <t xml:space="preserve">Losses
</t>
    </r>
    <r>
      <rPr>
        <b/>
        <sz val="10"/>
        <color rgb="FF000000"/>
        <rFont val="Century Gothic"/>
        <family val="2"/>
      </rPr>
      <t>(RM juta/</t>
    </r>
    <r>
      <rPr>
        <i/>
        <sz val="10"/>
        <color rgb="FF000000"/>
        <rFont val="Century Gothic"/>
        <family val="2"/>
      </rPr>
      <t xml:space="preserve"> RM million</t>
    </r>
    <r>
      <rPr>
        <b/>
        <sz val="10"/>
        <color rgb="FF000000"/>
        <rFont val="Century Gothic"/>
        <family val="2"/>
      </rPr>
      <t>)</t>
    </r>
  </si>
  <si>
    <r>
      <rPr>
        <b/>
        <sz val="10"/>
        <color rgb="FF000000"/>
        <rFont val="Century Gothic"/>
        <family val="2"/>
      </rPr>
      <t xml:space="preserve">Akaun/ Halaman palsu, Penyamaran </t>
    </r>
    <r>
      <rPr>
        <sz val="10"/>
        <color rgb="FF000000"/>
        <rFont val="Century Gothic"/>
        <family val="2"/>
      </rPr>
      <t xml:space="preserve">
</t>
    </r>
    <r>
      <rPr>
        <i/>
        <sz val="10"/>
        <color rgb="FF000000"/>
        <rFont val="Century Gothic"/>
        <family val="2"/>
      </rPr>
      <t>Fake Account/ Website, Impersonation</t>
    </r>
  </si>
  <si>
    <r>
      <rPr>
        <b/>
        <sz val="10"/>
        <color rgb="FF000000"/>
        <rFont val="Century Gothic"/>
        <family val="2"/>
      </rPr>
      <t xml:space="preserve">Ucapan kebencian (Agama) </t>
    </r>
    <r>
      <rPr>
        <sz val="10"/>
        <color rgb="FF000000"/>
        <rFont val="Century Gothic"/>
        <family val="2"/>
      </rPr>
      <t xml:space="preserve">
</t>
    </r>
    <r>
      <rPr>
        <i/>
        <sz val="10"/>
        <color rgb="FF000000"/>
        <rFont val="Century Gothic"/>
        <family val="2"/>
      </rPr>
      <t>Hate speech (Religion)</t>
    </r>
  </si>
  <si>
    <r>
      <rPr>
        <b/>
        <sz val="10"/>
        <color rgb="FF000000"/>
        <rFont val="Century Gothic"/>
        <family val="2"/>
      </rPr>
      <t>Ucapan kebencian (Kaum)</t>
    </r>
    <r>
      <rPr>
        <sz val="10"/>
        <color rgb="FF000000"/>
        <rFont val="Century Gothic"/>
        <family val="2"/>
      </rPr>
      <t xml:space="preserve">
</t>
    </r>
    <r>
      <rPr>
        <i/>
        <sz val="10"/>
        <color rgb="FF000000"/>
        <rFont val="Century Gothic"/>
        <family val="2"/>
      </rPr>
      <t>Hate speech (Racial)</t>
    </r>
  </si>
  <si>
    <r>
      <rPr>
        <b/>
        <sz val="10"/>
        <color theme="1"/>
        <rFont val="Century Gothic"/>
        <family val="2"/>
      </rPr>
      <t>Ucapan kebencian (Lain-Lain)</t>
    </r>
    <r>
      <rPr>
        <sz val="10"/>
        <color theme="1"/>
        <rFont val="Century Gothic"/>
        <family val="2"/>
      </rPr>
      <t xml:space="preserve"> 
</t>
    </r>
    <r>
      <rPr>
        <i/>
        <sz val="10"/>
        <color theme="1"/>
        <rFont val="Century Gothic"/>
        <family val="2"/>
      </rPr>
      <t>Hate speech (Others)</t>
    </r>
  </si>
  <si>
    <r>
      <rPr>
        <b/>
        <sz val="10"/>
        <color rgb="FF000000"/>
        <rFont val="Century Gothic"/>
        <family val="2"/>
      </rPr>
      <t xml:space="preserve">Kandungan/ Berita palsu </t>
    </r>
    <r>
      <rPr>
        <sz val="10"/>
        <color rgb="FF000000"/>
        <rFont val="Century Gothic"/>
        <family val="2"/>
      </rPr>
      <t xml:space="preserve">
</t>
    </r>
    <r>
      <rPr>
        <i/>
        <sz val="10"/>
        <color rgb="FF000000"/>
        <rFont val="Century Gothic"/>
        <family val="2"/>
      </rPr>
      <t>False News/ Content</t>
    </r>
  </si>
  <si>
    <r>
      <rPr>
        <b/>
        <sz val="10"/>
        <color rgb="FF000000"/>
        <rFont val="Century Gothic"/>
        <family val="2"/>
      </rPr>
      <t xml:space="preserve">Fitnah/ Konflik Interpersonal (Sivil) </t>
    </r>
    <r>
      <rPr>
        <sz val="10"/>
        <color rgb="FF000000"/>
        <rFont val="Century Gothic"/>
        <family val="2"/>
      </rPr>
      <t xml:space="preserve">
</t>
    </r>
    <r>
      <rPr>
        <i/>
        <sz val="10"/>
        <color rgb="FF000000"/>
        <rFont val="Century Gothic"/>
        <family val="2"/>
      </rPr>
      <t>Defamation (Civil)</t>
    </r>
  </si>
  <si>
    <r>
      <rPr>
        <b/>
        <sz val="8"/>
        <rFont val="Century Gothic"/>
        <family val="2"/>
      </rPr>
      <t xml:space="preserve">Nota/ </t>
    </r>
    <r>
      <rPr>
        <i/>
        <sz val="8"/>
        <rFont val="Century Gothic"/>
        <family val="2"/>
      </rPr>
      <t>Notes:</t>
    </r>
  </si>
  <si>
    <r>
      <rPr>
        <b/>
        <sz val="10"/>
        <color rgb="FF000000"/>
        <rFont val="Century Gothic"/>
        <family val="2"/>
      </rPr>
      <t xml:space="preserve">Penyebaran gambar/ video intim </t>
    </r>
    <r>
      <rPr>
        <sz val="10"/>
        <color rgb="FF000000"/>
        <rFont val="Century Gothic"/>
        <family val="2"/>
      </rPr>
      <t xml:space="preserve">
</t>
    </r>
    <r>
      <rPr>
        <i/>
        <sz val="10"/>
        <color rgb="FF000000"/>
        <rFont val="Century Gothic"/>
        <family val="2"/>
      </rPr>
      <t>Dissemination of Intimate Videos/ Photos</t>
    </r>
  </si>
  <si>
    <r>
      <rPr>
        <b/>
        <sz val="10"/>
        <color rgb="FF000000"/>
        <rFont val="Century Gothic"/>
        <family val="2"/>
      </rPr>
      <t xml:space="preserve">Ucapan kebencian (Institusi Diraja) </t>
    </r>
    <r>
      <rPr>
        <sz val="10"/>
        <color rgb="FF000000"/>
        <rFont val="Century Gothic"/>
        <family val="2"/>
      </rPr>
      <t xml:space="preserve">
</t>
    </r>
    <r>
      <rPr>
        <i/>
        <sz val="10"/>
        <color rgb="FF000000"/>
        <rFont val="Century Gothic"/>
        <family val="2"/>
      </rPr>
      <t>Hate speech (Royalty/ Royal Institution)</t>
    </r>
  </si>
  <si>
    <r>
      <rPr>
        <b/>
        <sz val="10"/>
        <color rgb="FF000000"/>
        <rFont val="Century Gothic"/>
        <family val="2"/>
      </rPr>
      <t>Ucapan kebencian (Negeri/ Negara)</t>
    </r>
    <r>
      <rPr>
        <sz val="10"/>
        <color rgb="FF000000"/>
        <rFont val="Century Gothic"/>
        <family val="2"/>
      </rPr>
      <t xml:space="preserve">
</t>
    </r>
    <r>
      <rPr>
        <i/>
        <sz val="10"/>
        <color rgb="FF000000"/>
        <rFont val="Century Gothic"/>
        <family val="2"/>
      </rPr>
      <t>Hate speech (State/ Country)</t>
    </r>
  </si>
  <si>
    <r>
      <rPr>
        <b/>
        <sz val="10"/>
        <color rgb="FF000000"/>
        <rFont val="Century Gothic"/>
        <family val="2"/>
      </rPr>
      <t>Ucapan kebencian (Entiti Kerajaan)</t>
    </r>
    <r>
      <rPr>
        <sz val="10"/>
        <color rgb="FF000000"/>
        <rFont val="Century Gothic"/>
        <family val="2"/>
      </rPr>
      <t xml:space="preserve"> 
</t>
    </r>
    <r>
      <rPr>
        <i/>
        <sz val="10"/>
        <color rgb="FF000000"/>
        <rFont val="Century Gothic"/>
        <family val="2"/>
      </rPr>
      <t>Hate speech (Government Entities)</t>
    </r>
  </si>
  <si>
    <r>
      <rPr>
        <b/>
        <sz val="10"/>
        <color rgb="FF000000"/>
        <rFont val="Century Gothic"/>
        <family val="2"/>
      </rPr>
      <t>Ucapan kebencian (Pemimpin Negara)</t>
    </r>
    <r>
      <rPr>
        <sz val="10"/>
        <color rgb="FF000000"/>
        <rFont val="Century Gothic"/>
        <family val="2"/>
      </rPr>
      <t xml:space="preserve">
</t>
    </r>
    <r>
      <rPr>
        <i/>
        <sz val="10"/>
        <color rgb="FF000000"/>
        <rFont val="Century Gothic"/>
        <family val="2"/>
      </rPr>
      <t>Hate speech (National Leaders)</t>
    </r>
  </si>
  <si>
    <r>
      <rPr>
        <b/>
        <sz val="10"/>
        <color rgb="FF000000"/>
        <rFont val="Century Gothic"/>
        <family val="2"/>
      </rPr>
      <t xml:space="preserve">Satira/ Parodi </t>
    </r>
    <r>
      <rPr>
        <sz val="10"/>
        <color rgb="FF000000"/>
        <rFont val="Century Gothic"/>
        <family val="2"/>
      </rPr>
      <t xml:space="preserve">
</t>
    </r>
    <r>
      <rPr>
        <i/>
        <sz val="10"/>
        <color rgb="FF000000"/>
        <rFont val="Century Gothic"/>
        <family val="2"/>
      </rPr>
      <t>Indecent Satire/ Parody</t>
    </r>
  </si>
  <si>
    <r>
      <rPr>
        <b/>
        <sz val="10"/>
        <color rgb="FF000000"/>
        <rFont val="Century Gothic"/>
        <family val="2"/>
      </rPr>
      <t>Lain-lain</t>
    </r>
    <r>
      <rPr>
        <sz val="10"/>
        <color rgb="FF000000"/>
        <rFont val="Century Gothic"/>
        <family val="2"/>
      </rPr>
      <t xml:space="preserve"> 
</t>
    </r>
    <r>
      <rPr>
        <b/>
        <sz val="10"/>
        <color rgb="FF000000"/>
        <rFont val="Century Gothic"/>
        <family val="2"/>
      </rPr>
      <t xml:space="preserve">(di luar bidang kuasa AKM 1998) </t>
    </r>
    <r>
      <rPr>
        <i/>
        <sz val="10"/>
        <color rgb="FF000000"/>
        <rFont val="Century Gothic"/>
        <family val="2"/>
      </rPr>
      <t xml:space="preserve">
Others</t>
    </r>
  </si>
  <si>
    <r>
      <rPr>
        <b/>
        <sz val="10"/>
        <color rgb="FF000000"/>
        <rFont val="Century Gothic"/>
        <family val="2"/>
      </rPr>
      <t>Produk/ Servis yang Tidak Dibenarkan</t>
    </r>
    <r>
      <rPr>
        <sz val="10"/>
        <color rgb="FF000000"/>
        <rFont val="Century Gothic"/>
        <family val="2"/>
      </rPr>
      <t xml:space="preserve">
</t>
    </r>
    <r>
      <rPr>
        <i/>
        <sz val="10"/>
        <color rgb="FF000000"/>
        <rFont val="Century Gothic"/>
        <family val="2"/>
      </rPr>
      <t>Illegal Products/ Services</t>
    </r>
  </si>
  <si>
    <r>
      <rPr>
        <b/>
        <sz val="10"/>
        <color rgb="FF000000"/>
        <rFont val="Century Gothic"/>
        <family val="2"/>
      </rPr>
      <t xml:space="preserve">Iklan/ Promosi yang Tidak Dibenarkan </t>
    </r>
    <r>
      <rPr>
        <sz val="10"/>
        <color rgb="FF000000"/>
        <rFont val="Century Gothic"/>
        <family val="2"/>
      </rPr>
      <t xml:space="preserve">
</t>
    </r>
    <r>
      <rPr>
        <i/>
        <sz val="10"/>
        <color rgb="FF000000"/>
        <rFont val="Century Gothic"/>
        <family val="2"/>
      </rPr>
      <t>Illegal Advertisement/ Promotions</t>
    </r>
  </si>
  <si>
    <t>Akta Pemberi Pinjam Wang 1951</t>
  </si>
  <si>
    <t>Money Lender Act 1951</t>
  </si>
  <si>
    <r>
      <rPr>
        <b/>
        <vertAlign val="superscript"/>
        <sz val="8"/>
        <color theme="1"/>
        <rFont val="Century Gothic"/>
        <family val="2"/>
      </rPr>
      <t>b</t>
    </r>
    <r>
      <rPr>
        <b/>
        <sz val="8"/>
        <color theme="1"/>
        <rFont val="Century Gothic"/>
        <family val="2"/>
      </rPr>
      <t xml:space="preserve"> Termasuk Akta Kesalahan Kecil (Akta 336), Akta Imigresen (Akta 155), Akta Pendaftaran Negara (Akta 78),</t>
    </r>
  </si>
  <si>
    <t xml:space="preserve">   Akta Pasport (Akta 150), Akta Bank Negara (Akta 519), Akta Kastam (Akta 235), Akta Profession Undang-undang (Akta 166), 
</t>
  </si>
  <si>
    <t xml:space="preserve">   Akta Mesin Cetak dan Penerbitan (Akta 301), Akta Pemegang Pajak Gadai (Akta 81), dll </t>
  </si>
  <si>
    <t xml:space="preserve">   Minor Offenses Act (Act 336), Immigration Act (Act 155), National Registration Act (Act 78), Passport Act (Act 150),</t>
  </si>
  <si>
    <t xml:space="preserve">   National Bank Act (Act 519), Customs Act (Act 235), Legal Profession Act (Act 166),</t>
  </si>
  <si>
    <t xml:space="preserve">   Printing Presses And Publishing Act (Act 301), Mortgagee Act (Act 81), etc</t>
  </si>
  <si>
    <t xml:space="preserve">  dan Multimedia Malaysia, Malaysia, 2021–2023</t>
  </si>
  <si>
    <t xml:space="preserve">  Multimedia Commission, Malaysia, 2021–2023</t>
  </si>
  <si>
    <r>
      <t>: Statistik kes dan kerugian mengikut kesalahan, Malaysia, 2021</t>
    </r>
    <r>
      <rPr>
        <b/>
        <sz val="10"/>
        <rFont val="Calibri"/>
        <family val="2"/>
      </rPr>
      <t>–</t>
    </r>
    <r>
      <rPr>
        <b/>
        <sz val="10"/>
        <rFont val="Century Gothic"/>
        <family val="2"/>
      </rPr>
      <t>2023</t>
    </r>
  </si>
  <si>
    <t>: Statistics of cases and losses by offence, Malaysia, 2021–2023</t>
  </si>
  <si>
    <t>E-kewangan</t>
  </si>
  <si>
    <t>Jadual 7.3</t>
  </si>
  <si>
    <t>Table 7.3</t>
  </si>
  <si>
    <t>Negeri</t>
  </si>
  <si>
    <t>Tahun</t>
  </si>
  <si>
    <t>State</t>
  </si>
  <si>
    <t>Year</t>
  </si>
  <si>
    <t>Johor</t>
  </si>
  <si>
    <t>Kedah</t>
  </si>
  <si>
    <t>Kelantan</t>
  </si>
  <si>
    <t>Melaka</t>
  </si>
  <si>
    <t>Negeri Sembilan</t>
  </si>
  <si>
    <t>Pahang</t>
  </si>
  <si>
    <t>Pulau Pinang</t>
  </si>
  <si>
    <t>Perak</t>
  </si>
  <si>
    <t>Perlis</t>
  </si>
  <si>
    <t>Selangor</t>
  </si>
  <si>
    <t>Terengganu</t>
  </si>
  <si>
    <t>Sarawak</t>
  </si>
  <si>
    <r>
      <rPr>
        <b/>
        <sz val="10"/>
        <color theme="1"/>
        <rFont val="Century Gothic"/>
        <family val="2"/>
      </rPr>
      <t xml:space="preserve">Lelaki/ </t>
    </r>
    <r>
      <rPr>
        <i/>
        <sz val="10"/>
        <color theme="1"/>
        <rFont val="Century Gothic"/>
        <family val="2"/>
      </rPr>
      <t>Male</t>
    </r>
  </si>
  <si>
    <t>MALAYSIA</t>
  </si>
  <si>
    <t>Sabah</t>
  </si>
  <si>
    <t>W.P. Kuala Lumpur</t>
  </si>
  <si>
    <t>Kes</t>
  </si>
  <si>
    <t>RM</t>
  </si>
  <si>
    <t>15-20</t>
  </si>
  <si>
    <t>21-30</t>
  </si>
  <si>
    <t>31-40</t>
  </si>
  <si>
    <t>41-50</t>
  </si>
  <si>
    <t>51-60</t>
  </si>
  <si>
    <t>Case</t>
  </si>
  <si>
    <t>: Statistics of cases and losses for online crime by state , Malaysia, 2021–2023</t>
  </si>
  <si>
    <t>: Statistics of cases and losses for online crime by state , Malaysia, 2021–2023 (cont'd)</t>
  </si>
  <si>
    <t>Jadual 7.4</t>
  </si>
  <si>
    <t>Table 7.4</t>
  </si>
  <si>
    <r>
      <rPr>
        <b/>
        <sz val="10"/>
        <color theme="1"/>
        <rFont val="Century Gothic"/>
        <family val="2"/>
      </rPr>
      <t xml:space="preserve">Perempuan/ </t>
    </r>
    <r>
      <rPr>
        <sz val="10"/>
        <color theme="1"/>
        <rFont val="Century Gothic"/>
        <family val="2"/>
      </rPr>
      <t>Female</t>
    </r>
  </si>
  <si>
    <t>Jadual 7.5</t>
  </si>
  <si>
    <t>Table 7.5</t>
  </si>
  <si>
    <t>Jenayah telekomunikasi</t>
  </si>
  <si>
    <t>E-dagang</t>
  </si>
  <si>
    <t>Pinjaman tidak wujud</t>
  </si>
  <si>
    <t>Pelaburan tidak wujud</t>
  </si>
  <si>
    <t xml:space="preserve">  dan Multimedia Malaysia, Malaysia, 2021–2023 (samb.)</t>
  </si>
  <si>
    <t xml:space="preserve">  Multimedia Commission, Malaysia, 2021–2023 (cont'd)</t>
  </si>
  <si>
    <t>≥</t>
  </si>
  <si>
    <t>≥61</t>
  </si>
  <si>
    <t>Telecommunication crime</t>
  </si>
  <si>
    <t>e-Commerce</t>
  </si>
  <si>
    <t>e-Finance</t>
  </si>
  <si>
    <t>Non-existent loans</t>
  </si>
  <si>
    <t>Non-existent investments</t>
  </si>
  <si>
    <r>
      <t>: Statistik mangsa jenayah dalam talian mengikut negeri dan kumpulan umur, Malaysia, 2021</t>
    </r>
    <r>
      <rPr>
        <b/>
        <sz val="10"/>
        <rFont val="Calibri"/>
        <family val="2"/>
      </rPr>
      <t>–</t>
    </r>
    <r>
      <rPr>
        <b/>
        <sz val="10"/>
        <rFont val="Century Gothic"/>
        <family val="2"/>
      </rPr>
      <t>2023</t>
    </r>
  </si>
  <si>
    <r>
      <t>: Statistik mangsa jenayah dalam talian mengikut negeri dan kumpulan umur, Malaysia, 2021</t>
    </r>
    <r>
      <rPr>
        <b/>
        <sz val="10"/>
        <rFont val="Calibri"/>
        <family val="2"/>
      </rPr>
      <t>–</t>
    </r>
    <r>
      <rPr>
        <b/>
        <sz val="10"/>
        <rFont val="Century Gothic"/>
        <family val="2"/>
      </rPr>
      <t>2023 (samb.)</t>
    </r>
  </si>
  <si>
    <r>
      <t>: Statistik mangsa jenayah dalam talian mengikut negeri, kumpulan umur dan jantina, Malaysia, 2021</t>
    </r>
    <r>
      <rPr>
        <b/>
        <sz val="10"/>
        <rFont val="Calibri"/>
        <family val="2"/>
      </rPr>
      <t>–</t>
    </r>
    <r>
      <rPr>
        <b/>
        <sz val="10"/>
        <rFont val="Century Gothic"/>
        <family val="2"/>
      </rPr>
      <t>2023</t>
    </r>
  </si>
  <si>
    <t>: Statistics of victims for online crime by state, age group and sex , Malaysia, 2021–2023</t>
  </si>
  <si>
    <t>s</t>
  </si>
  <si>
    <t>: Statistics of victims for online crime by state and age group, Malaysia, 2021–2023</t>
  </si>
  <si>
    <t>: Statistik mangsa jenayah dalam talian mengikut negeri, kumpulan umur dan jantina, Malaysia, 2021–2023 (samb.)</t>
  </si>
  <si>
    <t>: Statistics of victims for online crime by state, age group and sex , Malaysia, 2021–2023 (cont'd)</t>
  </si>
  <si>
    <t>: Statistics of victims for online crime by state and age group, Malaysia, 2021–2023 (cont'd)</t>
  </si>
  <si>
    <t xml:space="preserve">Love scam </t>
  </si>
  <si>
    <r>
      <t>: Statistik kes dan kerugian jenayah dalam talian, mengikut negeri, Malaysia, 2021</t>
    </r>
    <r>
      <rPr>
        <b/>
        <sz val="10"/>
        <rFont val="Calibri"/>
        <family val="2"/>
      </rPr>
      <t>–</t>
    </r>
    <r>
      <rPr>
        <b/>
        <sz val="10"/>
        <rFont val="Century Gothic"/>
        <family val="2"/>
      </rPr>
      <t xml:space="preserve">2023 </t>
    </r>
  </si>
  <si>
    <t>: Statistik kes dan kerugian jenayah dalam talian,  mengikut negeri, Malaysia, 2021–2023 (samb.)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</si>
</sst>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  <numFmt numFmtId="166" formatCode="#,##0.0_);\(#,##0.0\)"/>
    <numFmt numFmtId="167" formatCode="General_)"/>
    <numFmt numFmtId="168" formatCode="#,##0.0"/>
    <numFmt numFmtId="169" formatCode="#,##0.0;[Red]#,##0.0"/>
    <numFmt numFmtId="170" formatCode="0.0"/>
    <numFmt numFmtId="171" formatCode="_(* #,##0.0_);_(* \(#,##0.0\);_(* &quot;-&quot;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7"/>
      <name val="Helv"/>
    </font>
    <font>
      <u/>
      <sz val="7"/>
      <color indexed="12"/>
      <name val="Helv"/>
    </font>
    <font>
      <sz val="7"/>
      <name val="Helv"/>
      <charset val="134"/>
    </font>
    <font>
      <sz val="10"/>
      <name val="Century Gothic"/>
      <family val="2"/>
    </font>
    <font>
      <b/>
      <sz val="10"/>
      <name val="Century Gothic"/>
      <family val="2"/>
    </font>
    <font>
      <i/>
      <sz val="10"/>
      <name val="Century Gothic"/>
      <family val="2"/>
    </font>
    <font>
      <sz val="10"/>
      <color theme="1"/>
      <name val="Century Gothic"/>
      <family val="2"/>
    </font>
    <font>
      <b/>
      <sz val="10"/>
      <color rgb="FF000000"/>
      <name val="Century Gothic"/>
      <family val="2"/>
    </font>
    <font>
      <i/>
      <sz val="10"/>
      <color rgb="FF000000"/>
      <name val="Century Gothic"/>
      <family val="2"/>
    </font>
    <font>
      <sz val="10"/>
      <color rgb="FF000000"/>
      <name val="Century Gothic"/>
      <family val="2"/>
    </font>
    <font>
      <b/>
      <vertAlign val="superscript"/>
      <sz val="10"/>
      <color rgb="FF000000"/>
      <name val="Century Gothic"/>
      <family val="2"/>
    </font>
    <font>
      <b/>
      <sz val="10"/>
      <color theme="1"/>
      <name val="Century Gothic"/>
      <family val="2"/>
    </font>
    <font>
      <i/>
      <sz val="10"/>
      <color theme="1"/>
      <name val="Century Gothic"/>
      <family val="2"/>
    </font>
    <font>
      <sz val="8"/>
      <color theme="1"/>
      <name val="Century Gothic"/>
      <family val="2"/>
    </font>
    <font>
      <sz val="8"/>
      <color rgb="FF000000"/>
      <name val="Century Gothic"/>
      <family val="2"/>
    </font>
    <font>
      <b/>
      <sz val="8"/>
      <color theme="1"/>
      <name val="Century Gothic"/>
      <family val="2"/>
    </font>
    <font>
      <i/>
      <sz val="8"/>
      <name val="Century Gothic"/>
      <family val="2"/>
    </font>
    <font>
      <i/>
      <sz val="8"/>
      <color theme="1"/>
      <name val="Century Gothic"/>
      <family val="2"/>
    </font>
    <font>
      <b/>
      <vertAlign val="superscript"/>
      <sz val="8"/>
      <color theme="1"/>
      <name val="Century Gothic"/>
      <family val="2"/>
    </font>
    <font>
      <b/>
      <sz val="10"/>
      <name val="Calibri"/>
      <family val="2"/>
    </font>
    <font>
      <sz val="8"/>
      <name val="Century Gothic"/>
      <family val="2"/>
    </font>
    <font>
      <b/>
      <sz val="8"/>
      <name val="Century Gothic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Century Gothic"/>
      <family val="2"/>
    </font>
    <font>
      <sz val="11"/>
      <color theme="1"/>
      <name val="Century Gothic"/>
      <family val="2"/>
    </font>
    <font>
      <sz val="12"/>
      <name val="Helv"/>
      <charset val="134"/>
    </font>
    <font>
      <b/>
      <sz val="9"/>
      <color theme="1"/>
      <name val="Century Gothic"/>
      <family val="2"/>
    </font>
    <font>
      <sz val="9"/>
      <name val="Century Gothic"/>
      <family val="2"/>
    </font>
    <font>
      <sz val="9"/>
      <color theme="1"/>
      <name val="Century Gothic"/>
      <family val="2"/>
    </font>
    <font>
      <b/>
      <sz val="9"/>
      <name val="Century Gothic"/>
      <family val="2"/>
    </font>
    <font>
      <i/>
      <sz val="9"/>
      <name val="Century Gothic"/>
      <family val="2"/>
    </font>
    <font>
      <b/>
      <sz val="8"/>
      <color rgb="FF000000"/>
      <name val="Cambria"/>
      <family val="1"/>
    </font>
    <font>
      <b/>
      <sz val="8"/>
      <color rgb="FF000000"/>
      <name val="Century Gothic"/>
      <family val="2"/>
    </font>
    <font>
      <b/>
      <i/>
      <sz val="10"/>
      <name val="Century Gothic"/>
      <family val="2"/>
    </font>
    <font>
      <sz val="11"/>
      <name val="Century Gothic"/>
      <family val="2"/>
    </font>
    <font>
      <i/>
      <sz val="11"/>
      <name val="Century Gothic"/>
      <family val="2"/>
    </font>
    <font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indexed="64"/>
      </top>
      <bottom/>
      <diagonal/>
    </border>
  </borders>
  <cellStyleXfs count="26">
    <xf numFmtId="0" fontId="0" fillId="0" borderId="0"/>
    <xf numFmtId="43" fontId="1" fillId="0" borderId="0" applyFont="0" applyFill="0" applyBorder="0" applyAlignment="0" applyProtection="0"/>
    <xf numFmtId="0" fontId="2" fillId="0" borderId="0" applyBorder="0"/>
    <xf numFmtId="167" fontId="3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3" fillId="0" borderId="0"/>
    <xf numFmtId="167" fontId="5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1" fillId="0" borderId="0"/>
    <xf numFmtId="0" fontId="2" fillId="0" borderId="0"/>
    <xf numFmtId="0" fontId="1" fillId="0" borderId="0"/>
    <xf numFmtId="0" fontId="26" fillId="0" borderId="0"/>
    <xf numFmtId="166" fontId="5" fillId="0" borderId="0"/>
    <xf numFmtId="164" fontId="1" fillId="0" borderId="0" applyFont="0" applyFill="0" applyBorder="0" applyAlignment="0" applyProtection="0"/>
    <xf numFmtId="167" fontId="30" fillId="0" borderId="0"/>
    <xf numFmtId="0" fontId="26" fillId="0" borderId="0"/>
    <xf numFmtId="164" fontId="26" fillId="0" borderId="0" applyFont="0" applyFill="0" applyBorder="0" applyAlignment="0" applyProtection="0"/>
    <xf numFmtId="0" fontId="26" fillId="0" borderId="0"/>
  </cellStyleXfs>
  <cellXfs count="303">
    <xf numFmtId="0" fontId="0" fillId="0" borderId="0" xfId="0"/>
    <xf numFmtId="167" fontId="6" fillId="2" borderId="0" xfId="3" applyFont="1" applyFill="1"/>
    <xf numFmtId="167" fontId="6" fillId="2" borderId="0" xfId="3" applyFont="1" applyFill="1" applyAlignment="1">
      <alignment horizontal="left"/>
    </xf>
    <xf numFmtId="167" fontId="6" fillId="2" borderId="0" xfId="3" applyFont="1" applyFill="1" applyAlignment="1">
      <alignment horizontal="center"/>
    </xf>
    <xf numFmtId="0" fontId="7" fillId="2" borderId="0" xfId="0" applyFont="1" applyFill="1" applyAlignment="1">
      <alignment horizontal="right" vertical="center"/>
    </xf>
    <xf numFmtId="0" fontId="8" fillId="2" borderId="0" xfId="0" applyFont="1" applyFill="1" applyAlignment="1">
      <alignment horizontal="right" vertical="center"/>
    </xf>
    <xf numFmtId="167" fontId="8" fillId="2" borderId="0" xfId="4" applyNumberFormat="1" applyFont="1" applyFill="1" applyAlignment="1" applyProtection="1">
      <alignment horizontal="right"/>
    </xf>
    <xf numFmtId="167" fontId="6" fillId="2" borderId="0" xfId="3" applyFont="1" applyFill="1" applyAlignment="1">
      <alignment horizontal="right"/>
    </xf>
    <xf numFmtId="167" fontId="7" fillId="2" borderId="0" xfId="3" applyFont="1" applyFill="1" applyAlignment="1">
      <alignment horizontal="right" vertical="top"/>
    </xf>
    <xf numFmtId="167" fontId="7" fillId="2" borderId="0" xfId="5" applyNumberFormat="1" applyFont="1" applyFill="1" applyAlignment="1">
      <alignment horizontal="left" vertical="top"/>
    </xf>
    <xf numFmtId="167" fontId="7" fillId="2" borderId="0" xfId="5" applyNumberFormat="1" applyFont="1" applyFill="1" applyAlignment="1">
      <alignment horizontal="center" vertical="top"/>
    </xf>
    <xf numFmtId="167" fontId="7" fillId="2" borderId="0" xfId="5" applyNumberFormat="1" applyFont="1" applyFill="1" applyAlignment="1">
      <alignment horizontal="right" vertical="top"/>
    </xf>
    <xf numFmtId="167" fontId="8" fillId="2" borderId="0" xfId="3" applyFont="1" applyFill="1" applyAlignment="1">
      <alignment horizontal="right" vertical="top"/>
    </xf>
    <xf numFmtId="167" fontId="8" fillId="2" borderId="0" xfId="5" applyNumberFormat="1" applyFont="1" applyFill="1" applyAlignment="1">
      <alignment horizontal="left"/>
    </xf>
    <xf numFmtId="167" fontId="8" fillId="2" borderId="0" xfId="5" applyNumberFormat="1" applyFont="1" applyFill="1" applyAlignment="1">
      <alignment horizontal="center"/>
    </xf>
    <xf numFmtId="167" fontId="6" fillId="2" borderId="0" xfId="5" applyNumberFormat="1" applyFont="1" applyFill="1" applyAlignment="1">
      <alignment horizontal="left"/>
    </xf>
    <xf numFmtId="167" fontId="6" fillId="2" borderId="0" xfId="5" applyNumberFormat="1" applyFont="1" applyFill="1" applyAlignment="1">
      <alignment horizontal="center"/>
    </xf>
    <xf numFmtId="167" fontId="6" fillId="2" borderId="0" xfId="3" applyFont="1" applyFill="1" applyBorder="1" applyAlignment="1">
      <alignment horizontal="right"/>
    </xf>
    <xf numFmtId="0" fontId="9" fillId="2" borderId="0" xfId="0" applyFont="1" applyFill="1"/>
    <xf numFmtId="0" fontId="9" fillId="2" borderId="0" xfId="0" applyFont="1" applyFill="1" applyBorder="1" applyAlignment="1">
      <alignment horizontal="left"/>
    </xf>
    <xf numFmtId="0" fontId="9" fillId="2" borderId="0" xfId="0" applyFont="1" applyFill="1" applyBorder="1" applyAlignment="1">
      <alignment horizontal="center"/>
    </xf>
    <xf numFmtId="0" fontId="9" fillId="2" borderId="0" xfId="0" applyFont="1" applyFill="1" applyBorder="1"/>
    <xf numFmtId="0" fontId="9" fillId="2" borderId="1" xfId="0" applyFont="1" applyFill="1" applyBorder="1"/>
    <xf numFmtId="0" fontId="10" fillId="2" borderId="1" xfId="2" applyNumberFormat="1" applyFont="1" applyFill="1" applyBorder="1" applyAlignment="1" applyProtection="1">
      <alignment horizontal="left" vertical="center" wrapText="1"/>
    </xf>
    <xf numFmtId="0" fontId="10" fillId="2" borderId="1" xfId="2" applyNumberFormat="1" applyFont="1" applyFill="1" applyBorder="1" applyAlignment="1" applyProtection="1">
      <alignment horizontal="center" vertical="center" wrapText="1"/>
    </xf>
    <xf numFmtId="0" fontId="10" fillId="2" borderId="1" xfId="0" applyNumberFormat="1" applyFont="1" applyFill="1" applyBorder="1" applyAlignment="1" applyProtection="1">
      <alignment horizontal="right" vertical="center" wrapText="1"/>
    </xf>
    <xf numFmtId="0" fontId="10" fillId="2" borderId="0" xfId="2" applyNumberFormat="1" applyFont="1" applyFill="1" applyBorder="1" applyAlignment="1" applyProtection="1">
      <alignment horizontal="left" vertical="center"/>
    </xf>
    <xf numFmtId="0" fontId="10" fillId="2" borderId="0" xfId="2" applyNumberFormat="1" applyFont="1" applyFill="1" applyBorder="1" applyAlignment="1" applyProtection="1">
      <alignment horizontal="left" vertical="center" wrapText="1"/>
    </xf>
    <xf numFmtId="0" fontId="10" fillId="2" borderId="0" xfId="2" applyNumberFormat="1" applyFont="1" applyFill="1" applyBorder="1" applyAlignment="1" applyProtection="1">
      <alignment horizontal="center" vertical="center" wrapText="1"/>
    </xf>
    <xf numFmtId="0" fontId="10" fillId="2" borderId="0" xfId="0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left"/>
    </xf>
    <xf numFmtId="4" fontId="10" fillId="2" borderId="0" xfId="0" applyNumberFormat="1" applyFont="1" applyFill="1" applyBorder="1" applyAlignment="1" applyProtection="1">
      <alignment horizontal="right" vertical="center"/>
    </xf>
    <xf numFmtId="0" fontId="11" fillId="2" borderId="0" xfId="2" applyNumberFormat="1" applyFont="1" applyFill="1" applyBorder="1" applyAlignment="1" applyProtection="1">
      <alignment horizontal="left" vertical="center"/>
    </xf>
    <xf numFmtId="0" fontId="10" fillId="2" borderId="0" xfId="2" applyNumberFormat="1" applyFont="1" applyFill="1" applyBorder="1" applyAlignment="1" applyProtection="1"/>
    <xf numFmtId="0" fontId="12" fillId="2" borderId="0" xfId="2" applyNumberFormat="1" applyFont="1" applyFill="1" applyBorder="1" applyAlignment="1" applyProtection="1">
      <alignment horizontal="left" vertical="center" wrapText="1"/>
    </xf>
    <xf numFmtId="0" fontId="12" fillId="2" borderId="0" xfId="2" applyNumberFormat="1" applyFont="1" applyFill="1" applyBorder="1" applyAlignment="1" applyProtection="1">
      <alignment horizontal="center" vertical="center" wrapText="1"/>
    </xf>
    <xf numFmtId="4" fontId="9" fillId="2" borderId="0" xfId="1" applyNumberFormat="1" applyFont="1" applyFill="1" applyBorder="1" applyAlignment="1" applyProtection="1">
      <alignment horizontal="right" vertical="center"/>
    </xf>
    <xf numFmtId="0" fontId="11" fillId="2" borderId="0" xfId="2" applyNumberFormat="1" applyFont="1" applyFill="1" applyBorder="1" applyAlignment="1" applyProtection="1">
      <alignment vertical="top"/>
    </xf>
    <xf numFmtId="0" fontId="12" fillId="2" borderId="0" xfId="2" applyNumberFormat="1" applyFont="1" applyFill="1" applyBorder="1" applyAlignment="1" applyProtection="1">
      <alignment vertical="top"/>
    </xf>
    <xf numFmtId="0" fontId="11" fillId="2" borderId="0" xfId="2" applyNumberFormat="1" applyFont="1" applyFill="1" applyBorder="1" applyAlignment="1" applyProtection="1"/>
    <xf numFmtId="0" fontId="9" fillId="2" borderId="2" xfId="0" applyFont="1" applyFill="1" applyBorder="1"/>
    <xf numFmtId="0" fontId="12" fillId="2" borderId="2" xfId="2" applyNumberFormat="1" applyFont="1" applyFill="1" applyBorder="1" applyAlignment="1" applyProtection="1">
      <alignment horizontal="left" vertical="top"/>
    </xf>
    <xf numFmtId="0" fontId="12" fillId="2" borderId="2" xfId="2" applyNumberFormat="1" applyFont="1" applyFill="1" applyBorder="1" applyAlignment="1" applyProtection="1">
      <alignment horizontal="left" vertical="center" wrapText="1"/>
    </xf>
    <xf numFmtId="0" fontId="12" fillId="2" borderId="2" xfId="2" applyNumberFormat="1" applyFont="1" applyFill="1" applyBorder="1" applyAlignment="1" applyProtection="1">
      <alignment horizontal="center" vertical="center" wrapText="1"/>
    </xf>
    <xf numFmtId="165" fontId="14" fillId="2" borderId="2" xfId="1" applyNumberFormat="1" applyFont="1" applyFill="1" applyBorder="1" applyAlignment="1" applyProtection="1">
      <alignment horizontal="center" vertical="center"/>
    </xf>
    <xf numFmtId="167" fontId="6" fillId="0" borderId="0" xfId="3" applyFont="1" applyFill="1"/>
    <xf numFmtId="167" fontId="6" fillId="0" borderId="0" xfId="3" applyFont="1" applyFill="1" applyAlignment="1">
      <alignment horizontal="left"/>
    </xf>
    <xf numFmtId="0" fontId="7" fillId="0" borderId="0" xfId="0" applyFont="1" applyFill="1" applyAlignment="1">
      <alignment horizontal="right" vertical="center"/>
    </xf>
    <xf numFmtId="167" fontId="7" fillId="0" borderId="0" xfId="4" applyNumberFormat="1" applyFont="1" applyFill="1" applyAlignment="1" applyProtection="1">
      <alignment horizontal="right" vertical="center"/>
    </xf>
    <xf numFmtId="0" fontId="8" fillId="0" borderId="0" xfId="0" applyFont="1" applyFill="1" applyAlignment="1">
      <alignment horizontal="right" vertical="center"/>
    </xf>
    <xf numFmtId="167" fontId="8" fillId="0" borderId="0" xfId="4" applyNumberFormat="1" applyFont="1" applyFill="1" applyAlignment="1" applyProtection="1">
      <alignment horizontal="right"/>
    </xf>
    <xf numFmtId="167" fontId="8" fillId="0" borderId="0" xfId="4" applyNumberFormat="1" applyFont="1" applyFill="1" applyAlignment="1" applyProtection="1">
      <alignment horizontal="right" vertical="center"/>
    </xf>
    <xf numFmtId="167" fontId="6" fillId="0" borderId="0" xfId="3" applyFont="1" applyFill="1" applyAlignment="1">
      <alignment horizontal="right"/>
    </xf>
    <xf numFmtId="0" fontId="8" fillId="0" borderId="0" xfId="0" applyFont="1" applyFill="1" applyAlignment="1">
      <alignment horizontal="left" vertical="center"/>
    </xf>
    <xf numFmtId="167" fontId="6" fillId="0" borderId="0" xfId="3" applyFont="1" applyFill="1" applyAlignment="1">
      <alignment vertical="center"/>
    </xf>
    <xf numFmtId="167" fontId="7" fillId="0" borderId="0" xfId="5" applyNumberFormat="1" applyFont="1" applyFill="1" applyAlignment="1">
      <alignment horizontal="right" vertical="top"/>
    </xf>
    <xf numFmtId="167" fontId="6" fillId="0" borderId="0" xfId="5" applyNumberFormat="1" applyFont="1" applyFill="1" applyAlignment="1">
      <alignment horizontal="left"/>
    </xf>
    <xf numFmtId="167" fontId="6" fillId="0" borderId="0" xfId="5" applyNumberFormat="1" applyFont="1" applyFill="1"/>
    <xf numFmtId="167" fontId="6" fillId="0" borderId="0" xfId="3" applyFont="1" applyFill="1" applyBorder="1" applyAlignment="1">
      <alignment horizontal="right"/>
    </xf>
    <xf numFmtId="0" fontId="9" fillId="0" borderId="0" xfId="0" applyFont="1" applyFill="1"/>
    <xf numFmtId="0" fontId="9" fillId="0" borderId="0" xfId="0" applyFont="1" applyFill="1" applyBorder="1" applyAlignment="1">
      <alignment horizontal="left"/>
    </xf>
    <xf numFmtId="0" fontId="9" fillId="0" borderId="0" xfId="0" applyFont="1" applyFill="1" applyBorder="1"/>
    <xf numFmtId="0" fontId="9" fillId="0" borderId="0" xfId="0" applyFont="1" applyFill="1" applyAlignment="1">
      <alignment vertical="center"/>
    </xf>
    <xf numFmtId="0" fontId="9" fillId="0" borderId="1" xfId="0" applyFont="1" applyFill="1" applyBorder="1"/>
    <xf numFmtId="0" fontId="10" fillId="0" borderId="1" xfId="2" applyNumberFormat="1" applyFont="1" applyFill="1" applyBorder="1" applyAlignment="1" applyProtection="1">
      <alignment horizontal="left" vertical="center" wrapText="1"/>
    </xf>
    <xf numFmtId="0" fontId="10" fillId="0" borderId="1" xfId="0" applyNumberFormat="1" applyFont="1" applyFill="1" applyBorder="1" applyAlignment="1" applyProtection="1">
      <alignment horizontal="right" vertical="center"/>
    </xf>
    <xf numFmtId="0" fontId="10" fillId="0" borderId="0" xfId="2" applyNumberFormat="1" applyFont="1" applyFill="1" applyBorder="1" applyAlignment="1" applyProtection="1">
      <alignment horizontal="left" vertical="center" wrapText="1"/>
    </xf>
    <xf numFmtId="0" fontId="10" fillId="0" borderId="0" xfId="0" applyNumberFormat="1" applyFont="1" applyFill="1" applyBorder="1" applyAlignment="1" applyProtection="1">
      <alignment horizontal="center" vertical="center"/>
    </xf>
    <xf numFmtId="164" fontId="9" fillId="0" borderId="0" xfId="0" applyNumberFormat="1" applyFont="1" applyFill="1" applyAlignment="1">
      <alignment vertical="center"/>
    </xf>
    <xf numFmtId="0" fontId="11" fillId="0" borderId="0" xfId="2" applyNumberFormat="1" applyFont="1" applyFill="1" applyBorder="1" applyAlignment="1" applyProtection="1">
      <alignment horizontal="left" vertical="center" wrapText="1"/>
    </xf>
    <xf numFmtId="0" fontId="12" fillId="0" borderId="0" xfId="2" applyNumberFormat="1" applyFont="1" applyFill="1" applyBorder="1" applyAlignment="1" applyProtection="1">
      <alignment vertical="top" wrapText="1"/>
    </xf>
    <xf numFmtId="0" fontId="12" fillId="0" borderId="0" xfId="2" applyNumberFormat="1" applyFont="1" applyFill="1" applyBorder="1" applyAlignment="1" applyProtection="1">
      <alignment horizontal="left" vertical="center" wrapText="1"/>
    </xf>
    <xf numFmtId="165" fontId="14" fillId="0" borderId="0" xfId="1" applyNumberFormat="1" applyFont="1" applyFill="1" applyBorder="1" applyAlignment="1" applyProtection="1">
      <alignment horizontal="center" vertical="center"/>
    </xf>
    <xf numFmtId="0" fontId="12" fillId="0" borderId="0" xfId="2" applyNumberFormat="1" applyFont="1" applyFill="1" applyBorder="1" applyAlignment="1" applyProtection="1">
      <alignment wrapText="1"/>
    </xf>
    <xf numFmtId="0" fontId="9" fillId="0" borderId="0" xfId="0" applyFont="1" applyFill="1" applyBorder="1" applyAlignment="1">
      <alignment wrapText="1"/>
    </xf>
    <xf numFmtId="0" fontId="12" fillId="0" borderId="0" xfId="2" applyNumberFormat="1" applyFont="1" applyFill="1" applyBorder="1" applyAlignment="1" applyProtection="1">
      <alignment horizontal="left" vertical="top" wrapText="1"/>
    </xf>
    <xf numFmtId="0" fontId="9" fillId="0" borderId="2" xfId="0" applyFont="1" applyFill="1" applyBorder="1"/>
    <xf numFmtId="0" fontId="12" fillId="0" borderId="2" xfId="2" applyNumberFormat="1" applyFont="1" applyFill="1" applyBorder="1" applyAlignment="1" applyProtection="1">
      <alignment horizontal="left" vertical="top" wrapText="1"/>
    </xf>
    <xf numFmtId="0" fontId="12" fillId="0" borderId="2" xfId="2" applyNumberFormat="1" applyFont="1" applyFill="1" applyBorder="1" applyAlignment="1" applyProtection="1">
      <alignment horizontal="left" vertical="center" wrapText="1"/>
    </xf>
    <xf numFmtId="0" fontId="12" fillId="0" borderId="2" xfId="2" applyNumberFormat="1" applyFont="1" applyFill="1" applyBorder="1" applyAlignment="1" applyProtection="1">
      <alignment wrapText="1"/>
    </xf>
    <xf numFmtId="165" fontId="14" fillId="0" borderId="2" xfId="1" applyNumberFormat="1" applyFont="1" applyFill="1" applyBorder="1" applyAlignment="1" applyProtection="1">
      <alignment horizontal="center" vertical="center"/>
    </xf>
    <xf numFmtId="166" fontId="9" fillId="0" borderId="0" xfId="0" applyNumberFormat="1" applyFont="1" applyFill="1" applyAlignment="1">
      <alignment vertical="center"/>
    </xf>
    <xf numFmtId="167" fontId="7" fillId="0" borderId="0" xfId="3" applyFont="1" applyFill="1" applyAlignment="1">
      <alignment horizontal="right" vertical="top"/>
    </xf>
    <xf numFmtId="167" fontId="7" fillId="0" borderId="0" xfId="5" applyNumberFormat="1" applyFont="1" applyFill="1" applyAlignment="1">
      <alignment horizontal="left" vertical="top"/>
    </xf>
    <xf numFmtId="167" fontId="8" fillId="0" borderId="0" xfId="3" applyFont="1" applyFill="1" applyAlignment="1">
      <alignment horizontal="right" vertical="top"/>
    </xf>
    <xf numFmtId="167" fontId="8" fillId="0" borderId="0" xfId="5" applyNumberFormat="1" applyFont="1" applyFill="1" applyAlignment="1">
      <alignment horizontal="left"/>
    </xf>
    <xf numFmtId="167" fontId="8" fillId="0" borderId="0" xfId="6" applyFont="1" applyFill="1" applyBorder="1" applyAlignment="1">
      <alignment horizontal="right" vertical="center"/>
    </xf>
    <xf numFmtId="0" fontId="16" fillId="2" borderId="0" xfId="0" applyFont="1" applyFill="1"/>
    <xf numFmtId="0" fontId="17" fillId="2" borderId="0" xfId="2" applyNumberFormat="1" applyFont="1" applyFill="1" applyBorder="1" applyAlignment="1" applyProtection="1">
      <alignment horizontal="left" vertical="top"/>
    </xf>
    <xf numFmtId="0" fontId="17" fillId="2" borderId="0" xfId="2" applyNumberFormat="1" applyFont="1" applyFill="1" applyBorder="1" applyAlignment="1" applyProtection="1">
      <alignment horizontal="left" vertical="center" wrapText="1"/>
    </xf>
    <xf numFmtId="0" fontId="17" fillId="2" borderId="0" xfId="2" applyNumberFormat="1" applyFont="1" applyFill="1" applyBorder="1" applyAlignment="1" applyProtection="1">
      <alignment horizontal="center" vertical="center" wrapText="1"/>
    </xf>
    <xf numFmtId="165" fontId="18" fillId="2" borderId="0" xfId="1" applyNumberFormat="1" applyFont="1" applyFill="1" applyBorder="1" applyAlignment="1" applyProtection="1">
      <alignment horizontal="center" vertical="center"/>
    </xf>
    <xf numFmtId="0" fontId="18" fillId="2" borderId="0" xfId="0" applyFont="1" applyFill="1" applyBorder="1" applyAlignment="1">
      <alignment horizontal="right" vertical="center"/>
    </xf>
    <xf numFmtId="167" fontId="19" fillId="2" borderId="0" xfId="6" applyFont="1" applyFill="1" applyBorder="1" applyAlignment="1">
      <alignment horizontal="right" vertical="center"/>
    </xf>
    <xf numFmtId="0" fontId="16" fillId="2" borderId="0" xfId="0" applyFont="1" applyFill="1" applyBorder="1" applyAlignment="1">
      <alignment horizontal="left"/>
    </xf>
    <xf numFmtId="0" fontId="16" fillId="2" borderId="0" xfId="0" applyFont="1" applyFill="1" applyBorder="1" applyAlignment="1">
      <alignment horizontal="center"/>
    </xf>
    <xf numFmtId="0" fontId="16" fillId="2" borderId="0" xfId="0" applyFont="1" applyFill="1" applyBorder="1"/>
    <xf numFmtId="0" fontId="16" fillId="2" borderId="0" xfId="0" applyFont="1" applyFill="1" applyAlignment="1"/>
    <xf numFmtId="0" fontId="16" fillId="0" borderId="0" xfId="0" applyFont="1" applyFill="1"/>
    <xf numFmtId="0" fontId="17" fillId="0" borderId="0" xfId="2" applyNumberFormat="1" applyFont="1" applyFill="1" applyBorder="1" applyAlignment="1" applyProtection="1">
      <alignment horizontal="left" vertical="top" wrapText="1"/>
    </xf>
    <xf numFmtId="0" fontId="17" fillId="0" borderId="0" xfId="2" applyNumberFormat="1" applyFont="1" applyFill="1" applyBorder="1" applyAlignment="1" applyProtection="1">
      <alignment horizontal="left" vertical="center" wrapText="1"/>
    </xf>
    <xf numFmtId="0" fontId="17" fillId="0" borderId="0" xfId="2" applyNumberFormat="1" applyFont="1" applyFill="1" applyBorder="1" applyAlignment="1" applyProtection="1">
      <alignment wrapText="1"/>
    </xf>
    <xf numFmtId="165" fontId="18" fillId="0" borderId="0" xfId="1" applyNumberFormat="1" applyFont="1" applyFill="1" applyBorder="1" applyAlignment="1" applyProtection="1">
      <alignment horizontal="center" vertical="center"/>
    </xf>
    <xf numFmtId="0" fontId="18" fillId="0" borderId="0" xfId="0" applyFont="1" applyFill="1" applyBorder="1" applyAlignment="1">
      <alignment horizontal="right" vertical="center"/>
    </xf>
    <xf numFmtId="166" fontId="16" fillId="0" borderId="0" xfId="0" applyNumberFormat="1" applyFont="1" applyFill="1" applyAlignment="1">
      <alignment vertical="center"/>
    </xf>
    <xf numFmtId="167" fontId="19" fillId="0" borderId="0" xfId="6" applyFont="1" applyFill="1" applyBorder="1" applyAlignment="1">
      <alignment horizontal="right" vertical="center"/>
    </xf>
    <xf numFmtId="165" fontId="25" fillId="0" borderId="0" xfId="1" applyNumberFormat="1" applyFont="1" applyFill="1" applyBorder="1" applyAlignment="1" applyProtection="1">
      <alignment horizontal="center" vertical="center"/>
    </xf>
    <xf numFmtId="3" fontId="9" fillId="2" borderId="0" xfId="1" applyNumberFormat="1" applyFont="1" applyFill="1" applyBorder="1" applyAlignment="1" applyProtection="1">
      <alignment horizontal="right" vertical="center"/>
    </xf>
    <xf numFmtId="3" fontId="14" fillId="2" borderId="0" xfId="1" applyNumberFormat="1" applyFont="1" applyFill="1" applyBorder="1" applyAlignment="1" applyProtection="1">
      <alignment horizontal="right" vertical="center"/>
    </xf>
    <xf numFmtId="3" fontId="14" fillId="0" borderId="0" xfId="1" applyNumberFormat="1" applyFont="1" applyFill="1" applyBorder="1" applyAlignment="1" applyProtection="1">
      <alignment horizontal="right" vertical="center"/>
    </xf>
    <xf numFmtId="3" fontId="9" fillId="0" borderId="0" xfId="1" applyNumberFormat="1" applyFont="1" applyFill="1" applyBorder="1" applyAlignment="1" applyProtection="1">
      <alignment horizontal="right" vertical="center"/>
    </xf>
    <xf numFmtId="0" fontId="1" fillId="2" borderId="0" xfId="18" applyFill="1"/>
    <xf numFmtId="0" fontId="15" fillId="2" borderId="0" xfId="18" applyFont="1" applyFill="1" applyAlignment="1">
      <alignment horizontal="right" vertical="top"/>
    </xf>
    <xf numFmtId="0" fontId="15" fillId="2" borderId="0" xfId="18" applyFont="1" applyFill="1" applyAlignment="1">
      <alignment horizontal="left" vertical="top"/>
    </xf>
    <xf numFmtId="0" fontId="9" fillId="2" borderId="0" xfId="18" applyFont="1" applyFill="1" applyAlignment="1">
      <alignment horizontal="center" vertical="top"/>
    </xf>
    <xf numFmtId="0" fontId="9" fillId="2" borderId="0" xfId="18" applyFont="1" applyFill="1" applyAlignment="1">
      <alignment horizontal="right" vertical="top"/>
    </xf>
    <xf numFmtId="0" fontId="9" fillId="2" borderId="0" xfId="18" applyFont="1" applyFill="1"/>
    <xf numFmtId="0" fontId="9" fillId="2" borderId="0" xfId="18" applyFont="1" applyFill="1" applyAlignment="1">
      <alignment horizontal="center"/>
    </xf>
    <xf numFmtId="0" fontId="9" fillId="2" borderId="0" xfId="18" applyFont="1" applyFill="1" applyAlignment="1">
      <alignment horizontal="right"/>
    </xf>
    <xf numFmtId="166" fontId="8" fillId="2" borderId="4" xfId="20" applyFont="1" applyFill="1" applyBorder="1" applyAlignment="1">
      <alignment horizontal="left"/>
    </xf>
    <xf numFmtId="166" fontId="8" fillId="2" borderId="4" xfId="20" applyFont="1" applyFill="1" applyBorder="1" applyAlignment="1">
      <alignment vertical="center"/>
    </xf>
    <xf numFmtId="166" fontId="8" fillId="2" borderId="4" xfId="20" applyFont="1" applyFill="1" applyBorder="1" applyAlignment="1">
      <alignment horizontal="left" vertical="center"/>
    </xf>
    <xf numFmtId="166" fontId="8" fillId="2" borderId="4" xfId="20" applyFont="1" applyFill="1" applyBorder="1" applyAlignment="1">
      <alignment horizontal="center" vertical="center"/>
    </xf>
    <xf numFmtId="166" fontId="8" fillId="2" borderId="4" xfId="20" applyFont="1" applyFill="1" applyBorder="1" applyAlignment="1">
      <alignment horizontal="right" vertical="center"/>
    </xf>
    <xf numFmtId="166" fontId="8" fillId="2" borderId="0" xfId="20" applyFont="1" applyFill="1" applyAlignment="1">
      <alignment horizontal="left"/>
    </xf>
    <xf numFmtId="166" fontId="7" fillId="2" borderId="0" xfId="20" applyFont="1" applyFill="1" applyAlignment="1">
      <alignment vertical="center"/>
    </xf>
    <xf numFmtId="166" fontId="7" fillId="2" borderId="0" xfId="20" applyFont="1" applyFill="1" applyAlignment="1">
      <alignment horizontal="left" vertical="center"/>
    </xf>
    <xf numFmtId="166" fontId="7" fillId="2" borderId="0" xfId="20" applyFont="1" applyFill="1" applyAlignment="1">
      <alignment horizontal="center" vertical="center"/>
    </xf>
    <xf numFmtId="166" fontId="7" fillId="2" borderId="0" xfId="20" applyFont="1" applyFill="1" applyAlignment="1">
      <alignment horizontal="right" vertical="center"/>
    </xf>
    <xf numFmtId="166" fontId="8" fillId="2" borderId="0" xfId="20" applyFont="1" applyFill="1" applyAlignment="1">
      <alignment vertical="center"/>
    </xf>
    <xf numFmtId="166" fontId="8" fillId="2" borderId="0" xfId="20" applyFont="1" applyFill="1" applyAlignment="1">
      <alignment horizontal="center" vertical="center"/>
    </xf>
    <xf numFmtId="166" fontId="7" fillId="2" borderId="0" xfId="20" applyFont="1" applyFill="1"/>
    <xf numFmtId="166" fontId="7" fillId="2" borderId="0" xfId="20" applyFont="1" applyFill="1" applyAlignment="1">
      <alignment horizontal="left"/>
    </xf>
    <xf numFmtId="166" fontId="7" fillId="2" borderId="0" xfId="20" applyFont="1" applyFill="1" applyAlignment="1">
      <alignment horizontal="center"/>
    </xf>
    <xf numFmtId="166" fontId="7" fillId="2" borderId="0" xfId="20" applyFont="1" applyFill="1" applyAlignment="1">
      <alignment horizontal="right"/>
    </xf>
    <xf numFmtId="166" fontId="8" fillId="2" borderId="3" xfId="20" applyFont="1" applyFill="1" applyBorder="1" applyAlignment="1">
      <alignment horizontal="left"/>
    </xf>
    <xf numFmtId="166" fontId="8" fillId="2" borderId="3" xfId="20" applyFont="1" applyFill="1" applyBorder="1"/>
    <xf numFmtId="166" fontId="8" fillId="2" borderId="3" xfId="20" applyFont="1" applyFill="1" applyBorder="1" applyAlignment="1">
      <alignment horizontal="right"/>
    </xf>
    <xf numFmtId="166" fontId="6" fillId="2" borderId="0" xfId="20" applyFont="1" applyFill="1"/>
    <xf numFmtId="166" fontId="6" fillId="2" borderId="0" xfId="20" applyFont="1" applyFill="1" applyAlignment="1">
      <alignment horizontal="center"/>
    </xf>
    <xf numFmtId="166" fontId="6" fillId="2" borderId="0" xfId="20" applyFont="1" applyFill="1" applyAlignment="1">
      <alignment horizontal="right"/>
    </xf>
    <xf numFmtId="0" fontId="8" fillId="2" borderId="0" xfId="2" applyNumberFormat="1" applyFont="1" applyFill="1" applyAlignment="1">
      <alignment horizontal="right" vertical="center"/>
    </xf>
    <xf numFmtId="0" fontId="8" fillId="2" borderId="0" xfId="2" applyNumberFormat="1" applyFont="1" applyFill="1" applyAlignment="1">
      <alignment horizontal="right" vertical="top"/>
    </xf>
    <xf numFmtId="0" fontId="7" fillId="2" borderId="0" xfId="2" applyNumberFormat="1" applyFont="1" applyFill="1" applyAlignment="1">
      <alignment horizontal="right" vertical="center" wrapText="1"/>
    </xf>
    <xf numFmtId="0" fontId="7" fillId="2" borderId="0" xfId="18" applyFont="1" applyFill="1" applyAlignment="1">
      <alignment vertical="center"/>
    </xf>
    <xf numFmtId="0" fontId="7" fillId="2" borderId="0" xfId="18" applyFont="1" applyFill="1"/>
    <xf numFmtId="0" fontId="7" fillId="2" borderId="0" xfId="18" applyFont="1" applyFill="1" applyAlignment="1">
      <alignment horizontal="center"/>
    </xf>
    <xf numFmtId="0" fontId="7" fillId="2" borderId="0" xfId="23" applyFont="1" applyFill="1" applyAlignment="1">
      <alignment horizontal="center"/>
    </xf>
    <xf numFmtId="0" fontId="7" fillId="2" borderId="0" xfId="23" applyFont="1" applyFill="1" applyAlignment="1">
      <alignment horizontal="left"/>
    </xf>
    <xf numFmtId="0" fontId="6" fillId="2" borderId="0" xfId="18" applyFont="1" applyFill="1" applyAlignment="1">
      <alignment horizontal="center"/>
    </xf>
    <xf numFmtId="169" fontId="6" fillId="2" borderId="0" xfId="24" applyNumberFormat="1" applyFont="1" applyFill="1" applyBorder="1" applyAlignment="1">
      <alignment horizontal="right"/>
    </xf>
    <xf numFmtId="0" fontId="6" fillId="2" borderId="0" xfId="23" applyFont="1" applyFill="1" applyAlignment="1">
      <alignment horizontal="left"/>
    </xf>
    <xf numFmtId="0" fontId="6" fillId="2" borderId="0" xfId="18" applyFont="1" applyFill="1"/>
    <xf numFmtId="0" fontId="6" fillId="2" borderId="0" xfId="23" applyFont="1" applyFill="1" applyAlignment="1">
      <alignment horizontal="left" vertical="top"/>
    </xf>
    <xf numFmtId="0" fontId="7" fillId="2" borderId="0" xfId="23" applyFont="1" applyFill="1" applyAlignment="1">
      <alignment horizontal="left" vertical="top"/>
    </xf>
    <xf numFmtId="0" fontId="7" fillId="2" borderId="0" xfId="18" applyFont="1" applyFill="1" applyAlignment="1">
      <alignment horizontal="left"/>
    </xf>
    <xf numFmtId="166" fontId="6" fillId="2" borderId="2" xfId="20" applyFont="1" applyFill="1" applyBorder="1"/>
    <xf numFmtId="166" fontId="6" fillId="2" borderId="2" xfId="20" applyFont="1" applyFill="1" applyBorder="1" applyAlignment="1">
      <alignment horizontal="center"/>
    </xf>
    <xf numFmtId="171" fontId="6" fillId="2" borderId="2" xfId="21" applyNumberFormat="1" applyFont="1" applyFill="1" applyBorder="1" applyAlignment="1">
      <alignment horizontal="right"/>
    </xf>
    <xf numFmtId="167" fontId="31" fillId="2" borderId="0" xfId="25" applyNumberFormat="1" applyFont="1" applyFill="1"/>
    <xf numFmtId="167" fontId="32" fillId="2" borderId="0" xfId="25" applyNumberFormat="1" applyFont="1" applyFill="1"/>
    <xf numFmtId="167" fontId="32" fillId="2" borderId="0" xfId="25" applyNumberFormat="1" applyFont="1" applyFill="1" applyAlignment="1">
      <alignment horizontal="center"/>
    </xf>
    <xf numFmtId="167" fontId="32" fillId="2" borderId="0" xfId="25" applyNumberFormat="1" applyFont="1" applyFill="1" applyAlignment="1">
      <alignment horizontal="right"/>
    </xf>
    <xf numFmtId="167" fontId="33" fillId="2" borderId="0" xfId="25" applyNumberFormat="1" applyFont="1" applyFill="1" applyAlignment="1">
      <alignment horizontal="right"/>
    </xf>
    <xf numFmtId="0" fontId="34" fillId="2" borderId="0" xfId="18" applyFont="1" applyFill="1" applyAlignment="1">
      <alignment horizontal="right"/>
    </xf>
    <xf numFmtId="167" fontId="33" fillId="2" borderId="0" xfId="25" applyNumberFormat="1" applyFont="1" applyFill="1" applyAlignment="1">
      <alignment horizontal="center"/>
    </xf>
    <xf numFmtId="167" fontId="35" fillId="2" borderId="0" xfId="25" applyNumberFormat="1" applyFont="1" applyFill="1" applyAlignment="1">
      <alignment horizontal="right"/>
    </xf>
    <xf numFmtId="0" fontId="1" fillId="2" borderId="0" xfId="18" applyFill="1" applyBorder="1"/>
    <xf numFmtId="0" fontId="36" fillId="2" borderId="0" xfId="0" applyFont="1" applyFill="1" applyBorder="1" applyAlignment="1">
      <alignment horizontal="center" vertical="center" wrapText="1" readingOrder="1"/>
    </xf>
    <xf numFmtId="4" fontId="36" fillId="2" borderId="0" xfId="0" applyNumberFormat="1" applyFont="1" applyFill="1" applyBorder="1" applyAlignment="1">
      <alignment horizontal="center" vertical="center" wrapText="1" readingOrder="1"/>
    </xf>
    <xf numFmtId="0" fontId="36" fillId="2" borderId="0" xfId="0" applyFont="1" applyFill="1" applyBorder="1" applyAlignment="1">
      <alignment horizontal="center" wrapText="1" readingOrder="1"/>
    </xf>
    <xf numFmtId="3" fontId="36" fillId="2" borderId="0" xfId="0" applyNumberFormat="1" applyFont="1" applyFill="1" applyBorder="1" applyAlignment="1">
      <alignment horizontal="center" vertical="center" wrapText="1" readingOrder="1"/>
    </xf>
    <xf numFmtId="166" fontId="8" fillId="2" borderId="0" xfId="20" applyFont="1" applyFill="1" applyBorder="1" applyAlignment="1">
      <alignment horizontal="left"/>
    </xf>
    <xf numFmtId="170" fontId="9" fillId="2" borderId="0" xfId="18" applyNumberFormat="1" applyFont="1" applyFill="1" applyBorder="1"/>
    <xf numFmtId="0" fontId="29" fillId="2" borderId="0" xfId="18" applyFont="1" applyFill="1" applyBorder="1"/>
    <xf numFmtId="4" fontId="37" fillId="2" borderId="0" xfId="0" applyNumberFormat="1" applyFont="1" applyFill="1" applyBorder="1" applyAlignment="1">
      <alignment horizontal="center" vertical="center" wrapText="1" readingOrder="1"/>
    </xf>
    <xf numFmtId="0" fontId="37" fillId="2" borderId="0" xfId="0" applyFont="1" applyFill="1" applyBorder="1" applyAlignment="1">
      <alignment horizontal="center" vertical="center" wrapText="1" readingOrder="1"/>
    </xf>
    <xf numFmtId="0" fontId="9" fillId="2" borderId="0" xfId="18" applyFont="1" applyFill="1" applyBorder="1"/>
    <xf numFmtId="0" fontId="9" fillId="2" borderId="0" xfId="18" applyFont="1" applyFill="1" applyBorder="1" applyAlignment="1"/>
    <xf numFmtId="169" fontId="6" fillId="2" borderId="0" xfId="24" applyNumberFormat="1" applyFont="1" applyFill="1" applyBorder="1" applyAlignment="1"/>
    <xf numFmtId="170" fontId="9" fillId="2" borderId="0" xfId="18" applyNumberFormat="1" applyFont="1" applyFill="1" applyBorder="1" applyAlignment="1"/>
    <xf numFmtId="4" fontId="12" fillId="2" borderId="0" xfId="0" applyNumberFormat="1" applyFont="1" applyFill="1" applyBorder="1" applyAlignment="1">
      <alignment vertical="center" wrapText="1" readingOrder="1"/>
    </xf>
    <xf numFmtId="0" fontId="12" fillId="2" borderId="0" xfId="0" applyFont="1" applyFill="1" applyBorder="1" applyAlignment="1">
      <alignment vertical="center" wrapText="1" readingOrder="1"/>
    </xf>
    <xf numFmtId="3" fontId="12" fillId="2" borderId="0" xfId="0" applyNumberFormat="1" applyFont="1" applyFill="1" applyBorder="1" applyAlignment="1">
      <alignment vertical="center" wrapText="1" readingOrder="1"/>
    </xf>
    <xf numFmtId="168" fontId="6" fillId="2" borderId="0" xfId="24" applyNumberFormat="1" applyFont="1" applyFill="1" applyBorder="1" applyAlignment="1"/>
    <xf numFmtId="168" fontId="6" fillId="2" borderId="0" xfId="22" applyNumberFormat="1" applyFont="1" applyFill="1" applyBorder="1" applyAlignment="1"/>
    <xf numFmtId="168" fontId="9" fillId="2" borderId="0" xfId="18" applyNumberFormat="1" applyFont="1" applyFill="1" applyBorder="1" applyAlignment="1"/>
    <xf numFmtId="168" fontId="12" fillId="2" borderId="0" xfId="0" applyNumberFormat="1" applyFont="1" applyFill="1" applyBorder="1" applyAlignment="1">
      <alignment vertical="center" wrapText="1" readingOrder="1"/>
    </xf>
    <xf numFmtId="168" fontId="8" fillId="2" borderId="0" xfId="2" applyNumberFormat="1" applyFont="1" applyFill="1" applyBorder="1" applyAlignment="1">
      <alignment vertical="top"/>
    </xf>
    <xf numFmtId="166" fontId="7" fillId="2" borderId="0" xfId="20" applyFont="1" applyFill="1" applyAlignment="1">
      <alignment horizontal="center" vertical="center"/>
    </xf>
    <xf numFmtId="166" fontId="38" fillId="2" borderId="0" xfId="20" applyFont="1" applyFill="1" applyAlignment="1">
      <alignment horizontal="right" vertical="center"/>
    </xf>
    <xf numFmtId="166" fontId="7" fillId="2" borderId="0" xfId="20" applyFont="1" applyFill="1" applyAlignment="1">
      <alignment horizontal="right" vertical="center"/>
    </xf>
    <xf numFmtId="166" fontId="8" fillId="2" borderId="0" xfId="20" applyFont="1" applyFill="1" applyBorder="1" applyAlignment="1">
      <alignment horizontal="right"/>
    </xf>
    <xf numFmtId="166" fontId="6" fillId="2" borderId="0" xfId="20" applyFont="1" applyFill="1" applyBorder="1"/>
    <xf numFmtId="166" fontId="6" fillId="2" borderId="0" xfId="20" applyFont="1" applyFill="1" applyBorder="1" applyAlignment="1">
      <alignment horizontal="right" vertical="center"/>
    </xf>
    <xf numFmtId="166" fontId="7" fillId="2" borderId="0" xfId="20" applyFont="1" applyFill="1" applyBorder="1" applyAlignment="1">
      <alignment horizontal="right" vertical="center"/>
    </xf>
    <xf numFmtId="0" fontId="9" fillId="2" borderId="0" xfId="18" applyFont="1" applyFill="1" applyBorder="1" applyAlignment="1">
      <alignment horizontal="right"/>
    </xf>
    <xf numFmtId="166" fontId="8" fillId="2" borderId="0" xfId="20" applyFont="1" applyFill="1" applyBorder="1" applyAlignment="1">
      <alignment horizontal="right" vertical="center"/>
    </xf>
    <xf numFmtId="0" fontId="27" fillId="2" borderId="0" xfId="18" applyFont="1" applyFill="1" applyBorder="1" applyAlignment="1"/>
    <xf numFmtId="166" fontId="7" fillId="2" borderId="0" xfId="20" applyFont="1" applyFill="1" applyBorder="1" applyAlignment="1">
      <alignment horizontal="right"/>
    </xf>
    <xf numFmtId="0" fontId="7" fillId="2" borderId="0" xfId="0" applyFont="1" applyFill="1" applyAlignment="1">
      <alignment horizontal="right" vertical="center"/>
    </xf>
    <xf numFmtId="0" fontId="7" fillId="2" borderId="0" xfId="0" applyFont="1" applyFill="1" applyBorder="1" applyAlignment="1">
      <alignment vertical="center"/>
    </xf>
    <xf numFmtId="166" fontId="8" fillId="2" borderId="0" xfId="20" applyFont="1" applyFill="1" applyAlignment="1">
      <alignment horizontal="right"/>
    </xf>
    <xf numFmtId="168" fontId="6" fillId="2" borderId="0" xfId="24" applyNumberFormat="1" applyFont="1" applyFill="1" applyBorder="1" applyAlignment="1">
      <alignment horizontal="right"/>
    </xf>
    <xf numFmtId="168" fontId="9" fillId="2" borderId="0" xfId="18" applyNumberFormat="1" applyFont="1" applyFill="1" applyBorder="1" applyAlignment="1">
      <alignment horizontal="right"/>
    </xf>
    <xf numFmtId="168" fontId="12" fillId="2" borderId="0" xfId="0" applyNumberFormat="1" applyFont="1" applyFill="1" applyBorder="1" applyAlignment="1">
      <alignment horizontal="right" wrapText="1" readingOrder="1"/>
    </xf>
    <xf numFmtId="168" fontId="12" fillId="2" borderId="0" xfId="0" applyNumberFormat="1" applyFont="1" applyFill="1" applyBorder="1" applyAlignment="1">
      <alignment horizontal="right" vertical="center" wrapText="1" readingOrder="1"/>
    </xf>
    <xf numFmtId="168" fontId="8" fillId="2" borderId="0" xfId="2" applyNumberFormat="1" applyFont="1" applyFill="1" applyBorder="1" applyAlignment="1">
      <alignment horizontal="right" vertical="top"/>
    </xf>
    <xf numFmtId="168" fontId="6" fillId="2" borderId="0" xfId="22" applyNumberFormat="1" applyFont="1" applyFill="1" applyBorder="1" applyAlignment="1">
      <alignment horizontal="right"/>
    </xf>
    <xf numFmtId="0" fontId="29" fillId="2" borderId="0" xfId="18" applyFont="1" applyFill="1"/>
    <xf numFmtId="0" fontId="37" fillId="2" borderId="0" xfId="0" applyFont="1" applyFill="1" applyBorder="1" applyAlignment="1">
      <alignment horizontal="center" wrapText="1" readingOrder="1"/>
    </xf>
    <xf numFmtId="3" fontId="9" fillId="2" borderId="0" xfId="18" applyNumberFormat="1" applyFont="1" applyFill="1"/>
    <xf numFmtId="167" fontId="14" fillId="2" borderId="0" xfId="25" applyNumberFormat="1" applyFont="1" applyFill="1"/>
    <xf numFmtId="167" fontId="6" fillId="2" borderId="0" xfId="25" applyNumberFormat="1" applyFont="1" applyFill="1"/>
    <xf numFmtId="167" fontId="6" fillId="2" borderId="0" xfId="25" applyNumberFormat="1" applyFont="1" applyFill="1" applyAlignment="1">
      <alignment horizontal="center"/>
    </xf>
    <xf numFmtId="167" fontId="6" fillId="2" borderId="0" xfId="25" applyNumberFormat="1" applyFont="1" applyFill="1" applyAlignment="1">
      <alignment horizontal="right"/>
    </xf>
    <xf numFmtId="167" fontId="9" fillId="2" borderId="0" xfId="25" applyNumberFormat="1" applyFont="1" applyFill="1" applyAlignment="1">
      <alignment horizontal="right"/>
    </xf>
    <xf numFmtId="167" fontId="9" fillId="2" borderId="0" xfId="25" applyNumberFormat="1" applyFont="1" applyFill="1" applyAlignment="1">
      <alignment horizontal="center"/>
    </xf>
    <xf numFmtId="167" fontId="8" fillId="2" borderId="0" xfId="25" applyNumberFormat="1" applyFont="1" applyFill="1" applyAlignment="1">
      <alignment horizontal="right"/>
    </xf>
    <xf numFmtId="167" fontId="6" fillId="2" borderId="0" xfId="25" applyNumberFormat="1" applyFont="1" applyFill="1" applyBorder="1" applyAlignment="1">
      <alignment horizontal="right"/>
    </xf>
    <xf numFmtId="167" fontId="9" fillId="2" borderId="0" xfId="25" applyNumberFormat="1" applyFont="1" applyFill="1" applyBorder="1" applyAlignment="1">
      <alignment horizontal="right"/>
    </xf>
    <xf numFmtId="0" fontId="7" fillId="2" borderId="0" xfId="18" applyFont="1" applyFill="1" applyBorder="1" applyAlignment="1">
      <alignment horizontal="right"/>
    </xf>
    <xf numFmtId="0" fontId="10" fillId="2" borderId="0" xfId="0" applyFont="1" applyFill="1" applyBorder="1" applyAlignment="1">
      <alignment horizontal="right" vertical="center" wrapText="1" readingOrder="1"/>
    </xf>
    <xf numFmtId="0" fontId="12" fillId="2" borderId="0" xfId="0" applyFont="1" applyFill="1" applyBorder="1" applyAlignment="1">
      <alignment horizontal="right" vertical="center" wrapText="1" readingOrder="1"/>
    </xf>
    <xf numFmtId="0" fontId="9" fillId="2" borderId="3" xfId="18" applyFont="1" applyFill="1" applyBorder="1"/>
    <xf numFmtId="0" fontId="6" fillId="2" borderId="0" xfId="23" applyFont="1" applyFill="1" applyBorder="1" applyAlignment="1">
      <alignment horizontal="left"/>
    </xf>
    <xf numFmtId="0" fontId="6" fillId="2" borderId="0" xfId="18" applyFont="1" applyFill="1" applyBorder="1"/>
    <xf numFmtId="0" fontId="6" fillId="2" borderId="0" xfId="18" applyFont="1" applyFill="1" applyBorder="1" applyAlignment="1">
      <alignment horizontal="center"/>
    </xf>
    <xf numFmtId="166" fontId="6" fillId="2" borderId="2" xfId="20" applyFont="1" applyFill="1" applyBorder="1" applyAlignment="1">
      <alignment horizontal="right"/>
    </xf>
    <xf numFmtId="0" fontId="9" fillId="2" borderId="2" xfId="18" applyFont="1" applyFill="1" applyBorder="1" applyAlignment="1">
      <alignment horizontal="right"/>
    </xf>
    <xf numFmtId="0" fontId="7" fillId="2" borderId="0" xfId="0" applyFont="1" applyFill="1" applyBorder="1" applyAlignment="1">
      <alignment horizontal="center" vertical="center" wrapText="1" readingOrder="1"/>
    </xf>
    <xf numFmtId="0" fontId="12" fillId="2" borderId="0" xfId="0" quotePrefix="1" applyFont="1" applyFill="1" applyBorder="1" applyAlignment="1">
      <alignment horizontal="right" vertical="center" wrapText="1" readingOrder="1"/>
    </xf>
    <xf numFmtId="0" fontId="23" fillId="2" borderId="0" xfId="0" applyFont="1" applyFill="1" applyAlignment="1">
      <alignment vertical="center"/>
    </xf>
    <xf numFmtId="3" fontId="37" fillId="2" borderId="0" xfId="0" applyNumberFormat="1" applyFont="1" applyFill="1" applyBorder="1" applyAlignment="1">
      <alignment horizontal="center" vertical="center" wrapText="1" readingOrder="1"/>
    </xf>
    <xf numFmtId="0" fontId="14" fillId="2" borderId="0" xfId="18" applyFont="1" applyFill="1" applyBorder="1" applyAlignment="1"/>
    <xf numFmtId="0" fontId="14" fillId="2" borderId="0" xfId="18" applyFont="1" applyFill="1" applyBorder="1"/>
    <xf numFmtId="168" fontId="9" fillId="2" borderId="0" xfId="18" applyNumberFormat="1" applyFont="1" applyFill="1"/>
    <xf numFmtId="168" fontId="9" fillId="2" borderId="0" xfId="18" applyNumberFormat="1" applyFont="1" applyFill="1" applyBorder="1"/>
    <xf numFmtId="0" fontId="14" fillId="2" borderId="0" xfId="0" applyFont="1" applyFill="1" applyBorder="1" applyAlignment="1">
      <alignment horizontal="right" vertical="center"/>
    </xf>
    <xf numFmtId="167" fontId="8" fillId="2" borderId="0" xfId="6" applyFont="1" applyFill="1" applyBorder="1" applyAlignment="1">
      <alignment horizontal="right" vertical="center"/>
    </xf>
    <xf numFmtId="167" fontId="39" fillId="2" borderId="0" xfId="3" applyFont="1" applyFill="1"/>
    <xf numFmtId="167" fontId="39" fillId="2" borderId="0" xfId="3" applyFont="1" applyFill="1" applyAlignment="1">
      <alignment horizontal="left"/>
    </xf>
    <xf numFmtId="167" fontId="39" fillId="2" borderId="0" xfId="3" applyFont="1" applyFill="1" applyAlignment="1">
      <alignment horizontal="center"/>
    </xf>
    <xf numFmtId="0" fontId="28" fillId="2" borderId="0" xfId="0" applyFont="1" applyFill="1" applyBorder="1" applyAlignment="1">
      <alignment vertical="center"/>
    </xf>
    <xf numFmtId="0" fontId="40" fillId="2" borderId="0" xfId="0" applyFont="1" applyFill="1" applyAlignment="1">
      <alignment horizontal="right" vertical="center"/>
    </xf>
    <xf numFmtId="167" fontId="39" fillId="2" borderId="0" xfId="3" applyFont="1" applyFill="1" applyAlignment="1">
      <alignment horizontal="right"/>
    </xf>
    <xf numFmtId="167" fontId="28" fillId="2" borderId="0" xfId="3" applyFont="1" applyFill="1" applyAlignment="1">
      <alignment horizontal="right" vertical="top"/>
    </xf>
    <xf numFmtId="167" fontId="28" fillId="2" borderId="0" xfId="5" applyNumberFormat="1" applyFont="1" applyFill="1" applyAlignment="1">
      <alignment horizontal="left" vertical="top"/>
    </xf>
    <xf numFmtId="167" fontId="28" fillId="2" borderId="0" xfId="5" applyNumberFormat="1" applyFont="1" applyFill="1" applyAlignment="1">
      <alignment horizontal="center" vertical="top"/>
    </xf>
    <xf numFmtId="167" fontId="28" fillId="2" borderId="0" xfId="5" applyNumberFormat="1" applyFont="1" applyFill="1" applyAlignment="1">
      <alignment horizontal="right" vertical="top"/>
    </xf>
    <xf numFmtId="167" fontId="40" fillId="2" borderId="0" xfId="3" applyFont="1" applyFill="1" applyAlignment="1">
      <alignment horizontal="right" vertical="top"/>
    </xf>
    <xf numFmtId="167" fontId="40" fillId="2" borderId="0" xfId="5" applyNumberFormat="1" applyFont="1" applyFill="1" applyAlignment="1">
      <alignment horizontal="left"/>
    </xf>
    <xf numFmtId="167" fontId="40" fillId="2" borderId="0" xfId="5" applyNumberFormat="1" applyFont="1" applyFill="1" applyAlignment="1">
      <alignment horizontal="center"/>
    </xf>
    <xf numFmtId="3" fontId="6" fillId="2" borderId="0" xfId="24" applyNumberFormat="1" applyFont="1" applyFill="1" applyBorder="1" applyAlignment="1"/>
    <xf numFmtId="3" fontId="9" fillId="2" borderId="0" xfId="18" applyNumberFormat="1" applyFont="1" applyFill="1" applyBorder="1" applyAlignment="1"/>
    <xf numFmtId="3" fontId="12" fillId="2" borderId="0" xfId="0" applyNumberFormat="1" applyFont="1" applyFill="1" applyBorder="1" applyAlignment="1">
      <alignment wrapText="1" readingOrder="1"/>
    </xf>
    <xf numFmtId="3" fontId="6" fillId="2" borderId="0" xfId="22" applyNumberFormat="1" applyFont="1" applyFill="1" applyBorder="1" applyAlignment="1"/>
    <xf numFmtId="0" fontId="9" fillId="2" borderId="0" xfId="18" applyFont="1" applyFill="1" applyAlignment="1">
      <alignment vertical="center"/>
    </xf>
    <xf numFmtId="0" fontId="9" fillId="2" borderId="0" xfId="18" applyFont="1" applyFill="1" applyAlignment="1">
      <alignment horizontal="center" vertical="center"/>
    </xf>
    <xf numFmtId="0" fontId="9" fillId="2" borderId="0" xfId="18" applyFont="1" applyFill="1" applyAlignment="1">
      <alignment horizontal="right" vertical="center"/>
    </xf>
    <xf numFmtId="3" fontId="9" fillId="2" borderId="0" xfId="18" applyNumberFormat="1" applyFont="1" applyFill="1" applyAlignment="1">
      <alignment horizontal="right"/>
    </xf>
    <xf numFmtId="0" fontId="41" fillId="2" borderId="0" xfId="18" applyFont="1" applyFill="1"/>
    <xf numFmtId="166" fontId="7" fillId="2" borderId="0" xfId="20" applyFont="1" applyFill="1" applyAlignment="1">
      <alignment horizontal="center" vertical="center"/>
    </xf>
    <xf numFmtId="0" fontId="28" fillId="2" borderId="0" xfId="0" applyFont="1" applyFill="1" applyAlignment="1">
      <alignment horizontal="right" vertical="center"/>
    </xf>
    <xf numFmtId="0" fontId="7" fillId="2" borderId="0" xfId="0" applyFont="1" applyFill="1" applyAlignment="1">
      <alignment horizontal="right" vertical="center"/>
    </xf>
    <xf numFmtId="166" fontId="7" fillId="2" borderId="0" xfId="20" applyFont="1" applyFill="1" applyAlignment="1">
      <alignment horizontal="right" vertical="center"/>
    </xf>
    <xf numFmtId="166" fontId="7" fillId="2" borderId="5" xfId="20" applyFont="1" applyFill="1" applyBorder="1" applyAlignment="1">
      <alignment horizontal="right" vertical="center"/>
    </xf>
    <xf numFmtId="3" fontId="7" fillId="2" borderId="0" xfId="23" applyNumberFormat="1" applyFont="1" applyFill="1" applyAlignment="1">
      <alignment horizontal="center"/>
    </xf>
    <xf numFmtId="166" fontId="7" fillId="2" borderId="0" xfId="20" applyFont="1" applyFill="1" applyAlignment="1">
      <alignment horizontal="center" vertical="center"/>
    </xf>
    <xf numFmtId="0" fontId="7" fillId="2" borderId="0" xfId="0" applyFont="1" applyFill="1" applyAlignment="1">
      <alignment horizontal="right" vertical="center"/>
    </xf>
    <xf numFmtId="166" fontId="7" fillId="2" borderId="0" xfId="20" applyFont="1" applyFill="1" applyAlignment="1">
      <alignment horizontal="right" vertical="center"/>
    </xf>
    <xf numFmtId="0" fontId="12" fillId="2" borderId="0" xfId="0" quotePrefix="1" applyFont="1" applyFill="1" applyBorder="1" applyAlignment="1">
      <alignment vertical="center" wrapText="1" readingOrder="1"/>
    </xf>
    <xf numFmtId="0" fontId="12" fillId="3" borderId="0" xfId="0" applyFont="1" applyFill="1" applyBorder="1" applyAlignment="1">
      <alignment vertical="center" wrapText="1" readingOrder="1"/>
    </xf>
    <xf numFmtId="0" fontId="10" fillId="2" borderId="0" xfId="0" applyFont="1" applyFill="1" applyBorder="1" applyAlignment="1">
      <alignment vertical="center" wrapText="1" readingOrder="1"/>
    </xf>
    <xf numFmtId="0" fontId="12" fillId="3" borderId="0" xfId="0" applyFont="1" applyFill="1" applyBorder="1" applyAlignment="1">
      <alignment horizontal="right" vertical="center" wrapText="1" readingOrder="1"/>
    </xf>
    <xf numFmtId="0" fontId="9" fillId="0" borderId="0" xfId="0" applyFont="1" applyBorder="1" applyAlignment="1">
      <alignment horizontal="right"/>
    </xf>
    <xf numFmtId="0" fontId="12" fillId="0" borderId="0" xfId="0" applyFont="1" applyBorder="1" applyAlignment="1">
      <alignment horizontal="right" vertical="center" wrapText="1" readingOrder="1"/>
    </xf>
    <xf numFmtId="0" fontId="15" fillId="2" borderId="0" xfId="18" applyFont="1" applyFill="1" applyBorder="1" applyAlignment="1">
      <alignment vertical="center"/>
    </xf>
    <xf numFmtId="0" fontId="7" fillId="2" borderId="0" xfId="0" applyFont="1" applyFill="1" applyBorder="1" applyAlignment="1">
      <alignment horizontal="right" vertical="center" wrapText="1" readingOrder="1"/>
    </xf>
    <xf numFmtId="0" fontId="9" fillId="2" borderId="3" xfId="18" applyFont="1" applyFill="1" applyBorder="1" applyAlignment="1">
      <alignment horizontal="right"/>
    </xf>
    <xf numFmtId="3" fontId="7" fillId="2" borderId="0" xfId="23" applyNumberFormat="1" applyFont="1" applyFill="1" applyAlignment="1">
      <alignment horizontal="right"/>
    </xf>
    <xf numFmtId="0" fontId="6" fillId="2" borderId="0" xfId="18" applyFont="1" applyFill="1" applyAlignment="1">
      <alignment horizontal="right"/>
    </xf>
    <xf numFmtId="0" fontId="9" fillId="2" borderId="0" xfId="18" applyFont="1" applyFill="1" applyBorder="1" applyAlignment="1">
      <alignment horizontal="right" vertical="center"/>
    </xf>
    <xf numFmtId="0" fontId="20" fillId="2" borderId="0" xfId="0" applyFont="1" applyFill="1" applyAlignment="1">
      <alignment horizontal="left"/>
    </xf>
    <xf numFmtId="0" fontId="18" fillId="2" borderId="0" xfId="0" applyFont="1" applyFill="1" applyAlignment="1">
      <alignment horizontal="left"/>
    </xf>
    <xf numFmtId="0" fontId="18" fillId="2" borderId="0" xfId="0" applyFont="1" applyFill="1" applyAlignment="1">
      <alignment horizontal="left" vertical="top" wrapText="1"/>
    </xf>
    <xf numFmtId="0" fontId="18" fillId="2" borderId="0" xfId="0" applyFont="1" applyFill="1" applyAlignment="1">
      <alignment horizontal="left" vertical="top"/>
    </xf>
    <xf numFmtId="0" fontId="18" fillId="2" borderId="0" xfId="0" applyFont="1" applyFill="1" applyAlignment="1">
      <alignment horizontal="left" wrapText="1"/>
    </xf>
    <xf numFmtId="0" fontId="18" fillId="2" borderId="0" xfId="0" applyFont="1" applyFill="1" applyAlignment="1">
      <alignment wrapText="1"/>
    </xf>
    <xf numFmtId="0" fontId="20" fillId="2" borderId="0" xfId="0" applyFont="1" applyFill="1" applyAlignment="1">
      <alignment horizontal="left" wrapText="1"/>
    </xf>
    <xf numFmtId="166" fontId="38" fillId="2" borderId="0" xfId="20" applyFont="1" applyFill="1" applyAlignment="1">
      <alignment horizontal="center" vertical="center"/>
    </xf>
    <xf numFmtId="166" fontId="7" fillId="2" borderId="3" xfId="20" applyFont="1" applyFill="1" applyBorder="1" applyAlignment="1">
      <alignment horizontal="center" vertical="center"/>
    </xf>
    <xf numFmtId="166" fontId="7" fillId="2" borderId="0" xfId="20" applyFont="1" applyFill="1" applyAlignment="1">
      <alignment horizontal="center" vertical="center"/>
    </xf>
    <xf numFmtId="166" fontId="8" fillId="2" borderId="3" xfId="20" applyFont="1" applyFill="1" applyBorder="1" applyAlignment="1">
      <alignment horizontal="center" vertical="center"/>
    </xf>
    <xf numFmtId="0" fontId="11" fillId="0" borderId="3" xfId="2" applyNumberFormat="1" applyFont="1" applyFill="1" applyBorder="1" applyAlignment="1" applyProtection="1">
      <alignment horizontal="center" vertical="top"/>
    </xf>
    <xf numFmtId="0" fontId="28" fillId="2" borderId="0" xfId="0" applyFont="1" applyFill="1" applyAlignment="1">
      <alignment horizontal="right" vertical="center"/>
    </xf>
    <xf numFmtId="0" fontId="15" fillId="2" borderId="3" xfId="18" applyFont="1" applyFill="1" applyBorder="1" applyAlignment="1">
      <alignment horizontal="center" vertical="center"/>
    </xf>
    <xf numFmtId="0" fontId="7" fillId="2" borderId="0" xfId="0" applyFont="1" applyFill="1" applyAlignment="1">
      <alignment horizontal="right" vertical="center"/>
    </xf>
    <xf numFmtId="166" fontId="7" fillId="2" borderId="0" xfId="20" applyFont="1" applyFill="1" applyAlignment="1">
      <alignment horizontal="right" vertical="center"/>
    </xf>
    <xf numFmtId="0" fontId="14" fillId="2" borderId="0" xfId="18" applyFont="1" applyFill="1" applyAlignment="1">
      <alignment horizontal="center"/>
    </xf>
    <xf numFmtId="0" fontId="14" fillId="2" borderId="0" xfId="18" applyFont="1" applyFill="1" applyAlignment="1">
      <alignment horizontal="center" vertical="top"/>
    </xf>
    <xf numFmtId="0" fontId="14" fillId="2" borderId="0" xfId="18" applyFont="1" applyFill="1" applyAlignment="1">
      <alignment horizontal="center" vertical="center"/>
    </xf>
    <xf numFmtId="0" fontId="12" fillId="0" borderId="0" xfId="2" applyNumberFormat="1" applyFont="1" applyFill="1" applyBorder="1" applyAlignment="1" applyProtection="1">
      <alignment horizontal="left" vertical="top" wrapText="1"/>
    </xf>
  </cellXfs>
  <cellStyles count="26">
    <cellStyle name="Comma" xfId="1" builtinId="3"/>
    <cellStyle name="Comma 10 8 2" xfId="24" xr:uid="{00000000-0005-0000-0000-000001000000}"/>
    <cellStyle name="Comma 857 2 2" xfId="21" xr:uid="{00000000-0005-0000-0000-000002000000}"/>
    <cellStyle name="Hyperlink 2" xfId="4" xr:uid="{00000000-0005-0000-0000-000003000000}"/>
    <cellStyle name="Normal" xfId="0" builtinId="0"/>
    <cellStyle name="Normal 10 11 2" xfId="12" xr:uid="{00000000-0005-0000-0000-000005000000}"/>
    <cellStyle name="Normal 13 2" xfId="17" xr:uid="{00000000-0005-0000-0000-000006000000}"/>
    <cellStyle name="Normal 18 2 3 2" xfId="19" xr:uid="{00000000-0005-0000-0000-000007000000}"/>
    <cellStyle name="Normal 2" xfId="2" xr:uid="{00000000-0005-0000-0000-000008000000}"/>
    <cellStyle name="Normal 2 2 2 7 2 2" xfId="23" xr:uid="{00000000-0005-0000-0000-000009000000}"/>
    <cellStyle name="Normal 2 2 86 2" xfId="7" xr:uid="{00000000-0005-0000-0000-00000A000000}"/>
    <cellStyle name="Normal 3" xfId="3" xr:uid="{00000000-0005-0000-0000-00000B000000}"/>
    <cellStyle name="Normal 3 5 2 5 5 2 2" xfId="10" xr:uid="{00000000-0005-0000-0000-00000C000000}"/>
    <cellStyle name="Normal 3 5 2 5 6 2" xfId="8" xr:uid="{00000000-0005-0000-0000-00000D000000}"/>
    <cellStyle name="Normal 3 5 7 3" xfId="9" xr:uid="{00000000-0005-0000-0000-00000E000000}"/>
    <cellStyle name="Normal 4 2" xfId="14" xr:uid="{00000000-0005-0000-0000-00000F000000}"/>
    <cellStyle name="Normal 4 4" xfId="16" xr:uid="{00000000-0005-0000-0000-000010000000}"/>
    <cellStyle name="Normal 5" xfId="5" xr:uid="{00000000-0005-0000-0000-000011000000}"/>
    <cellStyle name="Normal 5 2" xfId="15" xr:uid="{00000000-0005-0000-0000-000012000000}"/>
    <cellStyle name="Normal 6 57" xfId="13" xr:uid="{00000000-0005-0000-0000-000013000000}"/>
    <cellStyle name="Normal 7" xfId="20" xr:uid="{00000000-0005-0000-0000-000014000000}"/>
    <cellStyle name="Normal 724" xfId="6" xr:uid="{00000000-0005-0000-0000-000015000000}"/>
    <cellStyle name="Normal 724 2 2" xfId="25" xr:uid="{00000000-0005-0000-0000-000016000000}"/>
    <cellStyle name="Normal 725 3 2" xfId="18" xr:uid="{00000000-0005-0000-0000-000017000000}"/>
    <cellStyle name="Normal 816 3" xfId="11" xr:uid="{00000000-0005-0000-0000-000018000000}"/>
    <cellStyle name="Normal_Jad 8.4" xfId="22" xr:uid="{00000000-0005-0000-0000-000019000000}"/>
  </cellStyles>
  <dxfs count="0"/>
  <tableStyles count="0" defaultTableStyle="TableStyleMedium2" defaultPivotStyle="PivotStyleLight16"/>
  <colors>
    <mruColors>
      <color rgb="FFCCC0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26" Type="http://schemas.openxmlformats.org/officeDocument/2006/relationships/externalLink" Target="externalLinks/externalLink10.xml"/><Relationship Id="rId39" Type="http://schemas.openxmlformats.org/officeDocument/2006/relationships/externalLink" Target="externalLinks/externalLink23.xml"/><Relationship Id="rId21" Type="http://schemas.openxmlformats.org/officeDocument/2006/relationships/externalLink" Target="externalLinks/externalLink5.xml"/><Relationship Id="rId34" Type="http://schemas.openxmlformats.org/officeDocument/2006/relationships/externalLink" Target="externalLinks/externalLink18.xml"/><Relationship Id="rId42" Type="http://schemas.openxmlformats.org/officeDocument/2006/relationships/externalLink" Target="externalLinks/externalLink26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1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8.xml"/><Relationship Id="rId32" Type="http://schemas.openxmlformats.org/officeDocument/2006/relationships/externalLink" Target="externalLinks/externalLink16.xml"/><Relationship Id="rId37" Type="http://schemas.openxmlformats.org/officeDocument/2006/relationships/externalLink" Target="externalLinks/externalLink21.xml"/><Relationship Id="rId40" Type="http://schemas.openxmlformats.org/officeDocument/2006/relationships/externalLink" Target="externalLinks/externalLink24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7.xml"/><Relationship Id="rId28" Type="http://schemas.openxmlformats.org/officeDocument/2006/relationships/externalLink" Target="externalLinks/externalLink12.xml"/><Relationship Id="rId36" Type="http://schemas.openxmlformats.org/officeDocument/2006/relationships/externalLink" Target="externalLinks/externalLink20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3.xml"/><Relationship Id="rId31" Type="http://schemas.openxmlformats.org/officeDocument/2006/relationships/externalLink" Target="externalLinks/externalLink15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6.xml"/><Relationship Id="rId27" Type="http://schemas.openxmlformats.org/officeDocument/2006/relationships/externalLink" Target="externalLinks/externalLink11.xml"/><Relationship Id="rId30" Type="http://schemas.openxmlformats.org/officeDocument/2006/relationships/externalLink" Target="externalLinks/externalLink14.xml"/><Relationship Id="rId35" Type="http://schemas.openxmlformats.org/officeDocument/2006/relationships/externalLink" Target="externalLinks/externalLink19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5" Type="http://schemas.openxmlformats.org/officeDocument/2006/relationships/externalLink" Target="externalLinks/externalLink9.xml"/><Relationship Id="rId33" Type="http://schemas.openxmlformats.org/officeDocument/2006/relationships/externalLink" Target="externalLinks/externalLink17.xml"/><Relationship Id="rId38" Type="http://schemas.openxmlformats.org/officeDocument/2006/relationships/externalLink" Target="externalLinks/externalLink22.xml"/><Relationship Id="rId46" Type="http://schemas.openxmlformats.org/officeDocument/2006/relationships/calcChain" Target="calcChain.xml"/><Relationship Id="rId20" Type="http://schemas.openxmlformats.org/officeDocument/2006/relationships/externalLink" Target="externalLinks/externalLink4.xml"/><Relationship Id="rId41" Type="http://schemas.openxmlformats.org/officeDocument/2006/relationships/externalLink" Target="externalLinks/externalLink2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2017\bps%202016\Bab%207-%20Keselamatan%20Awam_09121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2017/bps%202016/Bab%207-%20Keselamatan%20Awam_09121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B44AF9E\Jad.%205.10-5.11-new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4CB8525E\Jad.%205.10-5.11-new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2013\4-5%20kesihatan\Bab%204%20-%20Kesihatan%202013(TAB%204%201-4%2011)%20hantar%20DOSM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2013/4-5%20kesihatan/Bab%204%20-%20Kesihatan%202013(TAB%204%201-4%2011)%20hantar%20DOSM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5928CBB\Tab4-1--4.18-new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6E812C0\Tab4-1--4.18-new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JADUAL%20FINAL%20%20to%20print%20220719\utk%20email\2013\4-5%20kesihatan\Bab%204%20-%20Kesihatan%202013(TAB%204%201-4%2011)%20hantar%20DOSM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utk%20email\2013\4-5%20kesihatan\Bab%204%20-%20Kesihatan%202013(TAB%204%201-4%2011)%20hantar%20DOSM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Johor\Documents%20and%20Settings\rosnani\Local%20Settings\Temporary%20Internet%20Files\Content.Outlook\NRZDZE5N\Buletin%20Perangkaan%20Sosial,%20Malaysia%202013\Jadual\Jadual\Bab%207-%20Guna%20Tenaga%202013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Johor/Documents%20and%20Settings/rosnani/Local%20Settings/Temporary%20Internet%20Files/Content.Outlook/NRZDZE5N/Buletin%20Perangkaan%20Sosial,%20Malaysia%202013/Jadual/Jadual/Bab%207-%20Guna%20Tenaga%202013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9%20JAnuari%202018\JOHOR%2026.11.2017\FULL%20MALAYSIA-SAS\Users\nurul.iman\Desktop\buku%20sas\Mastercopy%20Penerbitan%20KDNK%20Negeri%202015\Mastercopy%20Publication%20KDNK%20Negeri%202010-2014\Table%20Publication%20of%20GDP%202013p_100914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9%20JAnuari%202018/JOHOR%2026.11.2017/FULL%20MALAYSIA-SAS/Users/nurul.iman/Desktop/buku%20sas/Mastercopy%20Penerbitan%20KDNK%20Negeri%202015/Mastercopy%20Publication%20KDNK%20Negeri%202010-2014/Table%20Publication%20of%20GDP%202013p_100914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tk%20email\2013\4-5%20kesihatan\Bab%204%20-%20Kesihatan%202013(TAB%204%201-4%2011)%20hantar%20DOSM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utk%20email/2013/4-5%20kesihatan/Bab%204%20-%20Kesihatan%202013(TAB%204%201-4%2011)%20hantar%20DOSM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9%20JAnuari%202018\JOHOR%2026.11.2017\FULL%20MALAYSIA-SAS\JOHOR\compile\SAS%20State\compile\SAS%20State\compile\SAS%20State\Documents%20and%20Settings\nurdiyana\My%20Documents\BPS%202012\Tab4-1--4.18-new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9%20JAnuari%202018/JOHOR%2026.11.2017/FULL%20MALAYSIA-SAS/JOHOR/compile/SAS%20State/compile/SAS%20State/compile/SAS%20State/Documents%20and%20Settings/nurdiyana/My%20Documents/BPS%202012/Tab4-1--4.18-new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jamilah.rahim\Local%20Settings\Temporary%20Internet%20Files\Content.Outlook\J5S9MX0N\Malaysia%20HES%202014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jamilah.rahim/Local%20Settings/Temporary%20Internet%20Files/Content.Outlook/J5S9MX0N/Malaysia%20HES%202014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jamilah.rahim\Local%20Settings\Temporary%20Internet%20Files\Content.Outlook\J5S9MX0N\7.1%20&amp;%207.4_MSIA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jamilah.rahim/Local%20Settings/Temporary%20Internet%20Files/Content.Outlook/J5S9MX0N/7.1%20&amp;%207.4_MSIA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ADMINI~1.ICU\AppData\Local\Temp\Rar$DI00.384\Mastercopy%20Penerbitan%20KDNK%20Negeri%202015\Mastercopy%20Publication%20KDNK%20Negeri%202010-2014\Table%20Publication%20of%20GDP%202013p_100914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I~1.ICU/AppData/Local/Temp/Rar$DI00.384/Mastercopy%20Penerbitan%20KDNK%20Negeri%202015/Mastercopy%20Publication%20KDNK%20Negeri%202010-2014/Table%20Publication%20of%20GDP%202013p_100914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norul.aziemah\Desktop\buku%20sas\Users\roziana\AppData\Local\Microsoft\Windows\Temporary%20Internet%20Files\Content.Outlook\OXSTD2JP\Jad.%205.10-5.11-new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orul.aziemah/Desktop/buku%20sas/Users/roziana/AppData/Local/Microsoft/Windows/Temporary%20Internet%20Files/Content.Outlook/OXSTD2JP/Jad.%205.10-5.11-new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5 (bpk)"/>
      <sheetName val="7.1"/>
      <sheetName val="7.2"/>
      <sheetName val="7.3"/>
      <sheetName val="7.4"/>
      <sheetName val="7.5"/>
      <sheetName val="7.6"/>
      <sheetName val="7.7"/>
      <sheetName val="7.8"/>
      <sheetName val="7.9"/>
      <sheetName val="7.10"/>
      <sheetName val="7.11"/>
      <sheetName val="7.12"/>
      <sheetName val="7.13"/>
      <sheetName val="7.13 (2)"/>
      <sheetName val="7.14"/>
      <sheetName val="7.14 (2)"/>
      <sheetName val="7.15"/>
      <sheetName val="7.15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5 (bpk)"/>
      <sheetName val="7.1"/>
      <sheetName val="7.2"/>
      <sheetName val="7.3"/>
      <sheetName val="7.4"/>
      <sheetName val="7.5"/>
      <sheetName val="7.6"/>
      <sheetName val="7.7"/>
      <sheetName val="7.8"/>
      <sheetName val="7.9"/>
      <sheetName val="7.10"/>
      <sheetName val="7.11"/>
      <sheetName val="7.12"/>
      <sheetName val="7.13"/>
      <sheetName val="7.13 (2)"/>
      <sheetName val="7.14"/>
      <sheetName val="7.14 (2)"/>
      <sheetName val="7.15"/>
      <sheetName val="7.15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.10Johor"/>
      <sheetName val="5.10Kedah"/>
      <sheetName val="5.10Kelantan"/>
      <sheetName val="5.10Melaka"/>
      <sheetName val="5.10N.s"/>
      <sheetName val="5.10Pahang"/>
      <sheetName val="5.10Perak"/>
      <sheetName val="5.10Perlis,P.P"/>
      <sheetName val="5.10Sabah"/>
      <sheetName val="5.10Sabah(samb)"/>
      <sheetName val="5.10Sarawak"/>
      <sheetName val="5.10Sarawak(samb)"/>
      <sheetName val="5.10Selangor"/>
      <sheetName val="5.10T'ganu"/>
      <sheetName val="5.11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.10Johor"/>
      <sheetName val="5.10Kedah"/>
      <sheetName val="5.10Kelantan"/>
      <sheetName val="5.10Melaka"/>
      <sheetName val="5.10N.s"/>
      <sheetName val="5.10Pahang"/>
      <sheetName val="5.10Perak"/>
      <sheetName val="5.10Perlis,P.P"/>
      <sheetName val="5.10Sabah"/>
      <sheetName val="5.10Sabah(samb)"/>
      <sheetName val="5.10Sarawak"/>
      <sheetName val="5.10Sarawak(samb)"/>
      <sheetName val="5.10Selangor"/>
      <sheetName val="5.10T'ganu"/>
      <sheetName val="5.11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.1"/>
      <sheetName val="4.3"/>
      <sheetName val="4.4"/>
      <sheetName val="4.5"/>
      <sheetName val="4.6"/>
      <sheetName val="4.7"/>
      <sheetName val="4.7 samb"/>
      <sheetName val="4.8"/>
      <sheetName val="4.10"/>
      <sheetName val="4.9"/>
      <sheetName val="4.1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.1"/>
      <sheetName val="4.3"/>
      <sheetName val="4.4"/>
      <sheetName val="4.5"/>
      <sheetName val="4.6"/>
      <sheetName val="4.7"/>
      <sheetName val="4.7 samb"/>
      <sheetName val="4.8"/>
      <sheetName val="4.1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.1"/>
      <sheetName val="4.2"/>
      <sheetName val="4.3"/>
      <sheetName val="4.4"/>
      <sheetName val="4.5"/>
      <sheetName val="4.6"/>
      <sheetName val="4.7"/>
      <sheetName val="4.7samb"/>
      <sheetName val="4.9"/>
      <sheetName val="4.10"/>
      <sheetName val="4.11"/>
      <sheetName val="4.12"/>
      <sheetName val="4.13"/>
      <sheetName val="Sheet1"/>
      <sheetName val="4.8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.1"/>
      <sheetName val="4.2"/>
      <sheetName val="4.3"/>
      <sheetName val="4.4"/>
      <sheetName val="4.5"/>
      <sheetName val="4.6"/>
      <sheetName val="4.7"/>
      <sheetName val="4.7samb"/>
      <sheetName val="4.9"/>
      <sheetName val="4.10"/>
      <sheetName val="4.11"/>
      <sheetName val="4.12"/>
      <sheetName val="4.13"/>
      <sheetName val="Sheet1"/>
      <sheetName val="4.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.1"/>
      <sheetName val="4.3"/>
      <sheetName val="4.4"/>
      <sheetName val="4.5"/>
      <sheetName val="4.6"/>
      <sheetName val="4.7"/>
      <sheetName val="4.7 samb"/>
      <sheetName val="4.8"/>
      <sheetName val="4.10"/>
      <sheetName val="5.11"/>
      <sheetName val="7.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.1"/>
      <sheetName val="4.3"/>
      <sheetName val="4.4"/>
      <sheetName val="4.5"/>
      <sheetName val="4.6"/>
      <sheetName val="4.7"/>
      <sheetName val="4.7 samb"/>
      <sheetName val="4.8"/>
      <sheetName val="4.10"/>
      <sheetName val="5.11"/>
      <sheetName val="4.9"/>
      <sheetName val="7.6"/>
      <sheetName val="VA_CONSTANT"/>
      <sheetName val="re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7.1"/>
      <sheetName val="7.2 "/>
      <sheetName val="7.3"/>
      <sheetName val="7.4"/>
      <sheetName val="7.5"/>
      <sheetName val="7.6"/>
      <sheetName val="7.7"/>
      <sheetName val="4.9"/>
      <sheetName val="4.3"/>
      <sheetName val="4.8"/>
      <sheetName val="Sheet1"/>
    </sheetNames>
    <sheetDataSet>
      <sheetData sheetId="0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7.1"/>
      <sheetName val="7.2 "/>
      <sheetName val="7.3"/>
      <sheetName val="7.4"/>
      <sheetName val="7.5"/>
      <sheetName val="7.6"/>
      <sheetName val="7.7"/>
      <sheetName val="4.9"/>
      <sheetName val="4.3"/>
      <sheetName val="4.8"/>
      <sheetName val="VA_CONSTANT"/>
      <sheetName val="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VA-curr"/>
      <sheetName val="VA-cons"/>
      <sheetName val="VA_CONSTANT"/>
      <sheetName val="ref"/>
      <sheetName val="Tbl1_Msia"/>
      <sheetName val="Tbl3_05"/>
      <sheetName val="Tbl5_06"/>
      <sheetName val="Tbl7_06"/>
      <sheetName val="Tbl8_07"/>
      <sheetName val="Tbl10_07"/>
      <sheetName val="Tbl11_08"/>
      <sheetName val="Tbl13_08"/>
      <sheetName val="Tbl14_09"/>
      <sheetName val="Tbl16_09"/>
      <sheetName val="Tbl17_10"/>
      <sheetName val="Tbl19_10"/>
      <sheetName val="Tbl20_11"/>
      <sheetName val="Tbl22_11"/>
      <sheetName val="Tbl23_12"/>
      <sheetName val="Tbl25_12"/>
      <sheetName val="Tbl26_13"/>
      <sheetName val="Tbl28_13"/>
      <sheetName val="Tbl29_Curr&amp;perCapita"/>
      <sheetName val="JHR"/>
      <sheetName val="KDH"/>
      <sheetName val="KLTN"/>
      <sheetName val="MLK"/>
      <sheetName val="N9"/>
      <sheetName val="PHG"/>
      <sheetName val="PP"/>
      <sheetName val="PRK"/>
      <sheetName val="PRLS"/>
      <sheetName val="SLGR"/>
      <sheetName val="TRGN"/>
      <sheetName val="SBH"/>
      <sheetName val="SRWK"/>
      <sheetName val="WPKL"/>
      <sheetName val="WPL"/>
      <sheetName val="Sheet2"/>
      <sheetName val="Sheet3"/>
      <sheetName val="Sheet6"/>
      <sheetName val="Sheet4"/>
      <sheetName val="Sheet4 (2)"/>
      <sheetName val="Sheet5"/>
      <sheetName val="Sheet7"/>
      <sheetName val="7.6"/>
      <sheetName val="4.9"/>
      <sheetName val="4.3"/>
      <sheetName val="4.8"/>
    </sheetNames>
    <sheetDataSet>
      <sheetData sheetId="0"/>
      <sheetData sheetId="1"/>
      <sheetData sheetId="2"/>
      <sheetData sheetId="3">
        <row r="1">
          <cell r="C1" t="str">
            <v>agri</v>
          </cell>
          <cell r="D1" t="str">
            <v>a1</v>
          </cell>
          <cell r="E1" t="str">
            <v>a2</v>
          </cell>
          <cell r="F1" t="str">
            <v>a3</v>
          </cell>
          <cell r="I1" t="str">
            <v>mq</v>
          </cell>
          <cell r="J1" t="str">
            <v>mfg</v>
          </cell>
          <cell r="R1" t="str">
            <v>c</v>
          </cell>
          <cell r="S1" t="str">
            <v>svs</v>
          </cell>
          <cell r="T1" t="str">
            <v>s1</v>
          </cell>
          <cell r="U1" t="str">
            <v>s2</v>
          </cell>
          <cell r="V1" t="str">
            <v>s3</v>
          </cell>
          <cell r="W1" t="str">
            <v>s4</v>
          </cell>
          <cell r="X1" t="str">
            <v>s5</v>
          </cell>
          <cell r="Y1" t="str">
            <v>di</v>
          </cell>
        </row>
        <row r="2">
          <cell r="A2" t="str">
            <v>CONSTANT</v>
          </cell>
          <cell r="B2" t="str">
            <v>Industry</v>
          </cell>
          <cell r="D2">
            <v>1</v>
          </cell>
          <cell r="E2">
            <v>2</v>
          </cell>
          <cell r="F2">
            <v>3</v>
          </cell>
          <cell r="I2">
            <v>4</v>
          </cell>
          <cell r="K2">
            <v>6</v>
          </cell>
          <cell r="L2">
            <v>7</v>
          </cell>
          <cell r="M2">
            <v>8</v>
          </cell>
          <cell r="N2">
            <v>9</v>
          </cell>
          <cell r="O2">
            <v>10</v>
          </cell>
          <cell r="P2">
            <v>11</v>
          </cell>
          <cell r="Q2">
            <v>12</v>
          </cell>
          <cell r="R2">
            <v>5</v>
          </cell>
          <cell r="T2">
            <v>13</v>
          </cell>
          <cell r="U2">
            <v>14</v>
          </cell>
          <cell r="V2">
            <v>15</v>
          </cell>
          <cell r="W2">
            <v>16</v>
          </cell>
        </row>
        <row r="3">
          <cell r="A3">
            <v>2005</v>
          </cell>
          <cell r="B3" t="str">
            <v>I</v>
          </cell>
          <cell r="C3" t="str">
            <v>Agriculture</v>
          </cell>
          <cell r="D3" t="str">
            <v>Tanaman</v>
          </cell>
          <cell r="E3" t="str">
            <v>Pembalakan</v>
          </cell>
          <cell r="F3" t="str">
            <v>Perikanan</v>
          </cell>
          <cell r="I3" t="str">
            <v>Mining and
Quarrying</v>
          </cell>
          <cell r="J3" t="str">
            <v>Manufacturing</v>
          </cell>
          <cell r="K3" t="str">
            <v>Prosesan Makanan, Minuman dan Produk Tembakau</v>
          </cell>
          <cell r="L3" t="str">
            <v>Tekstil, Pakaian, Kulit dan Kasut</v>
          </cell>
          <cell r="M3" t="str">
            <v>Keluaran Kayu, Perabot, Produk Kertas, Percetakan dan Penerbitan</v>
          </cell>
          <cell r="N3" t="str">
            <v>Produk Petroleum, Bahan kimia, Getah dan Plastik</v>
          </cell>
          <cell r="O3" t="str">
            <v>Produk Mineral Bukan Logam, Logam Asli dan Produk Logam Yang Direka</v>
          </cell>
          <cell r="P3" t="str">
            <v>Elektrik dan Elektronik</v>
          </cell>
          <cell r="Q3" t="str">
            <v>Kelengkapan Pengangkutan dan Pembuatan Lain</v>
          </cell>
          <cell r="R3" t="str">
            <v>Construction</v>
          </cell>
          <cell r="S3" t="str">
            <v>Services</v>
          </cell>
          <cell r="T3" t="str">
            <v>Utiliti, Transport &amp; Communication</v>
          </cell>
          <cell r="U3" t="str">
            <v>WRT, Accomm &amp; Restaurant</v>
          </cell>
          <cell r="V3" t="str">
            <v>Finance &amp; Insurance, Real Estate &amp; Business Services</v>
          </cell>
          <cell r="W3" t="str">
            <v>Other Services</v>
          </cell>
          <cell r="X3" t="str">
            <v>Government Services</v>
          </cell>
          <cell r="Y3" t="str">
            <v>Plus :
Import Duties</v>
          </cell>
          <cell r="Z3" t="str">
            <v>GDP at
Purchasers' Prices</v>
          </cell>
        </row>
        <row r="4">
          <cell r="A4" t="str">
            <v>States</v>
          </cell>
          <cell r="B4" t="str">
            <v>Converter</v>
          </cell>
        </row>
        <row r="5">
          <cell r="A5" t="str">
            <v>Johor</v>
          </cell>
          <cell r="B5" t="str">
            <v>01</v>
          </cell>
          <cell r="C5">
            <v>6188.6869740789298</v>
          </cell>
          <cell r="D5">
            <v>5669.7259013497996</v>
          </cell>
          <cell r="E5">
            <v>45.404660919470203</v>
          </cell>
          <cell r="F5">
            <v>473.55641180965398</v>
          </cell>
          <cell r="I5">
            <v>50.620516345188399</v>
          </cell>
          <cell r="J5">
            <v>19313.560805921999</v>
          </cell>
          <cell r="K5">
            <v>1888.2624376276301</v>
          </cell>
          <cell r="L5">
            <v>1149.0903681325999</v>
          </cell>
          <cell r="M5">
            <v>1714.3932465764999</v>
          </cell>
          <cell r="N5">
            <v>2991.2672766727201</v>
          </cell>
          <cell r="O5">
            <v>2006.31809600568</v>
          </cell>
          <cell r="P5">
            <v>8059.1865180237201</v>
          </cell>
          <cell r="Q5">
            <v>1505.0428628831401</v>
          </cell>
          <cell r="R5">
            <v>1670.54664818574</v>
          </cell>
          <cell r="S5">
            <v>22105.495280909901</v>
          </cell>
          <cell r="T5">
            <v>5121.6287950521801</v>
          </cell>
          <cell r="U5">
            <v>4738.8112307610199</v>
          </cell>
          <cell r="V5">
            <v>6491.4735762118498</v>
          </cell>
          <cell r="W5">
            <v>2496.7540465810398</v>
          </cell>
          <cell r="X5">
            <v>3256.8276323038199</v>
          </cell>
          <cell r="Y5">
            <v>728.65346871345605</v>
          </cell>
          <cell r="Z5">
            <v>50057.5636941552</v>
          </cell>
        </row>
        <row r="6">
          <cell r="A6" t="str">
            <v>Kedah</v>
          </cell>
          <cell r="B6" t="str">
            <v>02</v>
          </cell>
          <cell r="C6">
            <v>2205.86141292909</v>
          </cell>
          <cell r="D6">
            <v>1914.1195857136699</v>
          </cell>
          <cell r="E6">
            <v>48.185576857368801</v>
          </cell>
          <cell r="F6">
            <v>243.55625035804999</v>
          </cell>
          <cell r="I6">
            <v>16.798627679947501</v>
          </cell>
          <cell r="J6">
            <v>6439.0935720568305</v>
          </cell>
          <cell r="K6">
            <v>281.20731449561799</v>
          </cell>
          <cell r="L6">
            <v>96.930988138971202</v>
          </cell>
          <cell r="M6">
            <v>440.53144658206003</v>
          </cell>
          <cell r="N6">
            <v>1243.63644861429</v>
          </cell>
          <cell r="O6">
            <v>1069.4520876377201</v>
          </cell>
          <cell r="P6">
            <v>2468.58309146803</v>
          </cell>
          <cell r="Q6">
            <v>838.75219512014905</v>
          </cell>
          <cell r="R6">
            <v>479.920265520209</v>
          </cell>
          <cell r="S6">
            <v>8577.0303768635804</v>
          </cell>
          <cell r="T6">
            <v>1286.23198685443</v>
          </cell>
          <cell r="U6">
            <v>2023.71962814313</v>
          </cell>
          <cell r="V6">
            <v>1562.0316095077601</v>
          </cell>
          <cell r="W6">
            <v>1614.1054910212999</v>
          </cell>
          <cell r="X6">
            <v>2090.9416613369599</v>
          </cell>
          <cell r="Y6">
            <v>109.9703374261</v>
          </cell>
          <cell r="Z6">
            <v>17828.6745924758</v>
          </cell>
        </row>
        <row r="7">
          <cell r="A7" t="str">
            <v>Kelantan</v>
          </cell>
          <cell r="B7" t="str">
            <v>03</v>
          </cell>
          <cell r="C7">
            <v>2344.5991933385599</v>
          </cell>
          <cell r="D7">
            <v>1883.75251168818</v>
          </cell>
          <cell r="E7">
            <v>292.99724383027001</v>
          </cell>
          <cell r="F7">
            <v>167.84943782010399</v>
          </cell>
          <cell r="I7">
            <v>16.786386316163199</v>
          </cell>
          <cell r="J7">
            <v>546.021104581906</v>
          </cell>
          <cell r="K7">
            <v>133.716111525911</v>
          </cell>
          <cell r="L7">
            <v>82.117642096891799</v>
          </cell>
          <cell r="M7">
            <v>99.548580440402105</v>
          </cell>
          <cell r="N7">
            <v>77.427332457531506</v>
          </cell>
          <cell r="O7">
            <v>34.503208304897598</v>
          </cell>
          <cell r="P7">
            <v>114.890064756613</v>
          </cell>
          <cell r="Q7">
            <v>3.8181649996589799</v>
          </cell>
          <cell r="R7">
            <v>177.04286407597399</v>
          </cell>
          <cell r="S7">
            <v>5935.6247485070598</v>
          </cell>
          <cell r="T7">
            <v>723.53971458984802</v>
          </cell>
          <cell r="U7">
            <v>1624.3435341894599</v>
          </cell>
          <cell r="V7">
            <v>647.72293706302503</v>
          </cell>
          <cell r="W7">
            <v>1141.9703719863901</v>
          </cell>
          <cell r="X7">
            <v>1798.04819067834</v>
          </cell>
          <cell r="Y7">
            <v>11.1525705205711</v>
          </cell>
          <cell r="Z7">
            <v>9031.2268673402305</v>
          </cell>
        </row>
        <row r="8">
          <cell r="A8" t="str">
            <v>Melaka</v>
          </cell>
          <cell r="B8" t="str">
            <v>04</v>
          </cell>
          <cell r="C8">
            <v>813.34341062993201</v>
          </cell>
          <cell r="D8">
            <v>799.24648329818001</v>
          </cell>
          <cell r="E8">
            <v>4.0672606939171997E-2</v>
          </cell>
          <cell r="F8">
            <v>14.0562547248129</v>
          </cell>
          <cell r="I8">
            <v>7.9443777633508503</v>
          </cell>
          <cell r="J8">
            <v>7593.5701683297902</v>
          </cell>
          <cell r="K8">
            <v>229.645071173025</v>
          </cell>
          <cell r="L8">
            <v>98.459729658165202</v>
          </cell>
          <cell r="M8">
            <v>411.14213293316999</v>
          </cell>
          <cell r="N8">
            <v>2862.92900939939</v>
          </cell>
          <cell r="O8">
            <v>611.91226312907202</v>
          </cell>
          <cell r="P8">
            <v>2167.05771523879</v>
          </cell>
          <cell r="Q8">
            <v>1212.4242467981801</v>
          </cell>
          <cell r="R8">
            <v>340.14170407848502</v>
          </cell>
          <cell r="S8">
            <v>6281.4052104497096</v>
          </cell>
          <cell r="T8">
            <v>1256.6868027578</v>
          </cell>
          <cell r="U8">
            <v>1861.2386838883499</v>
          </cell>
          <cell r="V8">
            <v>1276.8413914809501</v>
          </cell>
          <cell r="W8">
            <v>959.94229629765505</v>
          </cell>
          <cell r="X8">
            <v>926.69603602494703</v>
          </cell>
          <cell r="Y8">
            <v>12.647305123930799</v>
          </cell>
          <cell r="Z8">
            <v>15049.0521763752</v>
          </cell>
        </row>
        <row r="9">
          <cell r="A9" t="str">
            <v>Negeri Sembilan</v>
          </cell>
          <cell r="B9" t="str">
            <v>05</v>
          </cell>
          <cell r="C9">
            <v>1638.4824392743301</v>
          </cell>
          <cell r="D9">
            <v>1577.11907276651</v>
          </cell>
          <cell r="E9">
            <v>36.968810853014197</v>
          </cell>
          <cell r="F9">
            <v>24.394555654808499</v>
          </cell>
          <cell r="I9">
            <v>17.8073562157117</v>
          </cell>
          <cell r="J9">
            <v>10528.084675726601</v>
          </cell>
          <cell r="K9">
            <v>1056.1793738148799</v>
          </cell>
          <cell r="L9">
            <v>396.31895420225999</v>
          </cell>
          <cell r="M9">
            <v>371.14684069650701</v>
          </cell>
          <cell r="N9">
            <v>2262.04761504506</v>
          </cell>
          <cell r="O9">
            <v>723.17558514235202</v>
          </cell>
          <cell r="P9">
            <v>4681.3968444028596</v>
          </cell>
          <cell r="Q9">
            <v>1037.8194624227001</v>
          </cell>
          <cell r="R9">
            <v>411.71665288432098</v>
          </cell>
          <cell r="S9">
            <v>7045.2758865559599</v>
          </cell>
          <cell r="T9">
            <v>1564.2072475928301</v>
          </cell>
          <cell r="U9">
            <v>1685.5216305358299</v>
          </cell>
          <cell r="V9">
            <v>1465.2132277160799</v>
          </cell>
          <cell r="W9">
            <v>1045.59591398047</v>
          </cell>
          <cell r="X9">
            <v>1284.7378667307601</v>
          </cell>
          <cell r="Y9">
            <v>94.643394910766901</v>
          </cell>
          <cell r="Z9">
            <v>19736.0104055677</v>
          </cell>
        </row>
        <row r="10">
          <cell r="A10" t="str">
            <v>Pahang</v>
          </cell>
          <cell r="B10" t="str">
            <v>06</v>
          </cell>
          <cell r="C10">
            <v>5408.1524182366702</v>
          </cell>
          <cell r="D10">
            <v>4247.9775913840704</v>
          </cell>
          <cell r="E10">
            <v>700.02655418262998</v>
          </cell>
          <cell r="F10">
            <v>460.14827266996701</v>
          </cell>
          <cell r="I10">
            <v>100.97265852557599</v>
          </cell>
          <cell r="J10">
            <v>6422.5911004641202</v>
          </cell>
          <cell r="K10">
            <v>496.46787956383002</v>
          </cell>
          <cell r="L10">
            <v>17.898124393975099</v>
          </cell>
          <cell r="M10">
            <v>571.63532464968898</v>
          </cell>
          <cell r="N10">
            <v>3138.7165912176501</v>
          </cell>
          <cell r="O10">
            <v>579.36037098090799</v>
          </cell>
          <cell r="P10">
            <v>155.79759004910699</v>
          </cell>
          <cell r="Q10">
            <v>1462.7152196089601</v>
          </cell>
          <cell r="R10">
            <v>575.26311602041301</v>
          </cell>
          <cell r="S10">
            <v>10514.660589892301</v>
          </cell>
          <cell r="T10">
            <v>1182.4679888487699</v>
          </cell>
          <cell r="U10">
            <v>3212.7132296569698</v>
          </cell>
          <cell r="V10">
            <v>1370.6219651210999</v>
          </cell>
          <cell r="W10">
            <v>2811.54899205008</v>
          </cell>
          <cell r="X10">
            <v>1937.30841421541</v>
          </cell>
          <cell r="Y10">
            <v>39.701491019977198</v>
          </cell>
          <cell r="Z10">
            <v>23061.341374159099</v>
          </cell>
        </row>
        <row r="11">
          <cell r="A11" t="str">
            <v>Pulau Pinang</v>
          </cell>
          <cell r="B11" t="str">
            <v>07</v>
          </cell>
          <cell r="C11">
            <v>633.88290365591899</v>
          </cell>
          <cell r="D11">
            <v>486.018817116371</v>
          </cell>
          <cell r="E11">
            <v>0</v>
          </cell>
          <cell r="F11">
            <v>147.86408653954899</v>
          </cell>
          <cell r="I11">
            <v>17.481763989479099</v>
          </cell>
          <cell r="J11">
            <v>21249.074678795201</v>
          </cell>
          <cell r="K11">
            <v>593.55731447201003</v>
          </cell>
          <cell r="L11">
            <v>586.91874447794896</v>
          </cell>
          <cell r="M11">
            <v>620.24819278525695</v>
          </cell>
          <cell r="N11">
            <v>1660.50973175387</v>
          </cell>
          <cell r="O11">
            <v>1319.6283323750499</v>
          </cell>
          <cell r="P11">
            <v>15385.732970271099</v>
          </cell>
          <cell r="Q11">
            <v>1082.4793926599</v>
          </cell>
          <cell r="R11">
            <v>844.03512199132797</v>
          </cell>
          <cell r="S11">
            <v>16137.5740257668</v>
          </cell>
          <cell r="T11">
            <v>3422.52377358782</v>
          </cell>
          <cell r="U11">
            <v>4377.50240669906</v>
          </cell>
          <cell r="V11">
            <v>4705.9583963055902</v>
          </cell>
          <cell r="W11">
            <v>1743.76443271893</v>
          </cell>
          <cell r="X11">
            <v>1887.8250164554099</v>
          </cell>
          <cell r="Y11">
            <v>303.93796150801199</v>
          </cell>
          <cell r="Z11">
            <v>39185.986455706698</v>
          </cell>
        </row>
        <row r="12">
          <cell r="A12" t="str">
            <v>Perak</v>
          </cell>
          <cell r="B12" t="str">
            <v>08</v>
          </cell>
          <cell r="C12">
            <v>4685.9803496023796</v>
          </cell>
          <cell r="D12">
            <v>3298.0502540899201</v>
          </cell>
          <cell r="E12">
            <v>406.45567201757098</v>
          </cell>
          <cell r="F12">
            <v>981.47442349488597</v>
          </cell>
          <cell r="I12">
            <v>91.091266776845004</v>
          </cell>
          <cell r="J12">
            <v>5548.31659775966</v>
          </cell>
          <cell r="K12">
            <v>765.12245350003798</v>
          </cell>
          <cell r="L12">
            <v>265.726435190225</v>
          </cell>
          <cell r="M12">
            <v>338.617127108055</v>
          </cell>
          <cell r="N12">
            <v>1389.44580012133</v>
          </cell>
          <cell r="O12">
            <v>1099.7346644869101</v>
          </cell>
          <cell r="P12">
            <v>1503.72828676476</v>
          </cell>
          <cell r="Q12">
            <v>185.94183058834599</v>
          </cell>
          <cell r="R12">
            <v>703.66473522178899</v>
          </cell>
          <cell r="S12">
            <v>16636.6462646972</v>
          </cell>
          <cell r="T12">
            <v>5265.6380011209203</v>
          </cell>
          <cell r="U12">
            <v>3383.9586427775098</v>
          </cell>
          <cell r="V12">
            <v>2990.64760046632</v>
          </cell>
          <cell r="W12">
            <v>2275.7173696558698</v>
          </cell>
          <cell r="X12">
            <v>2720.6846506766201</v>
          </cell>
          <cell r="Y12">
            <v>67.206208322212206</v>
          </cell>
          <cell r="Z12">
            <v>27732.905422380099</v>
          </cell>
        </row>
        <row r="13">
          <cell r="A13" t="str">
            <v>Perlis</v>
          </cell>
          <cell r="B13" t="str">
            <v>09</v>
          </cell>
          <cell r="C13">
            <v>725.89663866670503</v>
          </cell>
          <cell r="D13">
            <v>278.91880025355698</v>
          </cell>
          <cell r="E13">
            <v>0</v>
          </cell>
          <cell r="F13">
            <v>446.97783841314799</v>
          </cell>
          <cell r="I13">
            <v>6.9470361339644002</v>
          </cell>
          <cell r="J13">
            <v>351.52005627757399</v>
          </cell>
          <cell r="K13">
            <v>44.269024490114496</v>
          </cell>
          <cell r="L13">
            <v>60.578535001281097</v>
          </cell>
          <cell r="M13">
            <v>6.5541373030035297</v>
          </cell>
          <cell r="N13">
            <v>168.24860846190299</v>
          </cell>
          <cell r="O13">
            <v>70.705771288334802</v>
          </cell>
          <cell r="P13">
            <v>0.92189678059466695</v>
          </cell>
          <cell r="Q13">
            <v>0.24208295234268001</v>
          </cell>
          <cell r="R13">
            <v>103.337365275102</v>
          </cell>
          <cell r="S13">
            <v>1525.83336834177</v>
          </cell>
          <cell r="T13">
            <v>546.75645965767706</v>
          </cell>
          <cell r="U13">
            <v>180.331110330911</v>
          </cell>
          <cell r="V13">
            <v>185.90757136182501</v>
          </cell>
          <cell r="W13">
            <v>220.28500223045799</v>
          </cell>
          <cell r="X13">
            <v>392.55322476089799</v>
          </cell>
          <cell r="Y13">
            <v>131.38239279555199</v>
          </cell>
          <cell r="Z13">
            <v>2844.9168574906698</v>
          </cell>
        </row>
        <row r="14">
          <cell r="A14" t="str">
            <v>Selangor</v>
          </cell>
          <cell r="B14">
            <v>10</v>
          </cell>
          <cell r="C14">
            <v>1700.94850627546</v>
          </cell>
          <cell r="D14">
            <v>1249.83756190091</v>
          </cell>
          <cell r="E14">
            <v>16.9925384062762</v>
          </cell>
          <cell r="F14">
            <v>434.11840596827602</v>
          </cell>
          <cell r="I14">
            <v>110.675543265549</v>
          </cell>
          <cell r="J14">
            <v>41647.757199532098</v>
          </cell>
          <cell r="K14">
            <v>5731.0679308809504</v>
          </cell>
          <cell r="L14">
            <v>380.54330017951997</v>
          </cell>
          <cell r="M14">
            <v>2421.2223443857401</v>
          </cell>
          <cell r="N14">
            <v>4938.7307381500304</v>
          </cell>
          <cell r="O14">
            <v>4365.0052055072902</v>
          </cell>
          <cell r="P14">
            <v>12415.9563022166</v>
          </cell>
          <cell r="Q14">
            <v>11395.231378212</v>
          </cell>
          <cell r="R14">
            <v>5046.5629932728398</v>
          </cell>
          <cell r="S14">
            <v>60916.670571898598</v>
          </cell>
          <cell r="T14">
            <v>16201.6721678055</v>
          </cell>
          <cell r="U14">
            <v>20229.6977731402</v>
          </cell>
          <cell r="V14">
            <v>14073.437855992701</v>
          </cell>
          <cell r="W14">
            <v>5684.9188574445898</v>
          </cell>
          <cell r="X14">
            <v>4726.9439175156504</v>
          </cell>
          <cell r="Y14">
            <v>3762.1254486965399</v>
          </cell>
          <cell r="Z14">
            <v>113184.74026294101</v>
          </cell>
        </row>
        <row r="15">
          <cell r="A15" t="str">
            <v>Terengganu</v>
          </cell>
          <cell r="B15">
            <v>11</v>
          </cell>
          <cell r="C15">
            <v>1565.5290648018599</v>
          </cell>
          <cell r="D15">
            <v>1073.6706009096399</v>
          </cell>
          <cell r="E15">
            <v>153.17327892166099</v>
          </cell>
          <cell r="F15">
            <v>338.68518497056101</v>
          </cell>
          <cell r="I15">
            <v>10.4755656271611</v>
          </cell>
          <cell r="J15">
            <v>6476.2641170741999</v>
          </cell>
          <cell r="K15">
            <v>97.305363964005096</v>
          </cell>
          <cell r="L15">
            <v>27.908073639538699</v>
          </cell>
          <cell r="M15">
            <v>145.959550427875</v>
          </cell>
          <cell r="N15">
            <v>5737.3221183033302</v>
          </cell>
          <cell r="O15">
            <v>399.11324204521202</v>
          </cell>
          <cell r="P15">
            <v>5.0954298774075903</v>
          </cell>
          <cell r="Q15">
            <v>63.560338816834197</v>
          </cell>
          <cell r="R15">
            <v>413.540567422283</v>
          </cell>
          <cell r="S15">
            <v>7087.1959635036601</v>
          </cell>
          <cell r="T15">
            <v>2938.6086555571401</v>
          </cell>
          <cell r="U15">
            <v>1189.81752500624</v>
          </cell>
          <cell r="V15">
            <v>544.83815395728197</v>
          </cell>
          <cell r="W15">
            <v>762.75474874239501</v>
          </cell>
          <cell r="X15">
            <v>1651.1768802406</v>
          </cell>
          <cell r="Y15">
            <v>9.2395649206271493</v>
          </cell>
          <cell r="Z15">
            <v>15562.244843349799</v>
          </cell>
        </row>
        <row r="16">
          <cell r="A16" t="str">
            <v>Sabah</v>
          </cell>
          <cell r="B16">
            <v>12</v>
          </cell>
          <cell r="C16">
            <v>9647.3803529176894</v>
          </cell>
          <cell r="D16">
            <v>6318.3875139191196</v>
          </cell>
          <cell r="E16">
            <v>2265.7688590278499</v>
          </cell>
          <cell r="F16">
            <v>1063.2239799707199</v>
          </cell>
          <cell r="I16">
            <v>5132.6603951794996</v>
          </cell>
          <cell r="J16">
            <v>3148.6969028643598</v>
          </cell>
          <cell r="K16">
            <v>1760.7973808909701</v>
          </cell>
          <cell r="L16">
            <v>25.268410039433601</v>
          </cell>
          <cell r="M16">
            <v>910.40826712844898</v>
          </cell>
          <cell r="N16">
            <v>110.404578133225</v>
          </cell>
          <cell r="O16">
            <v>190.22212738276301</v>
          </cell>
          <cell r="P16">
            <v>5.9322727378743503</v>
          </cell>
          <cell r="Q16">
            <v>145.66386655164101</v>
          </cell>
          <cell r="R16">
            <v>950.17214652152404</v>
          </cell>
          <cell r="S16">
            <v>13421.123082458</v>
          </cell>
          <cell r="T16">
            <v>2601.18674242421</v>
          </cell>
          <cell r="U16">
            <v>3787.1510727289601</v>
          </cell>
          <cell r="V16">
            <v>2791.7752197510199</v>
          </cell>
          <cell r="W16">
            <v>1439.16800893804</v>
          </cell>
          <cell r="X16">
            <v>2801.84203861574</v>
          </cell>
          <cell r="Y16">
            <v>126.63967503849101</v>
          </cell>
          <cell r="Z16">
            <v>32426.672554979501</v>
          </cell>
        </row>
        <row r="17">
          <cell r="A17" t="str">
            <v>Sarawak</v>
          </cell>
          <cell r="B17">
            <v>13</v>
          </cell>
          <cell r="C17">
            <v>7277.5600092764498</v>
          </cell>
          <cell r="D17">
            <v>2688.1252017148199</v>
          </cell>
          <cell r="E17">
            <v>3980.5306111598502</v>
          </cell>
          <cell r="F17">
            <v>608.904196401783</v>
          </cell>
          <cell r="I17">
            <v>15492.7551275153</v>
          </cell>
          <cell r="J17">
            <v>15986.7967793149</v>
          </cell>
          <cell r="K17">
            <v>577.80423886552705</v>
          </cell>
          <cell r="L17">
            <v>18.816444659134401</v>
          </cell>
          <cell r="M17">
            <v>1591.1434893918499</v>
          </cell>
          <cell r="N17">
            <v>12491.029111321701</v>
          </cell>
          <cell r="O17">
            <v>465.65915069333499</v>
          </cell>
          <cell r="P17">
            <v>610.89899601884804</v>
          </cell>
          <cell r="Q17">
            <v>231.44534836451899</v>
          </cell>
          <cell r="R17">
            <v>1368.2228298833199</v>
          </cell>
          <cell r="S17">
            <v>17345.898143881801</v>
          </cell>
          <cell r="T17">
            <v>4159.0955870482303</v>
          </cell>
          <cell r="U17">
            <v>4254.8856685601104</v>
          </cell>
          <cell r="V17">
            <v>4220.5458403617604</v>
          </cell>
          <cell r="W17">
            <v>1900.1070644228801</v>
          </cell>
          <cell r="X17">
            <v>2811.26398348885</v>
          </cell>
          <cell r="Y17">
            <v>229.13657208042</v>
          </cell>
          <cell r="Z17">
            <v>57700.369461952301</v>
          </cell>
        </row>
        <row r="18">
          <cell r="A18" t="str">
            <v>WP Kuala Lumpur</v>
          </cell>
          <cell r="B18">
            <v>14</v>
          </cell>
          <cell r="C18">
            <v>2.1689198892843402</v>
          </cell>
          <cell r="D18">
            <v>2.1689198892843402</v>
          </cell>
          <cell r="E18">
            <v>0</v>
          </cell>
          <cell r="F18">
            <v>0</v>
          </cell>
          <cell r="I18">
            <v>24.8085170014017</v>
          </cell>
          <cell r="J18">
            <v>3907.8977998006098</v>
          </cell>
          <cell r="K18">
            <v>460.74423564599903</v>
          </cell>
          <cell r="L18">
            <v>295.220099718342</v>
          </cell>
          <cell r="M18">
            <v>1056.44641275192</v>
          </cell>
          <cell r="N18">
            <v>577.84337992862697</v>
          </cell>
          <cell r="O18">
            <v>462.74103243345598</v>
          </cell>
          <cell r="P18">
            <v>482.255021393606</v>
          </cell>
          <cell r="Q18">
            <v>572.64761792866295</v>
          </cell>
          <cell r="R18">
            <v>2998.0714186278701</v>
          </cell>
          <cell r="S18">
            <v>59372.634297558601</v>
          </cell>
          <cell r="T18">
            <v>4062.56745868399</v>
          </cell>
          <cell r="U18">
            <v>21923.565608608798</v>
          </cell>
          <cell r="V18">
            <v>22714.2177897578</v>
          </cell>
          <cell r="W18">
            <v>3342.8796808709599</v>
          </cell>
          <cell r="X18">
            <v>7329.4037596370499</v>
          </cell>
          <cell r="Y18">
            <v>711.37331333309896</v>
          </cell>
          <cell r="Z18">
            <v>67016.954266210902</v>
          </cell>
        </row>
        <row r="19">
          <cell r="A19" t="str">
            <v>WP Labuan</v>
          </cell>
          <cell r="B19">
            <v>15</v>
          </cell>
          <cell r="C19">
            <v>73.771698700430406</v>
          </cell>
          <cell r="D19">
            <v>6.79363146008754</v>
          </cell>
          <cell r="E19">
            <v>0</v>
          </cell>
          <cell r="F19">
            <v>66.978067240342796</v>
          </cell>
          <cell r="I19">
            <v>0</v>
          </cell>
          <cell r="J19">
            <v>595.108748200533</v>
          </cell>
          <cell r="K19">
            <v>24.0042477805912</v>
          </cell>
          <cell r="L19">
            <v>2.2342777848289801</v>
          </cell>
          <cell r="M19">
            <v>1.57515183952991</v>
          </cell>
          <cell r="N19">
            <v>468.53098511556101</v>
          </cell>
          <cell r="O19">
            <v>90.166862587020205</v>
          </cell>
          <cell r="P19">
            <v>0</v>
          </cell>
          <cell r="Q19">
            <v>8.5972230930015403</v>
          </cell>
          <cell r="R19">
            <v>24.3120582451525</v>
          </cell>
          <cell r="S19">
            <v>1419.04543309839</v>
          </cell>
          <cell r="T19">
            <v>176.82434864987599</v>
          </cell>
          <cell r="U19">
            <v>168.241821884486</v>
          </cell>
          <cell r="V19">
            <v>973.75818969116494</v>
          </cell>
          <cell r="W19">
            <v>60.281927196105002</v>
          </cell>
          <cell r="X19">
            <v>39.939145676755501</v>
          </cell>
          <cell r="Y19">
            <v>33.8454851802448</v>
          </cell>
          <cell r="Z19">
            <v>2146.08342342475</v>
          </cell>
        </row>
        <row r="20">
          <cell r="A20" t="str">
            <v>Supra1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I20">
            <v>51013.064607915097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51013.064607915097</v>
          </cell>
        </row>
        <row r="21">
          <cell r="A21" t="str">
            <v>MALAYSIA</v>
          </cell>
          <cell r="C21">
            <v>44912.244292273703</v>
          </cell>
          <cell r="D21">
            <v>31493.912447454099</v>
          </cell>
          <cell r="E21">
            <v>7946.5444787829001</v>
          </cell>
          <cell r="F21">
            <v>5471.7873660366604</v>
          </cell>
          <cell r="I21">
            <v>72110.889746250294</v>
          </cell>
          <cell r="J21">
            <v>149754.3543067</v>
          </cell>
          <cell r="K21">
            <v>14140.1503786911</v>
          </cell>
          <cell r="L21">
            <v>3504.0301273131199</v>
          </cell>
          <cell r="M21">
            <v>10700.572244999999</v>
          </cell>
          <cell r="N21">
            <v>40118.0893246962</v>
          </cell>
          <cell r="O21">
            <v>13487.698</v>
          </cell>
          <cell r="P21">
            <v>48057.432999999997</v>
          </cell>
          <cell r="Q21">
            <v>19746.381230999999</v>
          </cell>
          <cell r="R21">
            <v>16106.550487226301</v>
          </cell>
          <cell r="S21">
            <v>254322.11324438301</v>
          </cell>
          <cell r="T21">
            <v>50509.635730231297</v>
          </cell>
          <cell r="U21">
            <v>74641.499566911007</v>
          </cell>
          <cell r="V21">
            <v>66014.991324746195</v>
          </cell>
          <cell r="W21">
            <v>27499.794204137201</v>
          </cell>
          <cell r="X21">
            <v>35656.192418357801</v>
          </cell>
          <cell r="Y21">
            <v>6371.6551895900002</v>
          </cell>
          <cell r="Z21">
            <v>543577.80726642394</v>
          </cell>
        </row>
        <row r="24">
          <cell r="A24" t="str">
            <v>CONSTANT</v>
          </cell>
          <cell r="B24" t="str">
            <v>Industry</v>
          </cell>
          <cell r="D24">
            <v>1</v>
          </cell>
          <cell r="E24">
            <v>2</v>
          </cell>
          <cell r="F24">
            <v>3</v>
          </cell>
          <cell r="I24">
            <v>4</v>
          </cell>
          <cell r="K24">
            <v>6</v>
          </cell>
          <cell r="L24">
            <v>7</v>
          </cell>
          <cell r="M24">
            <v>8</v>
          </cell>
          <cell r="N24">
            <v>9</v>
          </cell>
          <cell r="O24">
            <v>10</v>
          </cell>
          <cell r="P24">
            <v>11</v>
          </cell>
          <cell r="Q24">
            <v>12</v>
          </cell>
          <cell r="R24">
            <v>5</v>
          </cell>
          <cell r="T24">
            <v>13</v>
          </cell>
          <cell r="U24">
            <v>14</v>
          </cell>
          <cell r="V24">
            <v>15</v>
          </cell>
          <cell r="W24">
            <v>16</v>
          </cell>
        </row>
        <row r="25">
          <cell r="A25">
            <v>2006</v>
          </cell>
          <cell r="B25" t="str">
            <v>I</v>
          </cell>
          <cell r="C25" t="str">
            <v>Agriculture</v>
          </cell>
          <cell r="D25" t="str">
            <v>Tanaman</v>
          </cell>
          <cell r="E25" t="str">
            <v>Pembalakan</v>
          </cell>
          <cell r="F25" t="str">
            <v>Perikanan</v>
          </cell>
          <cell r="I25" t="str">
            <v>Mining and
Quarrying</v>
          </cell>
          <cell r="J25" t="str">
            <v>Manufacturing</v>
          </cell>
          <cell r="K25" t="str">
            <v>Prosesan Makanan, Minuman dan Produk Tembakau</v>
          </cell>
          <cell r="L25" t="str">
            <v>Tekstil, Pakaian, Kulit dan Kasut</v>
          </cell>
          <cell r="M25" t="str">
            <v>Keluaran Kayu, Perabot, Produk Kertas, Percetakan dan Penerbitan</v>
          </cell>
          <cell r="N25" t="str">
            <v>Produk Petroleum, Bahan kimia, Getah dan Plastik</v>
          </cell>
          <cell r="O25" t="str">
            <v>Produk Mineral Bukan Logam, Logam Asli dan Produk Logam Yang Direka</v>
          </cell>
          <cell r="P25" t="str">
            <v>Elektrik dan Elektronik</v>
          </cell>
          <cell r="Q25" t="str">
            <v>Kelengkapan Pengangkutan dan Pembuatan Lain</v>
          </cell>
          <cell r="R25" t="str">
            <v>Construction</v>
          </cell>
          <cell r="S25" t="str">
            <v>Services</v>
          </cell>
          <cell r="T25" t="str">
            <v>Utiliti, Transport &amp; Communication</v>
          </cell>
          <cell r="U25" t="str">
            <v>WRT, Accomm &amp; Restaurant</v>
          </cell>
          <cell r="V25" t="str">
            <v>Finance &amp; Insurance, Real Estate &amp; Business Services</v>
          </cell>
          <cell r="W25" t="str">
            <v>Other Services</v>
          </cell>
          <cell r="X25" t="str">
            <v>Government Services</v>
          </cell>
          <cell r="Y25" t="str">
            <v>Plus :
Import Duties</v>
          </cell>
          <cell r="Z25" t="str">
            <v>GDP at
Purchasers' Prices</v>
          </cell>
        </row>
        <row r="26">
          <cell r="A26" t="str">
            <v>States</v>
          </cell>
          <cell r="B26" t="str">
            <v>Converter</v>
          </cell>
        </row>
        <row r="27">
          <cell r="A27" t="str">
            <v>Johor</v>
          </cell>
          <cell r="B27" t="str">
            <v>01</v>
          </cell>
          <cell r="C27">
            <v>6654.2396491146401</v>
          </cell>
          <cell r="D27">
            <v>5977.43668348548</v>
          </cell>
          <cell r="E27">
            <v>102.45171403581401</v>
          </cell>
          <cell r="F27">
            <v>574.351251593347</v>
          </cell>
          <cell r="I27">
            <v>48.2440928592018</v>
          </cell>
          <cell r="J27">
            <v>20066.005193343699</v>
          </cell>
          <cell r="K27">
            <v>1587.0553593141101</v>
          </cell>
          <cell r="L27">
            <v>1079.6354715331299</v>
          </cell>
          <cell r="M27">
            <v>1491.8417091542101</v>
          </cell>
          <cell r="N27">
            <v>3753.2871051659699</v>
          </cell>
          <cell r="O27">
            <v>2371.92938811051</v>
          </cell>
          <cell r="P27">
            <v>8364.2660230885595</v>
          </cell>
          <cell r="Q27">
            <v>1417.9901369772199</v>
          </cell>
          <cell r="R27">
            <v>1568.45996558397</v>
          </cell>
          <cell r="S27">
            <v>23481.829570811798</v>
          </cell>
          <cell r="T27">
            <v>5430.9591622893204</v>
          </cell>
          <cell r="U27">
            <v>5091.9409273339097</v>
          </cell>
          <cell r="V27">
            <v>6795.4771230062597</v>
          </cell>
          <cell r="W27">
            <v>2531.2759057048002</v>
          </cell>
          <cell r="X27">
            <v>3632.1764524775099</v>
          </cell>
          <cell r="Y27">
            <v>720.39271590590999</v>
          </cell>
          <cell r="Z27">
            <v>52539.171187619198</v>
          </cell>
        </row>
        <row r="28">
          <cell r="A28" t="str">
            <v>Kedah</v>
          </cell>
          <cell r="B28" t="str">
            <v>02</v>
          </cell>
          <cell r="C28">
            <v>2416.9332573101001</v>
          </cell>
          <cell r="D28">
            <v>2060.9680526072898</v>
          </cell>
          <cell r="E28">
            <v>80.483431624916705</v>
          </cell>
          <cell r="F28">
            <v>275.48177307788598</v>
          </cell>
          <cell r="I28">
            <v>16.5266256769922</v>
          </cell>
          <cell r="J28">
            <v>6984.3359707004201</v>
          </cell>
          <cell r="K28">
            <v>276.28719718090599</v>
          </cell>
          <cell r="L28">
            <v>69.637096233941406</v>
          </cell>
          <cell r="M28">
            <v>472.22697892102002</v>
          </cell>
          <cell r="N28">
            <v>1168.3168660113399</v>
          </cell>
          <cell r="O28">
            <v>1326.57567433551</v>
          </cell>
          <cell r="P28">
            <v>2784.3407263300001</v>
          </cell>
          <cell r="Q28">
            <v>886.95143168770198</v>
          </cell>
          <cell r="R28">
            <v>453.96999135908499</v>
          </cell>
          <cell r="S28">
            <v>9248.8233385255007</v>
          </cell>
          <cell r="T28">
            <v>1359.7214274135199</v>
          </cell>
          <cell r="U28">
            <v>2144.99827280614</v>
          </cell>
          <cell r="V28">
            <v>1764.2756371395401</v>
          </cell>
          <cell r="W28">
            <v>1652.1409922943201</v>
          </cell>
          <cell r="X28">
            <v>2327.6870088719702</v>
          </cell>
          <cell r="Y28">
            <v>134.45064089028699</v>
          </cell>
          <cell r="Z28">
            <v>19255.039824462401</v>
          </cell>
        </row>
        <row r="29">
          <cell r="A29" t="str">
            <v>Kelantan</v>
          </cell>
          <cell r="B29" t="str">
            <v>03</v>
          </cell>
          <cell r="C29">
            <v>2617.7804497956299</v>
          </cell>
          <cell r="D29">
            <v>1942.4817276997501</v>
          </cell>
          <cell r="E29">
            <v>416.49956725049998</v>
          </cell>
          <cell r="F29">
            <v>258.79915484537702</v>
          </cell>
          <cell r="I29">
            <v>14.4181754742871</v>
          </cell>
          <cell r="J29">
            <v>510.70083418754098</v>
          </cell>
          <cell r="K29">
            <v>138.341438523666</v>
          </cell>
          <cell r="L29">
            <v>28.742611609802001</v>
          </cell>
          <cell r="M29">
            <v>73.505500890016407</v>
          </cell>
          <cell r="N29">
            <v>68.319025944010207</v>
          </cell>
          <cell r="O29">
            <v>27.574781203743701</v>
          </cell>
          <cell r="P29">
            <v>166.28079755626999</v>
          </cell>
          <cell r="Q29">
            <v>7.9366784600321303</v>
          </cell>
          <cell r="R29">
            <v>169.46443534701299</v>
          </cell>
          <cell r="S29">
            <v>6335.7900702748702</v>
          </cell>
          <cell r="T29">
            <v>743.703512481487</v>
          </cell>
          <cell r="U29">
            <v>1681.2531728200699</v>
          </cell>
          <cell r="V29">
            <v>733.54320103359203</v>
          </cell>
          <cell r="W29">
            <v>1174.0590217900599</v>
          </cell>
          <cell r="X29">
            <v>2003.2311621496599</v>
          </cell>
          <cell r="Y29">
            <v>10.1210965389053</v>
          </cell>
          <cell r="Z29">
            <v>9658.2750616182493</v>
          </cell>
        </row>
        <row r="30">
          <cell r="A30" t="str">
            <v>Melaka</v>
          </cell>
          <cell r="B30" t="str">
            <v>04</v>
          </cell>
          <cell r="C30">
            <v>961.73329875419302</v>
          </cell>
          <cell r="D30">
            <v>946.90645762184204</v>
          </cell>
          <cell r="E30">
            <v>0.56006563844926804</v>
          </cell>
          <cell r="F30">
            <v>14.2667754939018</v>
          </cell>
          <cell r="I30">
            <v>7.2982247814966499</v>
          </cell>
          <cell r="J30">
            <v>8312.7953274922893</v>
          </cell>
          <cell r="K30">
            <v>279.76590521138502</v>
          </cell>
          <cell r="L30">
            <v>123.176742626142</v>
          </cell>
          <cell r="M30">
            <v>442.37175795455897</v>
          </cell>
          <cell r="N30">
            <v>3086.4389693970802</v>
          </cell>
          <cell r="O30">
            <v>544.35209201866803</v>
          </cell>
          <cell r="P30">
            <v>2439.4310327828998</v>
          </cell>
          <cell r="Q30">
            <v>1397.2588275015601</v>
          </cell>
          <cell r="R30">
            <v>314.481252041853</v>
          </cell>
          <cell r="S30">
            <v>6723.3246634145798</v>
          </cell>
          <cell r="T30">
            <v>1310.63766722995</v>
          </cell>
          <cell r="U30">
            <v>2030.95637384611</v>
          </cell>
          <cell r="V30">
            <v>1363.28402879383</v>
          </cell>
          <cell r="W30">
            <v>941.08484483895404</v>
          </cell>
          <cell r="X30">
            <v>1077.36174870574</v>
          </cell>
          <cell r="Y30">
            <v>13.5031970924452</v>
          </cell>
          <cell r="Z30">
            <v>16333.1359635769</v>
          </cell>
        </row>
        <row r="31">
          <cell r="A31" t="str">
            <v>Negeri Sembilan</v>
          </cell>
          <cell r="B31" t="str">
            <v>05</v>
          </cell>
          <cell r="C31">
            <v>1816.8817302615</v>
          </cell>
          <cell r="D31">
            <v>1755.0937258404799</v>
          </cell>
          <cell r="E31">
            <v>34.323036923676298</v>
          </cell>
          <cell r="F31">
            <v>27.4649674973491</v>
          </cell>
          <cell r="I31">
            <v>17.521266820900799</v>
          </cell>
          <cell r="J31">
            <v>11476.808555940101</v>
          </cell>
          <cell r="K31">
            <v>1046.3834184627799</v>
          </cell>
          <cell r="L31">
            <v>436.74818218174102</v>
          </cell>
          <cell r="M31">
            <v>350.543940464765</v>
          </cell>
          <cell r="N31">
            <v>2567.4890385008798</v>
          </cell>
          <cell r="O31">
            <v>727.23829080610096</v>
          </cell>
          <cell r="P31">
            <v>5219.1744241468195</v>
          </cell>
          <cell r="Q31">
            <v>1129.23126137699</v>
          </cell>
          <cell r="R31">
            <v>402.713166861057</v>
          </cell>
          <cell r="S31">
            <v>7770.8126822294198</v>
          </cell>
          <cell r="T31">
            <v>1942.77472567326</v>
          </cell>
          <cell r="U31">
            <v>1768.0648375599601</v>
          </cell>
          <cell r="V31">
            <v>1615.4923418825299</v>
          </cell>
          <cell r="W31">
            <v>1013.4833123183799</v>
          </cell>
          <cell r="X31">
            <v>1430.9974647952999</v>
          </cell>
          <cell r="Y31">
            <v>69.357214698448203</v>
          </cell>
          <cell r="Z31">
            <v>21554.094616811399</v>
          </cell>
        </row>
        <row r="32">
          <cell r="A32" t="str">
            <v>Pahang</v>
          </cell>
          <cell r="B32" t="str">
            <v>06</v>
          </cell>
          <cell r="C32">
            <v>5770.1410985738403</v>
          </cell>
          <cell r="D32">
            <v>4670.4509523632396</v>
          </cell>
          <cell r="E32">
            <v>601.50505578969899</v>
          </cell>
          <cell r="F32">
            <v>498.18509042089698</v>
          </cell>
          <cell r="I32">
            <v>80.273290052901302</v>
          </cell>
          <cell r="J32">
            <v>7110.56842070932</v>
          </cell>
          <cell r="K32">
            <v>705.05093354776295</v>
          </cell>
          <cell r="L32">
            <v>16.2012290888499</v>
          </cell>
          <cell r="M32">
            <v>575.46873181503702</v>
          </cell>
          <cell r="N32">
            <v>3388.2393176946598</v>
          </cell>
          <cell r="O32">
            <v>821.98883967955101</v>
          </cell>
          <cell r="P32">
            <v>156.633803980365</v>
          </cell>
          <cell r="Q32">
            <v>1446.9855649031001</v>
          </cell>
          <cell r="R32">
            <v>571.58063128502101</v>
          </cell>
          <cell r="S32">
            <v>11138.208615434</v>
          </cell>
          <cell r="T32">
            <v>1193.2923306241</v>
          </cell>
          <cell r="U32">
            <v>3344.69661445665</v>
          </cell>
          <cell r="V32">
            <v>1442.7687051277801</v>
          </cell>
          <cell r="W32">
            <v>2847.8550902402999</v>
          </cell>
          <cell r="X32">
            <v>2309.5958749852098</v>
          </cell>
          <cell r="Y32">
            <v>22.447246895454899</v>
          </cell>
          <cell r="Z32">
            <v>24693.219302950602</v>
          </cell>
        </row>
        <row r="33">
          <cell r="A33" t="str">
            <v>Pulau Pinang</v>
          </cell>
          <cell r="B33" t="str">
            <v>07</v>
          </cell>
          <cell r="C33">
            <v>700.37903219198802</v>
          </cell>
          <cell r="D33">
            <v>509.13645040512699</v>
          </cell>
          <cell r="E33">
            <v>0</v>
          </cell>
          <cell r="F33">
            <v>191.242581786861</v>
          </cell>
          <cell r="I33">
            <v>17.069804358913899</v>
          </cell>
          <cell r="J33">
            <v>24429.468358772901</v>
          </cell>
          <cell r="K33">
            <v>654.61044932812695</v>
          </cell>
          <cell r="L33">
            <v>612.56336167766096</v>
          </cell>
          <cell r="M33">
            <v>659.10544401958396</v>
          </cell>
          <cell r="N33">
            <v>1525.35515757352</v>
          </cell>
          <cell r="O33">
            <v>1448.2715015645299</v>
          </cell>
          <cell r="P33">
            <v>18169.729390371002</v>
          </cell>
          <cell r="Q33">
            <v>1359.8330542385499</v>
          </cell>
          <cell r="R33">
            <v>812.77198186290195</v>
          </cell>
          <cell r="S33">
            <v>17152.767881577001</v>
          </cell>
          <cell r="T33">
            <v>3594.64591975957</v>
          </cell>
          <cell r="U33">
            <v>4716.9243092330598</v>
          </cell>
          <cell r="V33">
            <v>4974.7578420442396</v>
          </cell>
          <cell r="W33">
            <v>1790.5109599922</v>
          </cell>
          <cell r="X33">
            <v>2075.9288505479299</v>
          </cell>
          <cell r="Y33">
            <v>288.17007924230597</v>
          </cell>
          <cell r="Z33">
            <v>43400.627138005999</v>
          </cell>
        </row>
        <row r="34">
          <cell r="A34" t="str">
            <v>Perak</v>
          </cell>
          <cell r="B34" t="str">
            <v>08</v>
          </cell>
          <cell r="C34">
            <v>4841.0016055975502</v>
          </cell>
          <cell r="D34">
            <v>3421.0083503465798</v>
          </cell>
          <cell r="E34">
            <v>437.91478096930803</v>
          </cell>
          <cell r="F34">
            <v>982.07847428165701</v>
          </cell>
          <cell r="I34">
            <v>96.861769646077704</v>
          </cell>
          <cell r="J34">
            <v>6254.8965298297999</v>
          </cell>
          <cell r="K34">
            <v>1097.4020779704699</v>
          </cell>
          <cell r="L34">
            <v>241.59735163935599</v>
          </cell>
          <cell r="M34">
            <v>280.87450900017001</v>
          </cell>
          <cell r="N34">
            <v>1450.6703072558901</v>
          </cell>
          <cell r="O34">
            <v>1237.64135666889</v>
          </cell>
          <cell r="P34">
            <v>1827.0408066418499</v>
          </cell>
          <cell r="Q34">
            <v>119.670120653178</v>
          </cell>
          <cell r="R34">
            <v>675.10509915070998</v>
          </cell>
          <cell r="S34">
            <v>17636.900254423301</v>
          </cell>
          <cell r="T34">
            <v>5560.2253040654696</v>
          </cell>
          <cell r="U34">
            <v>3586.6042339098699</v>
          </cell>
          <cell r="V34">
            <v>3145.8265380559301</v>
          </cell>
          <cell r="W34">
            <v>2325.5727982825902</v>
          </cell>
          <cell r="X34">
            <v>3018.6713801094002</v>
          </cell>
          <cell r="Y34">
            <v>53.537682655929402</v>
          </cell>
          <cell r="Z34">
            <v>29558.3029413033</v>
          </cell>
        </row>
        <row r="35">
          <cell r="A35" t="str">
            <v>Perlis</v>
          </cell>
          <cell r="B35" t="str">
            <v>09</v>
          </cell>
          <cell r="C35">
            <v>808.72593428289599</v>
          </cell>
          <cell r="D35">
            <v>259.95321692836001</v>
          </cell>
          <cell r="E35">
            <v>0</v>
          </cell>
          <cell r="F35">
            <v>548.77271735453598</v>
          </cell>
          <cell r="I35">
            <v>6.8446087585817601</v>
          </cell>
          <cell r="J35">
            <v>345.19007959309801</v>
          </cell>
          <cell r="K35">
            <v>49.105577399240801</v>
          </cell>
          <cell r="L35">
            <v>57.869775833981798</v>
          </cell>
          <cell r="M35">
            <v>10.7097310719837</v>
          </cell>
          <cell r="N35">
            <v>134.12184479401901</v>
          </cell>
          <cell r="O35">
            <v>91.561314600732601</v>
          </cell>
          <cell r="P35">
            <v>1.82183589313928</v>
          </cell>
          <cell r="Q35">
            <v>0</v>
          </cell>
          <cell r="R35">
            <v>100.551566370809</v>
          </cell>
          <cell r="S35">
            <v>1582.3990231601699</v>
          </cell>
          <cell r="T35">
            <v>577.20764750010005</v>
          </cell>
          <cell r="U35">
            <v>188.404257331791</v>
          </cell>
          <cell r="V35">
            <v>171.20532999452499</v>
          </cell>
          <cell r="W35">
            <v>212.591718700168</v>
          </cell>
          <cell r="X35">
            <v>432.99006963358198</v>
          </cell>
          <cell r="Y35">
            <v>101.23279260701401</v>
          </cell>
          <cell r="Z35">
            <v>2944.9440047725602</v>
          </cell>
        </row>
        <row r="36">
          <cell r="A36" t="str">
            <v>Selangor</v>
          </cell>
          <cell r="B36">
            <v>10</v>
          </cell>
          <cell r="C36">
            <v>2049.1856888432299</v>
          </cell>
          <cell r="D36">
            <v>1418.7881169792599</v>
          </cell>
          <cell r="E36">
            <v>21.357617395231301</v>
          </cell>
          <cell r="F36">
            <v>609.03995446874501</v>
          </cell>
          <cell r="I36">
            <v>115.923261490992</v>
          </cell>
          <cell r="J36">
            <v>42583.807815050401</v>
          </cell>
          <cell r="K36">
            <v>5756.4238309847797</v>
          </cell>
          <cell r="L36">
            <v>614.27157414379201</v>
          </cell>
          <cell r="M36">
            <v>2856.3799168124101</v>
          </cell>
          <cell r="N36">
            <v>5395.0294542236597</v>
          </cell>
          <cell r="O36">
            <v>4661.1959621419001</v>
          </cell>
          <cell r="P36">
            <v>12424.3394810104</v>
          </cell>
          <cell r="Q36">
            <v>10876.167595733399</v>
          </cell>
          <cell r="R36">
            <v>5028.2701061917796</v>
          </cell>
          <cell r="S36">
            <v>65860.627293376194</v>
          </cell>
          <cell r="T36">
            <v>17165.996852116899</v>
          </cell>
          <cell r="U36">
            <v>21832.576270203601</v>
          </cell>
          <cell r="V36">
            <v>15239.550775515099</v>
          </cell>
          <cell r="W36">
            <v>6011.4828157116899</v>
          </cell>
          <cell r="X36">
            <v>5611.0205798289599</v>
          </cell>
          <cell r="Y36">
            <v>3181.1442089161201</v>
          </cell>
          <cell r="Z36">
            <v>118818.958373869</v>
          </cell>
        </row>
        <row r="37">
          <cell r="A37" t="str">
            <v>Terengganu</v>
          </cell>
          <cell r="B37">
            <v>11</v>
          </cell>
          <cell r="C37">
            <v>1683.1505690450799</v>
          </cell>
          <cell r="D37">
            <v>1129.86941122743</v>
          </cell>
          <cell r="E37">
            <v>143.52582285294201</v>
          </cell>
          <cell r="F37">
            <v>409.75533496470302</v>
          </cell>
          <cell r="I37">
            <v>8.7208165317790698</v>
          </cell>
          <cell r="J37">
            <v>7204.11271890841</v>
          </cell>
          <cell r="K37">
            <v>109.900175749368</v>
          </cell>
          <cell r="L37">
            <v>38.718538882359503</v>
          </cell>
          <cell r="M37">
            <v>120.03498202535999</v>
          </cell>
          <cell r="N37">
            <v>6528.4075797325704</v>
          </cell>
          <cell r="O37">
            <v>339.52317352760701</v>
          </cell>
          <cell r="P37">
            <v>1.4653545058975499</v>
          </cell>
          <cell r="Q37">
            <v>66.062914485247902</v>
          </cell>
          <cell r="R37">
            <v>454.564489676601</v>
          </cell>
          <cell r="S37">
            <v>7506.7095052003197</v>
          </cell>
          <cell r="T37">
            <v>3085.6722565039299</v>
          </cell>
          <cell r="U37">
            <v>1228.0367088068199</v>
          </cell>
          <cell r="V37">
            <v>565.84594036372698</v>
          </cell>
          <cell r="W37">
            <v>781.99954839759596</v>
          </cell>
          <cell r="X37">
            <v>1845.1550511282401</v>
          </cell>
          <cell r="Y37">
            <v>9.9507637807276392</v>
          </cell>
          <cell r="Z37">
            <v>16867.2088631429</v>
          </cell>
        </row>
        <row r="38">
          <cell r="A38" t="str">
            <v>Sabah</v>
          </cell>
          <cell r="B38">
            <v>12</v>
          </cell>
          <cell r="C38">
            <v>9907.9170891016201</v>
          </cell>
          <cell r="D38">
            <v>6505.0982064938398</v>
          </cell>
          <cell r="E38">
            <v>2201.6043196693099</v>
          </cell>
          <cell r="F38">
            <v>1201.21456293847</v>
          </cell>
          <cell r="I38">
            <v>5305.0188119066497</v>
          </cell>
          <cell r="J38">
            <v>3307.5639633117398</v>
          </cell>
          <cell r="K38">
            <v>1889.13581074173</v>
          </cell>
          <cell r="L38">
            <v>24.127588758054799</v>
          </cell>
          <cell r="M38">
            <v>875.72966932760596</v>
          </cell>
          <cell r="N38">
            <v>149.62708489826301</v>
          </cell>
          <cell r="O38">
            <v>214.799905708566</v>
          </cell>
          <cell r="P38">
            <v>7.2733148875337399</v>
          </cell>
          <cell r="Q38">
            <v>146.870588989981</v>
          </cell>
          <cell r="R38">
            <v>1049.9768020543299</v>
          </cell>
          <cell r="S38">
            <v>14536.659166623</v>
          </cell>
          <cell r="T38">
            <v>2740.4160274405099</v>
          </cell>
          <cell r="U38">
            <v>4323.3190045830797</v>
          </cell>
          <cell r="V38">
            <v>2985.63191230641</v>
          </cell>
          <cell r="W38">
            <v>1459.17015657037</v>
          </cell>
          <cell r="X38">
            <v>3028.1220657225899</v>
          </cell>
          <cell r="Y38">
            <v>113.93748440474199</v>
          </cell>
          <cell r="Z38">
            <v>34221.073317401999</v>
          </cell>
        </row>
        <row r="39">
          <cell r="A39" t="str">
            <v>Sarawak</v>
          </cell>
          <cell r="B39">
            <v>13</v>
          </cell>
          <cell r="C39">
            <v>7199.0461539385096</v>
          </cell>
          <cell r="D39">
            <v>2809.2687090730301</v>
          </cell>
          <cell r="E39">
            <v>3857.7784715405</v>
          </cell>
          <cell r="F39">
            <v>531.99897332498699</v>
          </cell>
          <cell r="I39">
            <v>16135.5628417272</v>
          </cell>
          <cell r="J39">
            <v>17374.660156991398</v>
          </cell>
          <cell r="K39">
            <v>689.99300758824199</v>
          </cell>
          <cell r="L39">
            <v>18.856981073143999</v>
          </cell>
          <cell r="M39">
            <v>1992.7771856494801</v>
          </cell>
          <cell r="N39">
            <v>13294.2672517314</v>
          </cell>
          <cell r="O39">
            <v>519.52466204974598</v>
          </cell>
          <cell r="P39">
            <v>585.48442688070998</v>
          </cell>
          <cell r="Q39">
            <v>273.756642018695</v>
          </cell>
          <cell r="R39">
            <v>1387.0757866608401</v>
          </cell>
          <cell r="S39">
            <v>17981.701899829699</v>
          </cell>
          <cell r="T39">
            <v>4194.8712786423803</v>
          </cell>
          <cell r="U39">
            <v>4431.1308051959204</v>
          </cell>
          <cell r="V39">
            <v>4403.37435028035</v>
          </cell>
          <cell r="W39">
            <v>1969.7894143067099</v>
          </cell>
          <cell r="X39">
            <v>2982.53605140432</v>
          </cell>
          <cell r="Y39">
            <v>187.133438110855</v>
          </cell>
          <cell r="Z39">
            <v>60265.1802772585</v>
          </cell>
        </row>
        <row r="40">
          <cell r="A40" t="str">
            <v>WP Kuala Lumpur</v>
          </cell>
          <cell r="B40">
            <v>14</v>
          </cell>
          <cell r="C40">
            <v>1.70063142405226</v>
          </cell>
          <cell r="D40">
            <v>1.70063142405226</v>
          </cell>
          <cell r="E40">
            <v>0</v>
          </cell>
          <cell r="F40">
            <v>0</v>
          </cell>
          <cell r="I40">
            <v>23.872994104275399</v>
          </cell>
          <cell r="J40">
            <v>4024.4684763293899</v>
          </cell>
          <cell r="K40">
            <v>453.95250047359502</v>
          </cell>
          <cell r="L40">
            <v>223.80249625796401</v>
          </cell>
          <cell r="M40">
            <v>1148.2049337393801</v>
          </cell>
          <cell r="N40">
            <v>577.88508111527199</v>
          </cell>
          <cell r="O40">
            <v>511.31032182226397</v>
          </cell>
          <cell r="P40">
            <v>464.36602674966701</v>
          </cell>
          <cell r="Q40">
            <v>644.94711617124199</v>
          </cell>
          <cell r="R40">
            <v>3009.2664749812802</v>
          </cell>
          <cell r="S40">
            <v>64090.007640177297</v>
          </cell>
          <cell r="T40">
            <v>4428.1872575324196</v>
          </cell>
          <cell r="U40">
            <v>23061.162235989301</v>
          </cell>
          <cell r="V40">
            <v>25111.537298388201</v>
          </cell>
          <cell r="W40">
            <v>3505.66588895109</v>
          </cell>
          <cell r="X40">
            <v>7983.4549593162801</v>
          </cell>
          <cell r="Y40">
            <v>744.533168414785</v>
          </cell>
          <cell r="Z40">
            <v>71893.849385431007</v>
          </cell>
        </row>
        <row r="41">
          <cell r="A41" t="str">
            <v>WP Labuan</v>
          </cell>
          <cell r="B41">
            <v>15</v>
          </cell>
          <cell r="C41">
            <v>103.91787953249801</v>
          </cell>
          <cell r="D41">
            <v>4.9123802163404697</v>
          </cell>
          <cell r="E41">
            <v>0</v>
          </cell>
          <cell r="F41">
            <v>99.005499316157298</v>
          </cell>
          <cell r="I41">
            <v>0</v>
          </cell>
          <cell r="J41">
            <v>894.48269140067805</v>
          </cell>
          <cell r="K41">
            <v>32.070921759535203</v>
          </cell>
          <cell r="L41">
            <v>2.81236661394703</v>
          </cell>
          <cell r="M41">
            <v>3.2203052445276801</v>
          </cell>
          <cell r="N41">
            <v>531.60726643463101</v>
          </cell>
          <cell r="O41">
            <v>316.49947159849501</v>
          </cell>
          <cell r="P41">
            <v>0</v>
          </cell>
          <cell r="Q41">
            <v>8.2723597495418009</v>
          </cell>
          <cell r="R41">
            <v>23.7878027087405</v>
          </cell>
          <cell r="S41">
            <v>1508.1454902620301</v>
          </cell>
          <cell r="T41">
            <v>189.15208696111199</v>
          </cell>
          <cell r="U41">
            <v>177.25286846969701</v>
          </cell>
          <cell r="V41">
            <v>1031.7168973313801</v>
          </cell>
          <cell r="W41">
            <v>63.092041229435203</v>
          </cell>
          <cell r="X41">
            <v>46.931596270406601</v>
          </cell>
          <cell r="Y41">
            <v>20.861388581171902</v>
          </cell>
          <cell r="Z41">
            <v>2551.1952524851099</v>
          </cell>
        </row>
        <row r="42">
          <cell r="A42" t="str">
            <v>Supra1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I42">
            <v>49381.376278548603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49381.376278548603</v>
          </cell>
        </row>
        <row r="43">
          <cell r="A43" t="str">
            <v>MALAYSIA</v>
          </cell>
          <cell r="C43">
            <v>47532.734067767298</v>
          </cell>
          <cell r="D43">
            <v>33413.073072712097</v>
          </cell>
          <cell r="E43">
            <v>7898.0038836903404</v>
          </cell>
          <cell r="F43">
            <v>6221.6571113648797</v>
          </cell>
          <cell r="I43">
            <v>71275.532862738895</v>
          </cell>
          <cell r="J43">
            <v>160879.865092561</v>
          </cell>
          <cell r="K43">
            <v>14765.478604235699</v>
          </cell>
          <cell r="L43">
            <v>3588.7613681538701</v>
          </cell>
          <cell r="M43">
            <v>11352.995296090099</v>
          </cell>
          <cell r="N43">
            <v>43619.061350473203</v>
          </cell>
          <cell r="O43">
            <v>15159.986735836799</v>
          </cell>
          <cell r="P43">
            <v>52611.647444825103</v>
          </cell>
          <cell r="Q43">
            <v>19781.934292946498</v>
          </cell>
          <cell r="R43">
            <v>16022.039552136001</v>
          </cell>
          <cell r="S43">
            <v>272554.707095319</v>
          </cell>
          <cell r="T43">
            <v>53517.463456234102</v>
          </cell>
          <cell r="U43">
            <v>79607.320892545904</v>
          </cell>
          <cell r="V43">
            <v>71344.287921263298</v>
          </cell>
          <cell r="W43">
            <v>28279.774509328701</v>
          </cell>
          <cell r="X43">
            <v>39805.860315947102</v>
          </cell>
          <cell r="Y43">
            <v>5670.7731187351001</v>
          </cell>
          <cell r="Z43">
            <v>573935.651789258</v>
          </cell>
        </row>
        <row r="46">
          <cell r="A46" t="str">
            <v>CONSTANT</v>
          </cell>
          <cell r="B46" t="str">
            <v>Industry</v>
          </cell>
          <cell r="D46">
            <v>1</v>
          </cell>
          <cell r="E46">
            <v>2</v>
          </cell>
          <cell r="F46">
            <v>3</v>
          </cell>
          <cell r="I46">
            <v>4</v>
          </cell>
          <cell r="K46">
            <v>6</v>
          </cell>
          <cell r="L46">
            <v>7</v>
          </cell>
          <cell r="M46">
            <v>8</v>
          </cell>
          <cell r="N46">
            <v>9</v>
          </cell>
          <cell r="O46">
            <v>10</v>
          </cell>
          <cell r="P46">
            <v>11</v>
          </cell>
          <cell r="Q46">
            <v>12</v>
          </cell>
          <cell r="R46">
            <v>5</v>
          </cell>
          <cell r="T46">
            <v>13</v>
          </cell>
          <cell r="U46">
            <v>14</v>
          </cell>
          <cell r="V46">
            <v>15</v>
          </cell>
          <cell r="W46">
            <v>16</v>
          </cell>
        </row>
        <row r="47">
          <cell r="A47">
            <v>2007</v>
          </cell>
          <cell r="B47" t="str">
            <v>I</v>
          </cell>
          <cell r="C47" t="str">
            <v>Agriculture</v>
          </cell>
          <cell r="D47" t="str">
            <v>Tanaman</v>
          </cell>
          <cell r="E47" t="str">
            <v>Pembalakan</v>
          </cell>
          <cell r="F47" t="str">
            <v>Perikanan</v>
          </cell>
          <cell r="I47" t="str">
            <v>Mining and
Quarrying</v>
          </cell>
          <cell r="J47" t="str">
            <v>Manufacturing</v>
          </cell>
          <cell r="K47" t="str">
            <v>Prosesan Makanan, Minuman dan Produk Tembakau</v>
          </cell>
          <cell r="L47" t="str">
            <v>Tekstil, Pakaian, Kulit dan Kasut</v>
          </cell>
          <cell r="M47" t="str">
            <v>Keluaran Kayu, Perabot, Produk Kertas, Percetakan dan Penerbitan</v>
          </cell>
          <cell r="N47" t="str">
            <v>Produk Petroleum, Bahan kimia, Getah dan Plastik</v>
          </cell>
          <cell r="O47" t="str">
            <v>Produk Mineral Bukan Logam, Logam Asli dan Produk Logam Yang Direka</v>
          </cell>
          <cell r="P47" t="str">
            <v>Elektrik dan Elektronik</v>
          </cell>
          <cell r="Q47" t="str">
            <v>Kelengkapan Pengangkutan dan Pembuatan Lain</v>
          </cell>
          <cell r="R47" t="str">
            <v>Construction</v>
          </cell>
          <cell r="S47" t="str">
            <v>Services</v>
          </cell>
          <cell r="T47" t="str">
            <v>Utiliti, Transport &amp; Communication</v>
          </cell>
          <cell r="U47" t="str">
            <v>WRT, Accomm &amp; Restaurant</v>
          </cell>
          <cell r="V47" t="str">
            <v>Finance &amp; Insurance, Real Estate &amp; Business Services</v>
          </cell>
          <cell r="W47" t="str">
            <v>Other Services</v>
          </cell>
          <cell r="X47" t="str">
            <v>Government Services</v>
          </cell>
          <cell r="Y47" t="str">
            <v>Plus :
Import Duties</v>
          </cell>
          <cell r="Z47" t="str">
            <v>GDP at
Purchasers' Prices</v>
          </cell>
        </row>
        <row r="48">
          <cell r="A48" t="str">
            <v>States</v>
          </cell>
          <cell r="B48" t="str">
            <v>Converter</v>
          </cell>
        </row>
        <row r="49">
          <cell r="A49" t="str">
            <v>Johor</v>
          </cell>
          <cell r="B49" t="str">
            <v>01</v>
          </cell>
          <cell r="C49">
            <v>6349.3657705242103</v>
          </cell>
          <cell r="D49">
            <v>5808.2699370519003</v>
          </cell>
          <cell r="E49">
            <v>79.0792125512952</v>
          </cell>
          <cell r="F49">
            <v>462.016620921016</v>
          </cell>
          <cell r="I49">
            <v>50.308114023991401</v>
          </cell>
          <cell r="J49">
            <v>20662.955740858899</v>
          </cell>
          <cell r="K49">
            <v>1756.72876883768</v>
          </cell>
          <cell r="L49">
            <v>988.853119106073</v>
          </cell>
          <cell r="M49">
            <v>1698.78094702049</v>
          </cell>
          <cell r="N49">
            <v>3430.0560311125801</v>
          </cell>
          <cell r="O49">
            <v>2602.9705222851899</v>
          </cell>
          <cell r="P49">
            <v>8115.1828990002996</v>
          </cell>
          <cell r="Q49">
            <v>2070.3834534965899</v>
          </cell>
          <cell r="R49">
            <v>1578.3579918855301</v>
          </cell>
          <cell r="S49">
            <v>25304.853962464898</v>
          </cell>
          <cell r="T49">
            <v>5839.4454546452498</v>
          </cell>
          <cell r="U49">
            <v>5811.8755763071604</v>
          </cell>
          <cell r="V49">
            <v>7251.4063081114</v>
          </cell>
          <cell r="W49">
            <v>2598.36899031545</v>
          </cell>
          <cell r="X49">
            <v>3803.75763308568</v>
          </cell>
          <cell r="Y49">
            <v>739.59222796745803</v>
          </cell>
          <cell r="Z49">
            <v>54685.433807724999</v>
          </cell>
        </row>
        <row r="50">
          <cell r="A50" t="str">
            <v>Kedah</v>
          </cell>
          <cell r="B50" t="str">
            <v>02</v>
          </cell>
          <cell r="C50">
            <v>2681.6603907225199</v>
          </cell>
          <cell r="D50">
            <v>2281.3547506852001</v>
          </cell>
          <cell r="E50">
            <v>79.154656509836201</v>
          </cell>
          <cell r="F50">
            <v>321.15098352748799</v>
          </cell>
          <cell r="I50">
            <v>18.048528269871898</v>
          </cell>
          <cell r="J50">
            <v>7717.7993422172503</v>
          </cell>
          <cell r="K50">
            <v>252.925225481008</v>
          </cell>
          <cell r="L50">
            <v>118.930796638589</v>
          </cell>
          <cell r="M50">
            <v>485.85067829856001</v>
          </cell>
          <cell r="N50">
            <v>1496.75131325198</v>
          </cell>
          <cell r="O50">
            <v>1922.74280889636</v>
          </cell>
          <cell r="P50">
            <v>2349.8292298206802</v>
          </cell>
          <cell r="Q50">
            <v>1090.76928983007</v>
          </cell>
          <cell r="R50">
            <v>521.15096311709794</v>
          </cell>
          <cell r="S50">
            <v>9968.1473960035892</v>
          </cell>
          <cell r="T50">
            <v>1465.2200967916699</v>
          </cell>
          <cell r="U50">
            <v>2500.0247093693201</v>
          </cell>
          <cell r="V50">
            <v>1870.7963414210999</v>
          </cell>
          <cell r="W50">
            <v>1688.8790381625899</v>
          </cell>
          <cell r="X50">
            <v>2443.22721025891</v>
          </cell>
          <cell r="Y50">
            <v>126.538108157175</v>
          </cell>
          <cell r="Z50">
            <v>21033.3447284875</v>
          </cell>
        </row>
        <row r="51">
          <cell r="A51" t="str">
            <v>Kelantan</v>
          </cell>
          <cell r="B51" t="str">
            <v>03</v>
          </cell>
          <cell r="C51">
            <v>2988.7129664602498</v>
          </cell>
          <cell r="D51">
            <v>2097.8035475390798</v>
          </cell>
          <cell r="E51">
            <v>572.17552894220898</v>
          </cell>
          <cell r="F51">
            <v>318.73388997897001</v>
          </cell>
          <cell r="I51">
            <v>15.710270641353601</v>
          </cell>
          <cell r="J51">
            <v>537.90648847254704</v>
          </cell>
          <cell r="K51">
            <v>96.399194471998797</v>
          </cell>
          <cell r="L51">
            <v>46.681899118575501</v>
          </cell>
          <cell r="M51">
            <v>78.934399314953197</v>
          </cell>
          <cell r="N51">
            <v>83.535215787313703</v>
          </cell>
          <cell r="O51">
            <v>69.699584234307693</v>
          </cell>
          <cell r="P51">
            <v>156.971996648622</v>
          </cell>
          <cell r="Q51">
            <v>5.6841988967758397</v>
          </cell>
          <cell r="R51">
            <v>159.05485305821901</v>
          </cell>
          <cell r="S51">
            <v>6766.5601079339303</v>
          </cell>
          <cell r="T51">
            <v>786.65685698242498</v>
          </cell>
          <cell r="U51">
            <v>1883.1208029351501</v>
          </cell>
          <cell r="V51">
            <v>786.64393343559505</v>
          </cell>
          <cell r="W51">
            <v>1204.0097242068</v>
          </cell>
          <cell r="X51">
            <v>2106.1287903739599</v>
          </cell>
          <cell r="Y51">
            <v>14.4581579747896</v>
          </cell>
          <cell r="Z51">
            <v>10482.4028445411</v>
          </cell>
        </row>
        <row r="52">
          <cell r="A52" t="str">
            <v>Melaka</v>
          </cell>
          <cell r="B52" t="str">
            <v>04</v>
          </cell>
          <cell r="C52">
            <v>1049.9837590642601</v>
          </cell>
          <cell r="D52">
            <v>1036.4500888858199</v>
          </cell>
          <cell r="E52">
            <v>0.58264125883405904</v>
          </cell>
          <cell r="F52">
            <v>12.9510289196058</v>
          </cell>
          <cell r="I52">
            <v>7.98779466684553</v>
          </cell>
          <cell r="J52">
            <v>8495.9522896870403</v>
          </cell>
          <cell r="K52">
            <v>265.28598560224799</v>
          </cell>
          <cell r="L52">
            <v>93.947205754062097</v>
          </cell>
          <cell r="M52">
            <v>401.35151395285902</v>
          </cell>
          <cell r="N52">
            <v>3658.3887184694499</v>
          </cell>
          <cell r="O52">
            <v>546.88640353950905</v>
          </cell>
          <cell r="P52">
            <v>2514.1167378508499</v>
          </cell>
          <cell r="Q52">
            <v>1015.97572451806</v>
          </cell>
          <cell r="R52">
            <v>486.11974578698698</v>
          </cell>
          <cell r="S52">
            <v>7350.2047891623797</v>
          </cell>
          <cell r="T52">
            <v>1371.85733650064</v>
          </cell>
          <cell r="U52">
            <v>2351.0636468129901</v>
          </cell>
          <cell r="V52">
            <v>1496.3650172185701</v>
          </cell>
          <cell r="W52">
            <v>1007.31359768512</v>
          </cell>
          <cell r="X52">
            <v>1123.60519094505</v>
          </cell>
          <cell r="Y52">
            <v>31.9292935891485</v>
          </cell>
          <cell r="Z52">
            <v>17422.177671956699</v>
          </cell>
        </row>
        <row r="53">
          <cell r="A53" t="str">
            <v>Negeri Sembilan</v>
          </cell>
          <cell r="B53" t="str">
            <v>05</v>
          </cell>
          <cell r="C53">
            <v>1770.6233661952101</v>
          </cell>
          <cell r="D53">
            <v>1702.80162306191</v>
          </cell>
          <cell r="E53">
            <v>41.518276393251803</v>
          </cell>
          <cell r="F53">
            <v>26.303466740056901</v>
          </cell>
          <cell r="I53">
            <v>19.103149644530198</v>
          </cell>
          <cell r="J53">
            <v>11876.644437962301</v>
          </cell>
          <cell r="K53">
            <v>1118.78312439362</v>
          </cell>
          <cell r="L53">
            <v>406.62483738666202</v>
          </cell>
          <cell r="M53">
            <v>291.25893633818401</v>
          </cell>
          <cell r="N53">
            <v>3281.3416445077401</v>
          </cell>
          <cell r="O53">
            <v>686.51747334415302</v>
          </cell>
          <cell r="P53">
            <v>5160.4372561523696</v>
          </cell>
          <cell r="Q53">
            <v>931.68116583958601</v>
          </cell>
          <cell r="R53">
            <v>436.29066325689598</v>
          </cell>
          <cell r="S53">
            <v>8498.4753985162897</v>
          </cell>
          <cell r="T53">
            <v>2047.1081753559299</v>
          </cell>
          <cell r="U53">
            <v>2033.4067647075999</v>
          </cell>
          <cell r="V53">
            <v>1784.82670661518</v>
          </cell>
          <cell r="W53">
            <v>1138.59781318774</v>
          </cell>
          <cell r="X53">
            <v>1494.5359386498501</v>
          </cell>
          <cell r="Y53">
            <v>78.836902799825495</v>
          </cell>
          <cell r="Z53">
            <v>22679.973918375101</v>
          </cell>
        </row>
        <row r="54">
          <cell r="A54" t="str">
            <v>Pahang</v>
          </cell>
          <cell r="B54" t="str">
            <v>06</v>
          </cell>
          <cell r="C54">
            <v>5207.54037658779</v>
          </cell>
          <cell r="D54">
            <v>4368.3243974929601</v>
          </cell>
          <cell r="E54">
            <v>400.01817065452002</v>
          </cell>
          <cell r="F54">
            <v>439.19780844030601</v>
          </cell>
          <cell r="I54">
            <v>110.407340119764</v>
          </cell>
          <cell r="J54">
            <v>7052.7335097852501</v>
          </cell>
          <cell r="K54">
            <v>793.67946193545697</v>
          </cell>
          <cell r="L54">
            <v>13.2098045795034</v>
          </cell>
          <cell r="M54">
            <v>511.57602066974903</v>
          </cell>
          <cell r="N54">
            <v>3542.19593617597</v>
          </cell>
          <cell r="O54">
            <v>870.32067885000401</v>
          </cell>
          <cell r="P54">
            <v>93.829584834300505</v>
          </cell>
          <cell r="Q54">
            <v>1227.92202274027</v>
          </cell>
          <cell r="R54">
            <v>575.74558463116296</v>
          </cell>
          <cell r="S54">
            <v>12236.1682959067</v>
          </cell>
          <cell r="T54">
            <v>1281.8832281131999</v>
          </cell>
          <cell r="U54">
            <v>3866.03114623686</v>
          </cell>
          <cell r="V54">
            <v>1604.46618497587</v>
          </cell>
          <cell r="W54">
            <v>3077.50138415018</v>
          </cell>
          <cell r="X54">
            <v>2406.2863524306299</v>
          </cell>
          <cell r="Y54">
            <v>23.630568770153999</v>
          </cell>
          <cell r="Z54">
            <v>25206.225675800899</v>
          </cell>
        </row>
        <row r="55">
          <cell r="A55" t="str">
            <v>Pulau Pinang</v>
          </cell>
          <cell r="B55" t="str">
            <v>07</v>
          </cell>
          <cell r="C55">
            <v>721.068295417321</v>
          </cell>
          <cell r="D55">
            <v>528.12971383671402</v>
          </cell>
          <cell r="E55">
            <v>0</v>
          </cell>
          <cell r="F55">
            <v>192.93858158060701</v>
          </cell>
          <cell r="I55">
            <v>18.698428464636802</v>
          </cell>
          <cell r="J55">
            <v>25374.425811071502</v>
          </cell>
          <cell r="K55">
            <v>725.79384748207804</v>
          </cell>
          <cell r="L55">
            <v>464.03104921610401</v>
          </cell>
          <cell r="M55">
            <v>690.11560317322505</v>
          </cell>
          <cell r="N55">
            <v>1425.81977742506</v>
          </cell>
          <cell r="O55">
            <v>1800.06727154696</v>
          </cell>
          <cell r="P55">
            <v>18771.124317587</v>
          </cell>
          <cell r="Q55">
            <v>1497.4739446410399</v>
          </cell>
          <cell r="R55">
            <v>923.972218119172</v>
          </cell>
          <cell r="S55">
            <v>18924.920131515799</v>
          </cell>
          <cell r="T55">
            <v>3973.0755685437698</v>
          </cell>
          <cell r="U55">
            <v>5392.7054314427696</v>
          </cell>
          <cell r="V55">
            <v>5508.7005816316196</v>
          </cell>
          <cell r="W55">
            <v>1911.5996518095899</v>
          </cell>
          <cell r="X55">
            <v>2138.83889808807</v>
          </cell>
          <cell r="Y55">
            <v>262.77374224584599</v>
          </cell>
          <cell r="Z55">
            <v>46225.858626834299</v>
          </cell>
        </row>
        <row r="56">
          <cell r="A56" t="str">
            <v>Perak</v>
          </cell>
          <cell r="B56" t="str">
            <v>08</v>
          </cell>
          <cell r="C56">
            <v>5003.4977094698897</v>
          </cell>
          <cell r="D56">
            <v>3577.4709326095599</v>
          </cell>
          <cell r="E56">
            <v>382.87724616087002</v>
          </cell>
          <cell r="F56">
            <v>1043.14953069946</v>
          </cell>
          <cell r="I56">
            <v>105.414134490443</v>
          </cell>
          <cell r="J56">
            <v>6342.8197348897502</v>
          </cell>
          <cell r="K56">
            <v>1120.9841164311499</v>
          </cell>
          <cell r="L56">
            <v>199.42829060343499</v>
          </cell>
          <cell r="M56">
            <v>361.40863547805401</v>
          </cell>
          <cell r="N56">
            <v>1406.8212619763201</v>
          </cell>
          <cell r="O56">
            <v>1246.3615341428499</v>
          </cell>
          <cell r="P56">
            <v>1810.5647554305899</v>
          </cell>
          <cell r="Q56">
            <v>197.25114082734001</v>
          </cell>
          <cell r="R56">
            <v>555.25395563238396</v>
          </cell>
          <cell r="S56">
            <v>19017.035418304898</v>
          </cell>
          <cell r="T56">
            <v>5697.3911822560704</v>
          </cell>
          <cell r="U56">
            <v>4166.3452481063896</v>
          </cell>
          <cell r="V56">
            <v>3485.6780340405498</v>
          </cell>
          <cell r="W56">
            <v>2500.7837572722001</v>
          </cell>
          <cell r="X56">
            <v>3166.83719662971</v>
          </cell>
          <cell r="Y56">
            <v>24.3253411075065</v>
          </cell>
          <cell r="Z56">
            <v>31048.346293894901</v>
          </cell>
        </row>
        <row r="57">
          <cell r="A57" t="str">
            <v>Perlis</v>
          </cell>
          <cell r="B57" t="str">
            <v>09</v>
          </cell>
          <cell r="C57">
            <v>931.79704357876005</v>
          </cell>
          <cell r="D57">
            <v>248.23547787447899</v>
          </cell>
          <cell r="E57">
            <v>0</v>
          </cell>
          <cell r="F57">
            <v>683.56156570428095</v>
          </cell>
          <cell r="I57">
            <v>7.4425580879539597</v>
          </cell>
          <cell r="J57">
            <v>323.54139109524999</v>
          </cell>
          <cell r="K57">
            <v>66.078185598306703</v>
          </cell>
          <cell r="L57">
            <v>54.4519823296705</v>
          </cell>
          <cell r="M57">
            <v>2.9248195937792199</v>
          </cell>
          <cell r="N57">
            <v>101.233212222342</v>
          </cell>
          <cell r="O57">
            <v>98.320881505098797</v>
          </cell>
          <cell r="P57">
            <v>0.49688848380050199</v>
          </cell>
          <cell r="Q57">
            <v>3.5421362252201397E-2</v>
          </cell>
          <cell r="R57">
            <v>100.16881163801</v>
          </cell>
          <cell r="S57">
            <v>1700.29697532553</v>
          </cell>
          <cell r="T57">
            <v>604.087228728686</v>
          </cell>
          <cell r="U57">
            <v>226.621894294848</v>
          </cell>
          <cell r="V57">
            <v>194.98952736590999</v>
          </cell>
          <cell r="W57">
            <v>229.415892507992</v>
          </cell>
          <cell r="X57">
            <v>445.18243242809399</v>
          </cell>
          <cell r="Y57">
            <v>93.609572609995396</v>
          </cell>
          <cell r="Z57">
            <v>3156.8563523355001</v>
          </cell>
        </row>
        <row r="58">
          <cell r="A58" t="str">
            <v>Selangor</v>
          </cell>
          <cell r="B58">
            <v>10</v>
          </cell>
          <cell r="C58">
            <v>1926.0780961645701</v>
          </cell>
          <cell r="D58">
            <v>1398.0401864160799</v>
          </cell>
          <cell r="E58">
            <v>16.198665220584299</v>
          </cell>
          <cell r="F58">
            <v>511.83924452790802</v>
          </cell>
          <cell r="I58">
            <v>120.5394268836</v>
          </cell>
          <cell r="J58">
            <v>42879.553169723098</v>
          </cell>
          <cell r="K58">
            <v>6111.6100244311201</v>
          </cell>
          <cell r="L58">
            <v>391.82056836067602</v>
          </cell>
          <cell r="M58">
            <v>3468.01000850225</v>
          </cell>
          <cell r="N58">
            <v>4981.8207564943596</v>
          </cell>
          <cell r="O58">
            <v>5479.2930119938301</v>
          </cell>
          <cell r="P58">
            <v>12587.810554621499</v>
          </cell>
          <cell r="Q58">
            <v>9859.1882453193593</v>
          </cell>
          <cell r="R58">
            <v>5962.5217317796596</v>
          </cell>
          <cell r="S58">
            <v>74001.307601711698</v>
          </cell>
          <cell r="T58">
            <v>18524.120851202999</v>
          </cell>
          <cell r="U58">
            <v>24902.310037468</v>
          </cell>
          <cell r="V58">
            <v>18393.353533098099</v>
          </cell>
          <cell r="W58">
            <v>6368.1460691981501</v>
          </cell>
          <cell r="X58">
            <v>5813.3771107443699</v>
          </cell>
          <cell r="Y58">
            <v>3278.9835681526201</v>
          </cell>
          <cell r="Z58">
            <v>128168.983594415</v>
          </cell>
        </row>
        <row r="59">
          <cell r="A59" t="str">
            <v>Terengganu</v>
          </cell>
          <cell r="B59">
            <v>11</v>
          </cell>
          <cell r="C59">
            <v>1632.03023518903</v>
          </cell>
          <cell r="D59">
            <v>1213.60403151183</v>
          </cell>
          <cell r="E59">
            <v>115.89749741553899</v>
          </cell>
          <cell r="F59">
            <v>302.52870626165799</v>
          </cell>
          <cell r="I59">
            <v>8.4853156375849998</v>
          </cell>
          <cell r="J59">
            <v>7757.7226199588704</v>
          </cell>
          <cell r="K59">
            <v>88.477375724607299</v>
          </cell>
          <cell r="L59">
            <v>30.998203227151102</v>
          </cell>
          <cell r="M59">
            <v>159.00427529570399</v>
          </cell>
          <cell r="N59">
            <v>6889.1668489984704</v>
          </cell>
          <cell r="O59">
            <v>518.66213133559404</v>
          </cell>
          <cell r="P59">
            <v>2.1352792242413798</v>
          </cell>
          <cell r="Q59">
            <v>69.2785061531022</v>
          </cell>
          <cell r="R59">
            <v>603.41107275533398</v>
          </cell>
          <cell r="S59">
            <v>8102.3395455419704</v>
          </cell>
          <cell r="T59">
            <v>3243.2024056691098</v>
          </cell>
          <cell r="U59">
            <v>1394.7085072134</v>
          </cell>
          <cell r="V59">
            <v>694.77328642060502</v>
          </cell>
          <cell r="W59">
            <v>811.97478768015003</v>
          </cell>
          <cell r="X59">
            <v>1957.6805585587099</v>
          </cell>
          <cell r="Y59">
            <v>18.347235427577601</v>
          </cell>
          <cell r="Z59">
            <v>18122.336024510401</v>
          </cell>
        </row>
        <row r="60">
          <cell r="A60" t="str">
            <v>Sabah</v>
          </cell>
          <cell r="B60">
            <v>12</v>
          </cell>
          <cell r="C60">
            <v>10473.6851868717</v>
          </cell>
          <cell r="D60">
            <v>6649.4434108846299</v>
          </cell>
          <cell r="E60">
            <v>2350.7109363234599</v>
          </cell>
          <cell r="F60">
            <v>1473.5308396635801</v>
          </cell>
          <cell r="I60">
            <v>4337.8093032542602</v>
          </cell>
          <cell r="J60">
            <v>3333.3739198400399</v>
          </cell>
          <cell r="K60">
            <v>1798.1778391012499</v>
          </cell>
          <cell r="L60">
            <v>25.6433466475467</v>
          </cell>
          <cell r="M60">
            <v>951.56155341564397</v>
          </cell>
          <cell r="N60">
            <v>135.53863364202101</v>
          </cell>
          <cell r="O60">
            <v>271.05142728774501</v>
          </cell>
          <cell r="P60">
            <v>5.4930951319208701</v>
          </cell>
          <cell r="Q60">
            <v>145.908024613919</v>
          </cell>
          <cell r="R60">
            <v>840.29687091461801</v>
          </cell>
          <cell r="S60">
            <v>16185.047988680901</v>
          </cell>
          <cell r="T60">
            <v>2960.43603328276</v>
          </cell>
          <cell r="U60">
            <v>4960.1351085597598</v>
          </cell>
          <cell r="V60">
            <v>3615.4442009204899</v>
          </cell>
          <cell r="W60">
            <v>1512.9524147253101</v>
          </cell>
          <cell r="X60">
            <v>3136.08023119257</v>
          </cell>
          <cell r="Y60">
            <v>147.46786560562299</v>
          </cell>
          <cell r="Z60">
            <v>35317.681135167099</v>
          </cell>
        </row>
        <row r="61">
          <cell r="A61" t="str">
            <v>Sarawak</v>
          </cell>
          <cell r="B61">
            <v>13</v>
          </cell>
          <cell r="C61">
            <v>7345.8647333568897</v>
          </cell>
          <cell r="D61">
            <v>3002.2261686759002</v>
          </cell>
          <cell r="E61">
            <v>3887.7395540604298</v>
          </cell>
          <cell r="F61">
            <v>455.89901062055998</v>
          </cell>
          <cell r="I61">
            <v>17638.187917930001</v>
          </cell>
          <cell r="J61">
            <v>18773.714830696699</v>
          </cell>
          <cell r="K61">
            <v>546.06391167258596</v>
          </cell>
          <cell r="L61">
            <v>18.795457030879</v>
          </cell>
          <cell r="M61">
            <v>2067.6013768422699</v>
          </cell>
          <cell r="N61">
            <v>14494.2306334652</v>
          </cell>
          <cell r="O61">
            <v>512.61185664636503</v>
          </cell>
          <cell r="P61">
            <v>561.256735586579</v>
          </cell>
          <cell r="Q61">
            <v>573.15485945285502</v>
          </cell>
          <cell r="R61">
            <v>1622.8423701986801</v>
          </cell>
          <cell r="S61">
            <v>19659.2988161182</v>
          </cell>
          <cell r="T61">
            <v>4623.3250709520198</v>
          </cell>
          <cell r="U61">
            <v>5117.2655804817005</v>
          </cell>
          <cell r="V61">
            <v>4783.3485571312603</v>
          </cell>
          <cell r="W61">
            <v>2046.85884014463</v>
          </cell>
          <cell r="X61">
            <v>3088.50076740861</v>
          </cell>
          <cell r="Y61">
            <v>243.33206775263201</v>
          </cell>
          <cell r="Z61">
            <v>65283.2407360531</v>
          </cell>
        </row>
        <row r="62">
          <cell r="A62" t="str">
            <v>WP Kuala Lumpur</v>
          </cell>
          <cell r="B62">
            <v>14</v>
          </cell>
          <cell r="C62">
            <v>2.10811167021367</v>
          </cell>
          <cell r="D62">
            <v>2.10811167021367</v>
          </cell>
          <cell r="E62">
            <v>0</v>
          </cell>
          <cell r="F62">
            <v>0</v>
          </cell>
          <cell r="I62">
            <v>26.115905406038401</v>
          </cell>
          <cell r="J62">
            <v>3910.5714731828598</v>
          </cell>
          <cell r="K62">
            <v>386.20834435930999</v>
          </cell>
          <cell r="L62">
            <v>405.675185998367</v>
          </cell>
          <cell r="M62">
            <v>1120.099688883</v>
          </cell>
          <cell r="N62">
            <v>488.72544545218102</v>
          </cell>
          <cell r="O62">
            <v>579.28053505736602</v>
          </cell>
          <cell r="P62">
            <v>403.047947818924</v>
          </cell>
          <cell r="Q62">
            <v>527.53432561371005</v>
          </cell>
          <cell r="R62">
            <v>3007.1003220847301</v>
          </cell>
          <cell r="S62">
            <v>70519.619051935195</v>
          </cell>
          <cell r="T62">
            <v>4793.4802553273303</v>
          </cell>
          <cell r="U62">
            <v>26592.6088788696</v>
          </cell>
          <cell r="V62">
            <v>27016.7380854943</v>
          </cell>
          <cell r="W62">
            <v>3798.2641140737701</v>
          </cell>
          <cell r="X62">
            <v>8318.5277181701003</v>
          </cell>
          <cell r="Y62">
            <v>836.53238728178405</v>
          </cell>
          <cell r="Z62">
            <v>78302.047251560798</v>
          </cell>
        </row>
        <row r="63">
          <cell r="A63" t="str">
            <v>WP Labuan</v>
          </cell>
          <cell r="B63">
            <v>15</v>
          </cell>
          <cell r="C63">
            <v>103.865070873119</v>
          </cell>
          <cell r="D63">
            <v>6.7124170983965996</v>
          </cell>
          <cell r="E63">
            <v>0</v>
          </cell>
          <cell r="F63">
            <v>97.152653774722395</v>
          </cell>
          <cell r="I63">
            <v>0</v>
          </cell>
          <cell r="J63">
            <v>839.74064273709098</v>
          </cell>
          <cell r="K63">
            <v>22.786079043617999</v>
          </cell>
          <cell r="L63">
            <v>2.3822621176249501</v>
          </cell>
          <cell r="M63">
            <v>1.6646989143698101</v>
          </cell>
          <cell r="N63">
            <v>386.54407577023301</v>
          </cell>
          <cell r="O63">
            <v>413.81621392384602</v>
          </cell>
          <cell r="P63">
            <v>0</v>
          </cell>
          <cell r="Q63">
            <v>12.547312967399</v>
          </cell>
          <cell r="R63">
            <v>18.286791709978299</v>
          </cell>
          <cell r="S63">
            <v>1699.0669193485401</v>
          </cell>
          <cell r="T63">
            <v>191.114127334313</v>
          </cell>
          <cell r="U63">
            <v>206.74804917637601</v>
          </cell>
          <cell r="V63">
            <v>1185.6698268964899</v>
          </cell>
          <cell r="W63">
            <v>63.861886646380597</v>
          </cell>
          <cell r="X63">
            <v>51.673029294981802</v>
          </cell>
          <cell r="Y63">
            <v>17.074881227044699</v>
          </cell>
          <cell r="Z63">
            <v>2678.0343058957801</v>
          </cell>
        </row>
        <row r="64">
          <cell r="A64" t="str">
            <v>Supra1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I64">
            <v>50274.226086704599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50274.226086704599</v>
          </cell>
        </row>
        <row r="65">
          <cell r="A65" t="str">
            <v>MALAYSIA</v>
          </cell>
          <cell r="C65">
            <v>48187.881112145697</v>
          </cell>
          <cell r="D65">
            <v>33920.9747952947</v>
          </cell>
          <cell r="E65">
            <v>7925.9523854908302</v>
          </cell>
          <cell r="F65">
            <v>6340.9539313602199</v>
          </cell>
          <cell r="I65">
            <v>72758.484274225499</v>
          </cell>
          <cell r="J65">
            <v>165879.45540217799</v>
          </cell>
          <cell r="K65">
            <v>15149.981484566</v>
          </cell>
          <cell r="L65">
            <v>3261.4740081149198</v>
          </cell>
          <cell r="M65">
            <v>12290.1431556931</v>
          </cell>
          <cell r="N65">
            <v>45802.169504751197</v>
          </cell>
          <cell r="O65">
            <v>17618.602334589199</v>
          </cell>
          <cell r="P65">
            <v>52532.297278191698</v>
          </cell>
          <cell r="Q65">
            <v>19224.7876362723</v>
          </cell>
          <cell r="R65">
            <v>17390.5739465685</v>
          </cell>
          <cell r="S65">
            <v>299933.34239847102</v>
          </cell>
          <cell r="T65">
            <v>57402.403871686198</v>
          </cell>
          <cell r="U65">
            <v>91404.971381981901</v>
          </cell>
          <cell r="V65">
            <v>79673.200124777097</v>
          </cell>
          <cell r="W65">
            <v>29958.5279617661</v>
          </cell>
          <cell r="X65">
            <v>41494.2390582593</v>
          </cell>
          <cell r="Y65">
            <v>5937.4319206691798</v>
          </cell>
          <cell r="Z65">
            <v>610087.16905425803</v>
          </cell>
        </row>
        <row r="68">
          <cell r="A68" t="str">
            <v>CONSTANT</v>
          </cell>
          <cell r="B68" t="str">
            <v>Industry</v>
          </cell>
          <cell r="D68">
            <v>1</v>
          </cell>
          <cell r="E68">
            <v>2</v>
          </cell>
          <cell r="F68">
            <v>3</v>
          </cell>
          <cell r="I68">
            <v>4</v>
          </cell>
          <cell r="K68">
            <v>6</v>
          </cell>
          <cell r="L68">
            <v>7</v>
          </cell>
          <cell r="M68">
            <v>8</v>
          </cell>
          <cell r="N68">
            <v>9</v>
          </cell>
          <cell r="O68">
            <v>10</v>
          </cell>
          <cell r="P68">
            <v>11</v>
          </cell>
          <cell r="Q68">
            <v>12</v>
          </cell>
          <cell r="R68">
            <v>5</v>
          </cell>
          <cell r="T68">
            <v>13</v>
          </cell>
          <cell r="U68">
            <v>14</v>
          </cell>
          <cell r="V68">
            <v>15</v>
          </cell>
          <cell r="W68">
            <v>16</v>
          </cell>
        </row>
        <row r="69">
          <cell r="A69">
            <v>2008</v>
          </cell>
          <cell r="B69" t="str">
            <v>I</v>
          </cell>
          <cell r="C69" t="str">
            <v>Agriculture</v>
          </cell>
          <cell r="D69" t="str">
            <v>Tanaman</v>
          </cell>
          <cell r="E69" t="str">
            <v>Pembalakan</v>
          </cell>
          <cell r="F69" t="str">
            <v>Perikanan</v>
          </cell>
          <cell r="I69" t="str">
            <v>Mining and
Quarrying</v>
          </cell>
          <cell r="J69" t="str">
            <v>Manufacturing</v>
          </cell>
          <cell r="K69" t="str">
            <v>Prosesan Makanan, Minuman dan Produk Tembakau</v>
          </cell>
          <cell r="L69" t="str">
            <v>Tekstil, Pakaian, Kulit dan Kasut</v>
          </cell>
          <cell r="M69" t="str">
            <v>Keluaran Kayu, Perabot, Produk Kertas, Percetakan dan Penerbitan</v>
          </cell>
          <cell r="N69" t="str">
            <v>Produk Petroleum, Bahan kimia, Getah dan Plastik</v>
          </cell>
          <cell r="O69" t="str">
            <v>Produk Mineral Bukan Logam, Logam Asli dan Produk Logam Yang Direka</v>
          </cell>
          <cell r="P69" t="str">
            <v>Elektrik dan Elektronik</v>
          </cell>
          <cell r="Q69" t="str">
            <v>Kelengkapan Pengangkutan dan Pembuatan Lain</v>
          </cell>
          <cell r="R69" t="str">
            <v>Construction</v>
          </cell>
          <cell r="S69" t="str">
            <v>Services</v>
          </cell>
          <cell r="T69" t="str">
            <v>Utiliti, Transport &amp; Communication</v>
          </cell>
          <cell r="U69" t="str">
            <v>WRT, Accomm &amp; Restaurant</v>
          </cell>
          <cell r="V69" t="str">
            <v>Finance &amp; Insurance, Real Estate &amp; Business Services</v>
          </cell>
          <cell r="W69" t="str">
            <v>Other Services</v>
          </cell>
          <cell r="X69" t="str">
            <v>Government Services</v>
          </cell>
          <cell r="Y69" t="str">
            <v>Plus :
Import Duties</v>
          </cell>
          <cell r="Z69" t="str">
            <v>GDP at
Purchasers' Prices</v>
          </cell>
        </row>
        <row r="70">
          <cell r="A70" t="str">
            <v>States</v>
          </cell>
          <cell r="B70" t="str">
            <v>Converter</v>
          </cell>
        </row>
        <row r="71">
          <cell r="A71" t="str">
            <v>Johor</v>
          </cell>
          <cell r="B71" t="str">
            <v>01</v>
          </cell>
          <cell r="C71">
            <v>7170.5642833848297</v>
          </cell>
          <cell r="D71">
            <v>6552.3323969553603</v>
          </cell>
          <cell r="E71">
            <v>53.570652274507502</v>
          </cell>
          <cell r="F71">
            <v>564.66123415495804</v>
          </cell>
          <cell r="I71">
            <v>53.974312406284497</v>
          </cell>
          <cell r="J71">
            <v>20027.698931422499</v>
          </cell>
          <cell r="K71">
            <v>2237.44821476371</v>
          </cell>
          <cell r="L71">
            <v>886.10036568846795</v>
          </cell>
          <cell r="M71">
            <v>1629.6346386585401</v>
          </cell>
          <cell r="N71">
            <v>3795.0370578501402</v>
          </cell>
          <cell r="O71">
            <v>2785.61796350646</v>
          </cell>
          <cell r="P71">
            <v>6962.8762218903703</v>
          </cell>
          <cell r="Q71">
            <v>1730.9844690647899</v>
          </cell>
          <cell r="R71">
            <v>1597.09857176644</v>
          </cell>
          <cell r="S71">
            <v>27296.435615271399</v>
          </cell>
          <cell r="T71">
            <v>6090.7424245899101</v>
          </cell>
          <cell r="U71">
            <v>6594.7816774399598</v>
          </cell>
          <cell r="V71">
            <v>7868.2839034950102</v>
          </cell>
          <cell r="W71">
            <v>2685.0853995655002</v>
          </cell>
          <cell r="X71">
            <v>4057.54221018098</v>
          </cell>
          <cell r="Y71">
            <v>844.05037865614395</v>
          </cell>
          <cell r="Z71">
            <v>56989.822092907503</v>
          </cell>
        </row>
        <row r="72">
          <cell r="A72" t="str">
            <v>Kedah</v>
          </cell>
          <cell r="B72" t="str">
            <v>02</v>
          </cell>
          <cell r="C72">
            <v>2748.1771608968802</v>
          </cell>
          <cell r="D72">
            <v>2288.3694176890999</v>
          </cell>
          <cell r="E72">
            <v>111.010602879665</v>
          </cell>
          <cell r="F72">
            <v>348.797140328117</v>
          </cell>
          <cell r="I72">
            <v>18.239695550862301</v>
          </cell>
          <cell r="J72">
            <v>6957.01496376864</v>
          </cell>
          <cell r="K72">
            <v>312.23867581872599</v>
          </cell>
          <cell r="L72">
            <v>58.534298160208799</v>
          </cell>
          <cell r="M72">
            <v>433.20309421368199</v>
          </cell>
          <cell r="N72">
            <v>1355.4752458636899</v>
          </cell>
          <cell r="O72">
            <v>2010.05922817587</v>
          </cell>
          <cell r="P72">
            <v>1883.5947183666101</v>
          </cell>
          <cell r="Q72">
            <v>903.90970316987</v>
          </cell>
          <cell r="R72">
            <v>571.38911527631399</v>
          </cell>
          <cell r="S72">
            <v>10774.2800166954</v>
          </cell>
          <cell r="T72">
            <v>1586.08816408142</v>
          </cell>
          <cell r="U72">
            <v>2801.87031589756</v>
          </cell>
          <cell r="V72">
            <v>2035.2337212831801</v>
          </cell>
          <cell r="W72">
            <v>1798.1172809443001</v>
          </cell>
          <cell r="X72">
            <v>2552.9705344889198</v>
          </cell>
          <cell r="Y72">
            <v>139.64890039374501</v>
          </cell>
          <cell r="Z72">
            <v>21208.749852581801</v>
          </cell>
        </row>
        <row r="73">
          <cell r="A73" t="str">
            <v>Kelantan</v>
          </cell>
          <cell r="B73" t="str">
            <v>03</v>
          </cell>
          <cell r="C73">
            <v>3027.6310674799702</v>
          </cell>
          <cell r="D73">
            <v>2152.0116431654001</v>
          </cell>
          <cell r="E73">
            <v>606.16328206114895</v>
          </cell>
          <cell r="F73">
            <v>269.45614225342302</v>
          </cell>
          <cell r="I73">
            <v>15.925022656613001</v>
          </cell>
          <cell r="J73">
            <v>572.15677675997199</v>
          </cell>
          <cell r="K73">
            <v>99.081637376973802</v>
          </cell>
          <cell r="L73">
            <v>51.710970220077101</v>
          </cell>
          <cell r="M73">
            <v>72.546847023653996</v>
          </cell>
          <cell r="N73">
            <v>83.620713062007098</v>
          </cell>
          <cell r="O73">
            <v>54.650643089896597</v>
          </cell>
          <cell r="P73">
            <v>201.49060798824399</v>
          </cell>
          <cell r="Q73">
            <v>9.0553579991195896</v>
          </cell>
          <cell r="R73">
            <v>175.86575138221801</v>
          </cell>
          <cell r="S73">
            <v>7393.6547099700801</v>
          </cell>
          <cell r="T73">
            <v>824.08031562158999</v>
          </cell>
          <cell r="U73">
            <v>2057.9749224587299</v>
          </cell>
          <cell r="V73">
            <v>920.86422992535597</v>
          </cell>
          <cell r="W73">
            <v>1262.6577309111999</v>
          </cell>
          <cell r="X73">
            <v>2328.0775110531999</v>
          </cell>
          <cell r="Y73">
            <v>18.0995391250277</v>
          </cell>
          <cell r="Z73">
            <v>11203.3328673739</v>
          </cell>
        </row>
        <row r="74">
          <cell r="A74" t="str">
            <v>Melaka</v>
          </cell>
          <cell r="B74" t="str">
            <v>04</v>
          </cell>
          <cell r="C74">
            <v>1252.3213332514199</v>
          </cell>
          <cell r="D74">
            <v>1225.31767718993</v>
          </cell>
          <cell r="E74">
            <v>0.27325933110072698</v>
          </cell>
          <cell r="F74">
            <v>26.730396730389899</v>
          </cell>
          <cell r="I74">
            <v>8.1132989453658606</v>
          </cell>
          <cell r="J74">
            <v>8527.0481185479202</v>
          </cell>
          <cell r="K74">
            <v>342.85015923026702</v>
          </cell>
          <cell r="L74">
            <v>189.85552542873799</v>
          </cell>
          <cell r="M74">
            <v>401.68897417256602</v>
          </cell>
          <cell r="N74">
            <v>3249.9228676149</v>
          </cell>
          <cell r="O74">
            <v>594.37140616983504</v>
          </cell>
          <cell r="P74">
            <v>2223.9017940836602</v>
          </cell>
          <cell r="Q74">
            <v>1524.45739184795</v>
          </cell>
          <cell r="R74">
            <v>523.57995395986302</v>
          </cell>
          <cell r="S74">
            <v>7927.08095236587</v>
          </cell>
          <cell r="T74">
            <v>1453.1112885344901</v>
          </cell>
          <cell r="U74">
            <v>2669.98556973717</v>
          </cell>
          <cell r="V74">
            <v>1568.19399157097</v>
          </cell>
          <cell r="W74">
            <v>1051.7554282571</v>
          </cell>
          <cell r="X74">
            <v>1184.03467426615</v>
          </cell>
          <cell r="Y74">
            <v>11.4618260640027</v>
          </cell>
          <cell r="Z74">
            <v>18249.605483134401</v>
          </cell>
        </row>
        <row r="75">
          <cell r="A75" t="str">
            <v>Negeri Sembilan</v>
          </cell>
          <cell r="B75" t="str">
            <v>05</v>
          </cell>
          <cell r="C75">
            <v>1832.08891157927</v>
          </cell>
          <cell r="D75">
            <v>1773.65348057865</v>
          </cell>
          <cell r="E75">
            <v>31.470822994454402</v>
          </cell>
          <cell r="F75">
            <v>26.964608006166099</v>
          </cell>
          <cell r="I75">
            <v>19.239437471789</v>
          </cell>
          <cell r="J75">
            <v>12037.523484368199</v>
          </cell>
          <cell r="K75">
            <v>1157.1717543028701</v>
          </cell>
          <cell r="L75">
            <v>468.15762514419498</v>
          </cell>
          <cell r="M75">
            <v>321.67196918713699</v>
          </cell>
          <cell r="N75">
            <v>2993.8336955334898</v>
          </cell>
          <cell r="O75">
            <v>934.14198202758598</v>
          </cell>
          <cell r="P75">
            <v>5126.0242008203104</v>
          </cell>
          <cell r="Q75">
            <v>1036.5222573526401</v>
          </cell>
          <cell r="R75">
            <v>495.027490900494</v>
          </cell>
          <cell r="S75">
            <v>9154.7227376740193</v>
          </cell>
          <cell r="T75">
            <v>2141.9358079268</v>
          </cell>
          <cell r="U75">
            <v>2308.7027253908</v>
          </cell>
          <cell r="V75">
            <v>1927.19666318128</v>
          </cell>
          <cell r="W75">
            <v>1202.93770936334</v>
          </cell>
          <cell r="X75">
            <v>1573.9498318117901</v>
          </cell>
          <cell r="Y75">
            <v>117.980859251675</v>
          </cell>
          <cell r="Z75">
            <v>23656.582921245499</v>
          </cell>
        </row>
        <row r="76">
          <cell r="A76" t="str">
            <v>Pahang</v>
          </cell>
          <cell r="B76" t="str">
            <v>06</v>
          </cell>
          <cell r="C76">
            <v>5455.0762771085901</v>
          </cell>
          <cell r="D76">
            <v>4452.4266430297102</v>
          </cell>
          <cell r="E76">
            <v>470.116956441659</v>
          </cell>
          <cell r="F76">
            <v>532.53267763721999</v>
          </cell>
          <cell r="I76">
            <v>100.36584932021999</v>
          </cell>
          <cell r="J76">
            <v>7210.2004057692702</v>
          </cell>
          <cell r="K76">
            <v>769.87151506442399</v>
          </cell>
          <cell r="L76">
            <v>12.385865540607201</v>
          </cell>
          <cell r="M76">
            <v>413.97902222490598</v>
          </cell>
          <cell r="N76">
            <v>3068.0492317742501</v>
          </cell>
          <cell r="O76">
            <v>769.63818148399798</v>
          </cell>
          <cell r="P76">
            <v>51.3753888189731</v>
          </cell>
          <cell r="Q76">
            <v>2124.9012008621198</v>
          </cell>
          <cell r="R76">
            <v>661.57161300783503</v>
          </cell>
          <cell r="S76">
            <v>12973.6076465391</v>
          </cell>
          <cell r="T76">
            <v>1378.1853080583901</v>
          </cell>
          <cell r="U76">
            <v>4148.2442956492296</v>
          </cell>
          <cell r="V76">
            <v>1753.4240565396999</v>
          </cell>
          <cell r="W76">
            <v>3208.2121272485101</v>
          </cell>
          <cell r="X76">
            <v>2485.5418590432901</v>
          </cell>
          <cell r="Y76">
            <v>63.757302087708602</v>
          </cell>
          <cell r="Z76">
            <v>26464.579093832799</v>
          </cell>
        </row>
        <row r="77">
          <cell r="A77" t="str">
            <v>Pulau Pinang</v>
          </cell>
          <cell r="B77" t="str">
            <v>07</v>
          </cell>
          <cell r="C77">
            <v>749.94035118466797</v>
          </cell>
          <cell r="D77">
            <v>526.21122120474399</v>
          </cell>
          <cell r="E77">
            <v>0</v>
          </cell>
          <cell r="F77">
            <v>223.72912997992401</v>
          </cell>
          <cell r="I77">
            <v>18.986404553479499</v>
          </cell>
          <cell r="J77">
            <v>26348.444882624201</v>
          </cell>
          <cell r="K77">
            <v>689.29693633182296</v>
          </cell>
          <cell r="L77">
            <v>490.58533614708301</v>
          </cell>
          <cell r="M77">
            <v>767.56532285628998</v>
          </cell>
          <cell r="N77">
            <v>1888.14782222227</v>
          </cell>
          <cell r="O77">
            <v>1809.1693963134801</v>
          </cell>
          <cell r="P77">
            <v>19072.286939373898</v>
          </cell>
          <cell r="Q77">
            <v>1631.39312937931</v>
          </cell>
          <cell r="R77">
            <v>1004.94153188345</v>
          </cell>
          <cell r="S77">
            <v>20266.906143440901</v>
          </cell>
          <cell r="T77">
            <v>4211.9582272429398</v>
          </cell>
          <cell r="U77">
            <v>5915.1172258340403</v>
          </cell>
          <cell r="V77">
            <v>5883.18430518072</v>
          </cell>
          <cell r="W77">
            <v>2013.78632840968</v>
          </cell>
          <cell r="X77">
            <v>2242.8600567734702</v>
          </cell>
          <cell r="Y77">
            <v>359.64911542058502</v>
          </cell>
          <cell r="Z77">
            <v>48748.868429107199</v>
          </cell>
        </row>
        <row r="78">
          <cell r="A78" t="str">
            <v>Perak</v>
          </cell>
          <cell r="B78" t="str">
            <v>08</v>
          </cell>
          <cell r="C78">
            <v>5067.8059180852897</v>
          </cell>
          <cell r="D78">
            <v>3719.44414090086</v>
          </cell>
          <cell r="E78">
            <v>368.25569428126801</v>
          </cell>
          <cell r="F78">
            <v>980.10608290315702</v>
          </cell>
          <cell r="I78">
            <v>103.184457255374</v>
          </cell>
          <cell r="J78">
            <v>6605.2252252100297</v>
          </cell>
          <cell r="K78">
            <v>869.57174628031896</v>
          </cell>
          <cell r="L78">
            <v>197.240495601915</v>
          </cell>
          <cell r="M78">
            <v>312.94982545181699</v>
          </cell>
          <cell r="N78">
            <v>1474.0761624444301</v>
          </cell>
          <cell r="O78">
            <v>1534.8566587800401</v>
          </cell>
          <cell r="P78">
            <v>1699.8833316723999</v>
          </cell>
          <cell r="Q78">
            <v>516.64700497911201</v>
          </cell>
          <cell r="R78">
            <v>582.50096026431402</v>
          </cell>
          <cell r="S78">
            <v>20679.2256318416</v>
          </cell>
          <cell r="T78">
            <v>5833.6995245607004</v>
          </cell>
          <cell r="U78">
            <v>4823.5297935970402</v>
          </cell>
          <cell r="V78">
            <v>3897.9275608838998</v>
          </cell>
          <cell r="W78">
            <v>2642.6796385010898</v>
          </cell>
          <cell r="X78">
            <v>3481.38911429888</v>
          </cell>
          <cell r="Y78">
            <v>21.596787120596598</v>
          </cell>
          <cell r="Z78">
            <v>33059.5389797772</v>
          </cell>
        </row>
        <row r="79">
          <cell r="A79" t="str">
            <v>Perlis</v>
          </cell>
          <cell r="B79" t="str">
            <v>09</v>
          </cell>
          <cell r="C79">
            <v>935.57928140876095</v>
          </cell>
          <cell r="D79">
            <v>268.76405732769098</v>
          </cell>
          <cell r="E79">
            <v>0</v>
          </cell>
          <cell r="F79">
            <v>666.81522408107003</v>
          </cell>
          <cell r="I79">
            <v>7.8015227651921801</v>
          </cell>
          <cell r="J79">
            <v>349.32019348366998</v>
          </cell>
          <cell r="K79">
            <v>54.502227089057698</v>
          </cell>
          <cell r="L79">
            <v>51.629230750296998</v>
          </cell>
          <cell r="M79">
            <v>4.1927671943535598</v>
          </cell>
          <cell r="N79">
            <v>95.164894575306803</v>
          </cell>
          <cell r="O79">
            <v>142.89041771363799</v>
          </cell>
          <cell r="P79">
            <v>0.41720944774469298</v>
          </cell>
          <cell r="Q79">
            <v>0.52344671327310199</v>
          </cell>
          <cell r="R79">
            <v>101.26540747310899</v>
          </cell>
          <cell r="S79">
            <v>1789.43683170176</v>
          </cell>
          <cell r="T79">
            <v>618.26873703333501</v>
          </cell>
          <cell r="U79">
            <v>250.42582661869599</v>
          </cell>
          <cell r="V79">
            <v>229.64700012768901</v>
          </cell>
          <cell r="W79">
            <v>238.11756091022201</v>
          </cell>
          <cell r="X79">
            <v>452.97770701181599</v>
          </cell>
          <cell r="Y79">
            <v>66.343859851239401</v>
          </cell>
          <cell r="Z79">
            <v>3249.74709668373</v>
          </cell>
        </row>
        <row r="80">
          <cell r="A80" t="str">
            <v>Selangor</v>
          </cell>
          <cell r="B80">
            <v>10</v>
          </cell>
          <cell r="C80">
            <v>2306.4004204636199</v>
          </cell>
          <cell r="D80">
            <v>1636.27720951693</v>
          </cell>
          <cell r="E80">
            <v>13.6682036104921</v>
          </cell>
          <cell r="F80">
            <v>656.45500733619497</v>
          </cell>
          <cell r="I80">
            <v>121.688062496567</v>
          </cell>
          <cell r="J80">
            <v>44795.331237077102</v>
          </cell>
          <cell r="K80">
            <v>6715.4856658059798</v>
          </cell>
          <cell r="L80">
            <v>528.29252835263401</v>
          </cell>
          <cell r="M80">
            <v>3810.00459350437</v>
          </cell>
          <cell r="N80">
            <v>5878.6944612834995</v>
          </cell>
          <cell r="O80">
            <v>5875.0931975616904</v>
          </cell>
          <cell r="P80">
            <v>11039.3291554592</v>
          </cell>
          <cell r="Q80">
            <v>10948.4316351097</v>
          </cell>
          <cell r="R80">
            <v>6243.9686026801</v>
          </cell>
          <cell r="S80">
            <v>81917.655086211103</v>
          </cell>
          <cell r="T80">
            <v>19834.486867533</v>
          </cell>
          <cell r="U80">
            <v>27732.002140549001</v>
          </cell>
          <cell r="V80">
            <v>21135.3151207962</v>
          </cell>
          <cell r="W80">
            <v>6917.3595796658901</v>
          </cell>
          <cell r="X80">
            <v>6298.4913776670401</v>
          </cell>
          <cell r="Y80">
            <v>4492.0200225018598</v>
          </cell>
          <cell r="Z80">
            <v>139877.06343143</v>
          </cell>
        </row>
        <row r="81">
          <cell r="A81" t="str">
            <v>Terengganu</v>
          </cell>
          <cell r="B81">
            <v>11</v>
          </cell>
          <cell r="C81">
            <v>1868.7466500673299</v>
          </cell>
          <cell r="D81">
            <v>1376.63104168482</v>
          </cell>
          <cell r="E81">
            <v>123.549504003599</v>
          </cell>
          <cell r="F81">
            <v>368.56610437891601</v>
          </cell>
          <cell r="I81">
            <v>9.5909415136728509</v>
          </cell>
          <cell r="J81">
            <v>7568.4216460510097</v>
          </cell>
          <cell r="K81">
            <v>60.844329089771499</v>
          </cell>
          <cell r="L81">
            <v>30.1785211503163</v>
          </cell>
          <cell r="M81">
            <v>108.103254450601</v>
          </cell>
          <cell r="N81">
            <v>6666.2671079688998</v>
          </cell>
          <cell r="O81">
            <v>590.64019872650704</v>
          </cell>
          <cell r="P81">
            <v>2.89261597011456</v>
          </cell>
          <cell r="Q81">
            <v>109.49561869479101</v>
          </cell>
          <cell r="R81">
            <v>571.792479817051</v>
          </cell>
          <cell r="S81">
            <v>8459.2870635188992</v>
          </cell>
          <cell r="T81">
            <v>3335.1416614582399</v>
          </cell>
          <cell r="U81">
            <v>1527.3126581572801</v>
          </cell>
          <cell r="V81">
            <v>753.40514713643597</v>
          </cell>
          <cell r="W81">
            <v>853.55315647359896</v>
          </cell>
          <cell r="X81">
            <v>1989.8744402933401</v>
          </cell>
          <cell r="Y81">
            <v>22.352791701644001</v>
          </cell>
          <cell r="Z81">
            <v>18500.191572669599</v>
          </cell>
        </row>
        <row r="82">
          <cell r="A82" t="str">
            <v>Sabah</v>
          </cell>
          <cell r="B82">
            <v>12</v>
          </cell>
          <cell r="C82">
            <v>10094.902381182599</v>
          </cell>
          <cell r="D82">
            <v>6662.8019414520804</v>
          </cell>
          <cell r="E82">
            <v>1916.47704071711</v>
          </cell>
          <cell r="F82">
            <v>1515.6233990134201</v>
          </cell>
          <cell r="I82">
            <v>8037.0394100663098</v>
          </cell>
          <cell r="J82">
            <v>3412.1274698001698</v>
          </cell>
          <cell r="K82">
            <v>1951.46261811467</v>
          </cell>
          <cell r="L82">
            <v>30.8890325568645</v>
          </cell>
          <cell r="M82">
            <v>896.60369368980196</v>
          </cell>
          <cell r="N82">
            <v>130.35469092791101</v>
          </cell>
          <cell r="O82">
            <v>264.13360365970101</v>
          </cell>
          <cell r="P82">
            <v>7.1228420514294299</v>
          </cell>
          <cell r="Q82">
            <v>131.56098879979601</v>
          </cell>
          <cell r="R82">
            <v>823.31542778865503</v>
          </cell>
          <cell r="S82">
            <v>16548.3369776412</v>
          </cell>
          <cell r="T82">
            <v>3155.34217557493</v>
          </cell>
          <cell r="U82">
            <v>5386.8789916800997</v>
          </cell>
          <cell r="V82">
            <v>3170.1727072173899</v>
          </cell>
          <cell r="W82">
            <v>1600.27552420761</v>
          </cell>
          <cell r="X82">
            <v>3235.66757896117</v>
          </cell>
          <cell r="Y82">
            <v>198.26699960755701</v>
          </cell>
          <cell r="Z82">
            <v>39113.988666086501</v>
          </cell>
        </row>
        <row r="83">
          <cell r="A83" t="str">
            <v>Sarawak</v>
          </cell>
          <cell r="B83">
            <v>13</v>
          </cell>
          <cell r="C83">
            <v>7415.2679328992299</v>
          </cell>
          <cell r="D83">
            <v>3152.3724412413499</v>
          </cell>
          <cell r="E83">
            <v>3831.8281290446598</v>
          </cell>
          <cell r="F83">
            <v>431.06736261321799</v>
          </cell>
          <cell r="I83">
            <v>16465.054567110299</v>
          </cell>
          <cell r="J83">
            <v>18472.101260906202</v>
          </cell>
          <cell r="K83">
            <v>587.73011486882899</v>
          </cell>
          <cell r="L83">
            <v>20.5740816912508</v>
          </cell>
          <cell r="M83">
            <v>1478.17446056941</v>
          </cell>
          <cell r="N83">
            <v>14918.7790363242</v>
          </cell>
          <cell r="O83">
            <v>462.07136159612202</v>
          </cell>
          <cell r="P83">
            <v>489.41684695457099</v>
          </cell>
          <cell r="Q83">
            <v>515.35535890174697</v>
          </cell>
          <cell r="R83">
            <v>1584.5546063460699</v>
          </cell>
          <cell r="S83">
            <v>21221.6999350355</v>
          </cell>
          <cell r="T83">
            <v>4928.2390888015098</v>
          </cell>
          <cell r="U83">
            <v>5752.67169501841</v>
          </cell>
          <cell r="V83">
            <v>5260.6696718154899</v>
          </cell>
          <cell r="W83">
            <v>2131.7620709674802</v>
          </cell>
          <cell r="X83">
            <v>3148.3574084326401</v>
          </cell>
          <cell r="Y83">
            <v>311.57940890856401</v>
          </cell>
          <cell r="Z83">
            <v>65470.257711205901</v>
          </cell>
        </row>
        <row r="84">
          <cell r="A84" t="str">
            <v>WP Kuala Lumpur</v>
          </cell>
          <cell r="B84">
            <v>14</v>
          </cell>
          <cell r="C84">
            <v>1.8243439513005599</v>
          </cell>
          <cell r="D84">
            <v>1.8243439513005599</v>
          </cell>
          <cell r="E84">
            <v>0</v>
          </cell>
          <cell r="F84">
            <v>0</v>
          </cell>
          <cell r="I84">
            <v>26.4050261874564</v>
          </cell>
          <cell r="J84">
            <v>3672.1549682251498</v>
          </cell>
          <cell r="K84">
            <v>432.68358955642702</v>
          </cell>
          <cell r="L84">
            <v>296.30800336994702</v>
          </cell>
          <cell r="M84">
            <v>1036.5487339948099</v>
          </cell>
          <cell r="N84">
            <v>589.69570351422101</v>
          </cell>
          <cell r="O84">
            <v>501.07118610173001</v>
          </cell>
          <cell r="P84">
            <v>241.79047869049501</v>
          </cell>
          <cell r="Q84">
            <v>574.05727299752505</v>
          </cell>
          <cell r="R84">
            <v>3193.9793919204899</v>
          </cell>
          <cell r="S84">
            <v>77689.654913025704</v>
          </cell>
          <cell r="T84">
            <v>5215.9939333560897</v>
          </cell>
          <cell r="U84">
            <v>29153.1803434828</v>
          </cell>
          <cell r="V84">
            <v>29696.389046616001</v>
          </cell>
          <cell r="W84">
            <v>4092.2781887101501</v>
          </cell>
          <cell r="X84">
            <v>9531.8134008606503</v>
          </cell>
          <cell r="Y84">
            <v>829.82722957740998</v>
          </cell>
          <cell r="Z84">
            <v>85413.845872887498</v>
          </cell>
        </row>
        <row r="85">
          <cell r="A85" t="str">
            <v>WP Labuan</v>
          </cell>
          <cell r="B85">
            <v>15</v>
          </cell>
          <cell r="C85">
            <v>109.50032694180101</v>
          </cell>
          <cell r="D85">
            <v>9.0733866410139097</v>
          </cell>
          <cell r="E85">
            <v>0</v>
          </cell>
          <cell r="F85">
            <v>100.426940300787</v>
          </cell>
          <cell r="I85">
            <v>0</v>
          </cell>
          <cell r="J85">
            <v>593.17885993159598</v>
          </cell>
          <cell r="K85">
            <v>23.962238160576899</v>
          </cell>
          <cell r="L85">
            <v>2.4967399763865399</v>
          </cell>
          <cell r="M85">
            <v>1.50252930750069</v>
          </cell>
          <cell r="N85">
            <v>298.46286538655602</v>
          </cell>
          <cell r="O85">
            <v>256.38808224051598</v>
          </cell>
          <cell r="P85">
            <v>0</v>
          </cell>
          <cell r="Q85">
            <v>10.366404860059401</v>
          </cell>
          <cell r="R85">
            <v>20.509544214180899</v>
          </cell>
          <cell r="S85">
            <v>1619.7325058092599</v>
          </cell>
          <cell r="T85">
            <v>208.12885045006999</v>
          </cell>
          <cell r="U85">
            <v>220.514676171806</v>
          </cell>
          <cell r="V85">
            <v>1057.60027749454</v>
          </cell>
          <cell r="W85">
            <v>64.388805102398393</v>
          </cell>
          <cell r="X85">
            <v>69.099896590450001</v>
          </cell>
          <cell r="Y85">
            <v>26.174126121139601</v>
          </cell>
          <cell r="Z85">
            <v>2369.0953630179802</v>
          </cell>
        </row>
        <row r="86">
          <cell r="A86" t="str">
            <v>Supra1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I86">
            <v>45989.894528632904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45989.894528632904</v>
          </cell>
        </row>
        <row r="87">
          <cell r="A87" t="str">
            <v>MALAYSIA</v>
          </cell>
          <cell r="C87">
            <v>50035.826639885599</v>
          </cell>
          <cell r="D87">
            <v>35797.511042528997</v>
          </cell>
          <cell r="E87">
            <v>7526.3841476396701</v>
          </cell>
          <cell r="F87">
            <v>6711.9314497169698</v>
          </cell>
          <cell r="I87">
            <v>70995.502536932399</v>
          </cell>
          <cell r="J87">
            <v>167147.94842394601</v>
          </cell>
          <cell r="K87">
            <v>16304.201421854401</v>
          </cell>
          <cell r="L87">
            <v>3314.93861977899</v>
          </cell>
          <cell r="M87">
            <v>11688.369726499401</v>
          </cell>
          <cell r="N87">
            <v>46485.581556345802</v>
          </cell>
          <cell r="O87">
            <v>18584.7935071471</v>
          </cell>
          <cell r="P87">
            <v>49002.402351588098</v>
          </cell>
          <cell r="Q87">
            <v>21767.661240731799</v>
          </cell>
          <cell r="R87">
            <v>18151.3604486806</v>
          </cell>
          <cell r="S87">
            <v>325711.716766742</v>
          </cell>
          <cell r="T87">
            <v>60815.402374823403</v>
          </cell>
          <cell r="U87">
            <v>101343.192857683</v>
          </cell>
          <cell r="V87">
            <v>87157.507403263895</v>
          </cell>
          <cell r="W87">
            <v>31762.9665292381</v>
          </cell>
          <cell r="X87">
            <v>44632.647601733799</v>
          </cell>
          <cell r="Y87">
            <v>7522.8091463889004</v>
          </cell>
          <cell r="Z87">
            <v>639565.16396257502</v>
          </cell>
        </row>
        <row r="90">
          <cell r="A90" t="str">
            <v>CONSTANT</v>
          </cell>
          <cell r="B90" t="str">
            <v>Industry</v>
          </cell>
          <cell r="D90">
            <v>1</v>
          </cell>
          <cell r="E90">
            <v>2</v>
          </cell>
          <cell r="F90">
            <v>3</v>
          </cell>
          <cell r="I90">
            <v>4</v>
          </cell>
          <cell r="K90">
            <v>6</v>
          </cell>
          <cell r="L90">
            <v>7</v>
          </cell>
          <cell r="M90">
            <v>8</v>
          </cell>
          <cell r="N90">
            <v>9</v>
          </cell>
          <cell r="O90">
            <v>10</v>
          </cell>
          <cell r="P90">
            <v>11</v>
          </cell>
          <cell r="Q90">
            <v>12</v>
          </cell>
          <cell r="R90">
            <v>5</v>
          </cell>
          <cell r="T90">
            <v>13</v>
          </cell>
          <cell r="U90">
            <v>14</v>
          </cell>
          <cell r="V90">
            <v>15</v>
          </cell>
          <cell r="W90">
            <v>16</v>
          </cell>
        </row>
        <row r="91">
          <cell r="A91">
            <v>2009</v>
          </cell>
          <cell r="B91" t="str">
            <v>I</v>
          </cell>
          <cell r="C91" t="str">
            <v>Agriculture</v>
          </cell>
          <cell r="D91" t="str">
            <v>Tanaman</v>
          </cell>
          <cell r="E91" t="str">
            <v>Pembalakan</v>
          </cell>
          <cell r="F91" t="str">
            <v>Perikanan</v>
          </cell>
          <cell r="I91" t="str">
            <v>Mining and
Quarrying</v>
          </cell>
          <cell r="J91" t="str">
            <v>Manufacturing</v>
          </cell>
          <cell r="K91" t="str">
            <v>Prosesan Makanan, Minuman dan Produk Tembakau</v>
          </cell>
          <cell r="L91" t="str">
            <v>Tekstil, Pakaian, Kulit dan Kasut</v>
          </cell>
          <cell r="M91" t="str">
            <v>Keluaran Kayu, Perabot, Produk Kertas, Percetakan dan Penerbitan</v>
          </cell>
          <cell r="N91" t="str">
            <v>Produk Petroleum, Bahan kimia, Getah dan Plastik</v>
          </cell>
          <cell r="O91" t="str">
            <v>Produk Mineral Bukan Logam, Logam Asli dan Produk Logam Yang Direka</v>
          </cell>
          <cell r="P91" t="str">
            <v>Elektrik dan Elektronik</v>
          </cell>
          <cell r="Q91" t="str">
            <v>Kelengkapan Pengangkutan dan Pembuatan Lain</v>
          </cell>
          <cell r="R91" t="str">
            <v>Construction</v>
          </cell>
          <cell r="S91" t="str">
            <v>Services</v>
          </cell>
          <cell r="T91" t="str">
            <v>Utiliti, Transport &amp; Communication</v>
          </cell>
          <cell r="U91" t="str">
            <v>WRT, Accomm &amp; Restaurant</v>
          </cell>
          <cell r="V91" t="str">
            <v>Finance &amp; Insurance, Real Estate &amp; Business Services</v>
          </cell>
          <cell r="W91" t="str">
            <v>Other Services</v>
          </cell>
          <cell r="X91" t="str">
            <v>Government Services</v>
          </cell>
          <cell r="Y91" t="str">
            <v>Plus :
Import Duties</v>
          </cell>
          <cell r="Z91" t="str">
            <v>GDP at
Purchasers' Prices</v>
          </cell>
        </row>
        <row r="92">
          <cell r="A92" t="str">
            <v>States</v>
          </cell>
          <cell r="B92" t="str">
            <v>Converter</v>
          </cell>
        </row>
        <row r="93">
          <cell r="A93" t="str">
            <v>Johor</v>
          </cell>
          <cell r="B93" t="str">
            <v>01</v>
          </cell>
          <cell r="C93">
            <v>7448.2393672682201</v>
          </cell>
          <cell r="D93">
            <v>6847.5819260768603</v>
          </cell>
          <cell r="E93">
            <v>43.148358243858802</v>
          </cell>
          <cell r="F93">
            <v>557.50908294750695</v>
          </cell>
          <cell r="I93">
            <v>59.342094682436503</v>
          </cell>
          <cell r="J93">
            <v>17649.556571429999</v>
          </cell>
          <cell r="K93">
            <v>2196.4159051557499</v>
          </cell>
          <cell r="L93">
            <v>691.51393536519902</v>
          </cell>
          <cell r="M93">
            <v>1559.7683565330301</v>
          </cell>
          <cell r="N93">
            <v>3946.1300152973099</v>
          </cell>
          <cell r="O93">
            <v>2493.6886518238498</v>
          </cell>
          <cell r="P93">
            <v>5311.1443811066201</v>
          </cell>
          <cell r="Q93">
            <v>1450.89532614825</v>
          </cell>
          <cell r="R93">
            <v>1816.64880833851</v>
          </cell>
          <cell r="S93">
            <v>27526.586490464801</v>
          </cell>
          <cell r="T93">
            <v>6167.6168495386601</v>
          </cell>
          <cell r="U93">
            <v>6632.5592981160198</v>
          </cell>
          <cell r="V93">
            <v>7738.6868869909704</v>
          </cell>
          <cell r="W93">
            <v>2764.9668714607701</v>
          </cell>
          <cell r="X93">
            <v>4222.7565843583598</v>
          </cell>
          <cell r="Y93">
            <v>767.47506695744096</v>
          </cell>
          <cell r="Z93">
            <v>55267.848399141403</v>
          </cell>
        </row>
        <row r="94">
          <cell r="A94" t="str">
            <v>Kedah</v>
          </cell>
          <cell r="B94" t="str">
            <v>02</v>
          </cell>
          <cell r="C94">
            <v>2758.2466806103798</v>
          </cell>
          <cell r="D94">
            <v>2251.4234052946399</v>
          </cell>
          <cell r="E94">
            <v>104.165916289599</v>
          </cell>
          <cell r="F94">
            <v>402.65735902614199</v>
          </cell>
          <cell r="I94">
            <v>18.631589802193599</v>
          </cell>
          <cell r="J94">
            <v>6416.4595205222204</v>
          </cell>
          <cell r="K94">
            <v>373.18348412210599</v>
          </cell>
          <cell r="L94">
            <v>40.195309863188797</v>
          </cell>
          <cell r="M94">
            <v>420.14065608985402</v>
          </cell>
          <cell r="N94">
            <v>1228.0792978196801</v>
          </cell>
          <cell r="O94">
            <v>1995.4499576558001</v>
          </cell>
          <cell r="P94">
            <v>1413.8721194346299</v>
          </cell>
          <cell r="Q94">
            <v>945.53869553696495</v>
          </cell>
          <cell r="R94">
            <v>537.85453019238503</v>
          </cell>
          <cell r="S94">
            <v>11219.4476437249</v>
          </cell>
          <cell r="T94">
            <v>1645.6856669840099</v>
          </cell>
          <cell r="U94">
            <v>2905.2059907768898</v>
          </cell>
          <cell r="V94">
            <v>2160.5122537944899</v>
          </cell>
          <cell r="W94">
            <v>1867.4952127220899</v>
          </cell>
          <cell r="X94">
            <v>2640.54851944743</v>
          </cell>
          <cell r="Y94">
            <v>141.57557088106299</v>
          </cell>
          <cell r="Z94">
            <v>21092.215535733201</v>
          </cell>
        </row>
        <row r="95">
          <cell r="A95" t="str">
            <v>Kelantan</v>
          </cell>
          <cell r="B95" t="str">
            <v>03</v>
          </cell>
          <cell r="C95">
            <v>2941.22276221126</v>
          </cell>
          <cell r="D95">
            <v>2115.0946784125699</v>
          </cell>
          <cell r="E95">
            <v>566.63856621470404</v>
          </cell>
          <cell r="F95">
            <v>259.48951758398402</v>
          </cell>
          <cell r="I95">
            <v>15.5417131500511</v>
          </cell>
          <cell r="J95">
            <v>570.19132221257803</v>
          </cell>
          <cell r="K95">
            <v>95.063509363671599</v>
          </cell>
          <cell r="L95">
            <v>36.909770915918301</v>
          </cell>
          <cell r="M95">
            <v>82.378781758752595</v>
          </cell>
          <cell r="N95">
            <v>116.89805089305101</v>
          </cell>
          <cell r="O95">
            <v>53.048505274004</v>
          </cell>
          <cell r="P95">
            <v>184.40779175180299</v>
          </cell>
          <cell r="Q95">
            <v>1.4849122553777401</v>
          </cell>
          <cell r="R95">
            <v>194.69024914371201</v>
          </cell>
          <cell r="S95">
            <v>7691.6052078932298</v>
          </cell>
          <cell r="T95">
            <v>853.71938564774598</v>
          </cell>
          <cell r="U95">
            <v>2163.9913890348798</v>
          </cell>
          <cell r="V95">
            <v>923.363792555136</v>
          </cell>
          <cell r="W95">
            <v>1312.97958660467</v>
          </cell>
          <cell r="X95">
            <v>2437.5510540507998</v>
          </cell>
          <cell r="Y95">
            <v>22.333543688409499</v>
          </cell>
          <cell r="Z95">
            <v>11435.5847982992</v>
          </cell>
        </row>
        <row r="96">
          <cell r="A96" t="str">
            <v>Melaka</v>
          </cell>
          <cell r="B96" t="str">
            <v>04</v>
          </cell>
          <cell r="C96">
            <v>1450.4260346342901</v>
          </cell>
          <cell r="D96">
            <v>1388.6747278498301</v>
          </cell>
          <cell r="E96">
            <v>0.28009801921627803</v>
          </cell>
          <cell r="F96">
            <v>61.471208765242203</v>
          </cell>
          <cell r="I96">
            <v>8.1987127144183596</v>
          </cell>
          <cell r="J96">
            <v>7991.90725017554</v>
          </cell>
          <cell r="K96">
            <v>414.25856716021002</v>
          </cell>
          <cell r="L96">
            <v>398.89885533485898</v>
          </cell>
          <cell r="M96">
            <v>344.32798449330801</v>
          </cell>
          <cell r="N96">
            <v>3186.5854198623801</v>
          </cell>
          <cell r="O96">
            <v>453.648174284481</v>
          </cell>
          <cell r="P96">
            <v>1937.16833414899</v>
          </cell>
          <cell r="Q96">
            <v>1257.01991489131</v>
          </cell>
          <cell r="R96">
            <v>552.77123224812306</v>
          </cell>
          <cell r="S96">
            <v>8439.3870313320203</v>
          </cell>
          <cell r="T96">
            <v>1502.9839705316399</v>
          </cell>
          <cell r="U96">
            <v>2965.2681929628302</v>
          </cell>
          <cell r="V96">
            <v>1680.8466576718299</v>
          </cell>
          <cell r="W96">
            <v>1088.14308542496</v>
          </cell>
          <cell r="X96">
            <v>1202.1451247407699</v>
          </cell>
          <cell r="Y96">
            <v>29.250242803987099</v>
          </cell>
          <cell r="Z96">
            <v>18471.940503908401</v>
          </cell>
        </row>
        <row r="97">
          <cell r="A97" t="str">
            <v>Negeri Sembilan</v>
          </cell>
          <cell r="B97" t="str">
            <v>05</v>
          </cell>
          <cell r="C97">
            <v>1940.9740480425501</v>
          </cell>
          <cell r="D97">
            <v>1848.1125391855401</v>
          </cell>
          <cell r="E97">
            <v>43.860180059602001</v>
          </cell>
          <cell r="F97">
            <v>49.001328797404199</v>
          </cell>
          <cell r="I97">
            <v>19.709346359609601</v>
          </cell>
          <cell r="J97">
            <v>11754.5614493828</v>
          </cell>
          <cell r="K97">
            <v>1183.6487267144</v>
          </cell>
          <cell r="L97">
            <v>199.59867464977199</v>
          </cell>
          <cell r="M97">
            <v>419.81542116238597</v>
          </cell>
          <cell r="N97">
            <v>2865.7049015280199</v>
          </cell>
          <cell r="O97">
            <v>775.054410338558</v>
          </cell>
          <cell r="P97">
            <v>5252.2287881359098</v>
          </cell>
          <cell r="Q97">
            <v>1058.51052685373</v>
          </cell>
          <cell r="R97">
            <v>540.01245793723899</v>
          </cell>
          <cell r="S97">
            <v>9448.1363606929608</v>
          </cell>
          <cell r="T97">
            <v>2177.59084282803</v>
          </cell>
          <cell r="U97">
            <v>2427.9733948401599</v>
          </cell>
          <cell r="V97">
            <v>1950.7443660906799</v>
          </cell>
          <cell r="W97">
            <v>1302.6649209969901</v>
          </cell>
          <cell r="X97">
            <v>1589.16283593711</v>
          </cell>
          <cell r="Y97">
            <v>101.036055844161</v>
          </cell>
          <cell r="Z97">
            <v>23804.4297182593</v>
          </cell>
        </row>
        <row r="98">
          <cell r="A98" t="str">
            <v>Pahang</v>
          </cell>
          <cell r="B98" t="str">
            <v>06</v>
          </cell>
          <cell r="C98">
            <v>5448.7557613188101</v>
          </cell>
          <cell r="D98">
            <v>4351.7341587302499</v>
          </cell>
          <cell r="E98">
            <v>516.04939006706502</v>
          </cell>
          <cell r="F98">
            <v>580.97221252150405</v>
          </cell>
          <cell r="I98">
            <v>120.520991408657</v>
          </cell>
          <cell r="J98">
            <v>6693.1528010757602</v>
          </cell>
          <cell r="K98">
            <v>905.54943457192701</v>
          </cell>
          <cell r="L98">
            <v>18.6839133639496</v>
          </cell>
          <cell r="M98">
            <v>616.37562339827502</v>
          </cell>
          <cell r="N98">
            <v>2356.3451647142901</v>
          </cell>
          <cell r="O98">
            <v>766.944488352029</v>
          </cell>
          <cell r="P98">
            <v>72.607403193855205</v>
          </cell>
          <cell r="Q98">
            <v>1956.64677348143</v>
          </cell>
          <cell r="R98">
            <v>695.712970014495</v>
          </cell>
          <cell r="S98">
            <v>13162.5095935134</v>
          </cell>
          <cell r="T98">
            <v>1378.18486041099</v>
          </cell>
          <cell r="U98">
            <v>4180.2363868887896</v>
          </cell>
          <cell r="V98">
            <v>1803.1656065488</v>
          </cell>
          <cell r="W98">
            <v>3279.35485286429</v>
          </cell>
          <cell r="X98">
            <v>2521.5678868005102</v>
          </cell>
          <cell r="Y98">
            <v>81.981542456041296</v>
          </cell>
          <cell r="Z98">
            <v>26202.633659787101</v>
          </cell>
        </row>
        <row r="99">
          <cell r="A99" t="str">
            <v>Pulau Pinang</v>
          </cell>
          <cell r="B99" t="str">
            <v>07</v>
          </cell>
          <cell r="C99">
            <v>760.45823108994296</v>
          </cell>
          <cell r="D99">
            <v>556.40464337404705</v>
          </cell>
          <cell r="E99">
            <v>0</v>
          </cell>
          <cell r="F99">
            <v>204.05358771589499</v>
          </cell>
          <cell r="I99">
            <v>19.213514991072799</v>
          </cell>
          <cell r="J99">
            <v>21239.073100997601</v>
          </cell>
          <cell r="K99">
            <v>982.92422091185301</v>
          </cell>
          <cell r="L99">
            <v>552.75623813298603</v>
          </cell>
          <cell r="M99">
            <v>774.48276590116996</v>
          </cell>
          <cell r="N99">
            <v>2095.2872914520299</v>
          </cell>
          <cell r="O99">
            <v>1691.35688069411</v>
          </cell>
          <cell r="P99">
            <v>13864.7852074903</v>
          </cell>
          <cell r="Q99">
            <v>1277.4804964151599</v>
          </cell>
          <cell r="R99">
            <v>982.067989201606</v>
          </cell>
          <cell r="S99">
            <v>20242.238702797898</v>
          </cell>
          <cell r="T99">
            <v>4235.4657328392104</v>
          </cell>
          <cell r="U99">
            <v>5735.73402479367</v>
          </cell>
          <cell r="V99">
            <v>5912.4537506202996</v>
          </cell>
          <cell r="W99">
            <v>2094.26034232861</v>
          </cell>
          <cell r="X99">
            <v>2264.3248522161002</v>
          </cell>
          <cell r="Y99">
            <v>382.67817457429697</v>
          </cell>
          <cell r="Z99">
            <v>43625.729713652399</v>
          </cell>
        </row>
        <row r="100">
          <cell r="A100" t="str">
            <v>Perak</v>
          </cell>
          <cell r="B100" t="str">
            <v>08</v>
          </cell>
          <cell r="C100">
            <v>5195.6453420371299</v>
          </cell>
          <cell r="D100">
            <v>3694.3496667969598</v>
          </cell>
          <cell r="E100">
            <v>320.29585199149301</v>
          </cell>
          <cell r="F100">
            <v>1180.9998232486701</v>
          </cell>
          <cell r="I100">
            <v>101.748443876794</v>
          </cell>
          <cell r="J100">
            <v>5799.8650797147502</v>
          </cell>
          <cell r="K100">
            <v>1022.7663468441</v>
          </cell>
          <cell r="L100">
            <v>203.66761974537599</v>
          </cell>
          <cell r="M100">
            <v>314.384749109903</v>
          </cell>
          <cell r="N100">
            <v>1186.8438698376499</v>
          </cell>
          <cell r="O100">
            <v>1285.4189208999401</v>
          </cell>
          <cell r="P100">
            <v>1466.70218889477</v>
          </cell>
          <cell r="Q100">
            <v>320.08138438301199</v>
          </cell>
          <cell r="R100">
            <v>643.07315093760405</v>
          </cell>
          <cell r="S100">
            <v>20942.200305656399</v>
          </cell>
          <cell r="T100">
            <v>5950.0209451234296</v>
          </cell>
          <cell r="U100">
            <v>4779.4408546935301</v>
          </cell>
          <cell r="V100">
            <v>3914.2929824284602</v>
          </cell>
          <cell r="W100">
            <v>2746.7080411910101</v>
          </cell>
          <cell r="X100">
            <v>3551.7374822199299</v>
          </cell>
          <cell r="Y100">
            <v>17.204002111897999</v>
          </cell>
          <cell r="Z100">
            <v>32699.736324334499</v>
          </cell>
        </row>
        <row r="101">
          <cell r="A101" t="str">
            <v>Perlis</v>
          </cell>
          <cell r="B101" t="str">
            <v>09</v>
          </cell>
          <cell r="C101">
            <v>855.94136300638695</v>
          </cell>
          <cell r="D101">
            <v>237.171898706826</v>
          </cell>
          <cell r="E101">
            <v>0</v>
          </cell>
          <cell r="F101">
            <v>618.76946429956104</v>
          </cell>
          <cell r="I101">
            <v>6.3613021227580102</v>
          </cell>
          <cell r="J101">
            <v>290.33726582942302</v>
          </cell>
          <cell r="K101">
            <v>46.3800290816353</v>
          </cell>
          <cell r="L101">
            <v>43.969966531878001</v>
          </cell>
          <cell r="M101">
            <v>2.2695514934505399</v>
          </cell>
          <cell r="N101">
            <v>57.303193483204801</v>
          </cell>
          <cell r="O101">
            <v>136.519930080736</v>
          </cell>
          <cell r="P101">
            <v>0.40585250788745098</v>
          </cell>
          <cell r="Q101">
            <v>3.4887426506302899</v>
          </cell>
          <cell r="R101">
            <v>92.266488889557607</v>
          </cell>
          <cell r="S101">
            <v>1840.83119998098</v>
          </cell>
          <cell r="T101">
            <v>634.20499143323195</v>
          </cell>
          <cell r="U101">
            <v>260.214491841322</v>
          </cell>
          <cell r="V101">
            <v>237.30316809444801</v>
          </cell>
          <cell r="W101">
            <v>245.17411016459801</v>
          </cell>
          <cell r="X101">
            <v>463.93443844737999</v>
          </cell>
          <cell r="Y101">
            <v>80.567988496580298</v>
          </cell>
          <cell r="Z101">
            <v>3166.3056083256902</v>
          </cell>
        </row>
        <row r="102">
          <cell r="A102" t="str">
            <v>Selangor</v>
          </cell>
          <cell r="B102">
            <v>10</v>
          </cell>
          <cell r="C102">
            <v>2518.6829196444201</v>
          </cell>
          <cell r="D102">
            <v>1690.37124293447</v>
          </cell>
          <cell r="E102">
            <v>5.71291207858948</v>
          </cell>
          <cell r="F102">
            <v>822.598764631368</v>
          </cell>
          <cell r="I102">
            <v>124.907911414483</v>
          </cell>
          <cell r="J102">
            <v>41857.923252740497</v>
          </cell>
          <cell r="K102">
            <v>7204.2984131473404</v>
          </cell>
          <cell r="L102">
            <v>453.55278926993498</v>
          </cell>
          <cell r="M102">
            <v>2784.0545540461799</v>
          </cell>
          <cell r="N102">
            <v>6205.9585366351703</v>
          </cell>
          <cell r="O102">
            <v>5379.3328661184596</v>
          </cell>
          <cell r="P102">
            <v>9321.4292031808709</v>
          </cell>
          <cell r="Q102">
            <v>10509.296890342601</v>
          </cell>
          <cell r="R102">
            <v>6585.2738869667801</v>
          </cell>
          <cell r="S102">
            <v>84233.245537549796</v>
          </cell>
          <cell r="T102">
            <v>20143.435683380401</v>
          </cell>
          <cell r="U102">
            <v>28412.062509855899</v>
          </cell>
          <cell r="V102">
            <v>22090.140213677802</v>
          </cell>
          <cell r="W102">
            <v>7155.4523885788403</v>
          </cell>
          <cell r="X102">
            <v>6432.1547420568904</v>
          </cell>
          <cell r="Y102">
            <v>3916.8641011417799</v>
          </cell>
          <cell r="Z102">
            <v>139236.89760945801</v>
          </cell>
        </row>
        <row r="103">
          <cell r="A103" t="str">
            <v>Terengganu</v>
          </cell>
          <cell r="B103">
            <v>11</v>
          </cell>
          <cell r="C103">
            <v>1497.0701462888401</v>
          </cell>
          <cell r="D103">
            <v>1088.2326195303001</v>
          </cell>
          <cell r="E103">
            <v>101.185068411603</v>
          </cell>
          <cell r="F103">
            <v>307.65245834693502</v>
          </cell>
          <cell r="I103">
            <v>11.287569132204499</v>
          </cell>
          <cell r="J103">
            <v>6917.5455478694603</v>
          </cell>
          <cell r="K103">
            <v>57.516524271048397</v>
          </cell>
          <cell r="L103">
            <v>30.8147495503298</v>
          </cell>
          <cell r="M103">
            <v>142.70023551107101</v>
          </cell>
          <cell r="N103">
            <v>6234.0091445171101</v>
          </cell>
          <cell r="O103">
            <v>358.68135768466402</v>
          </cell>
          <cell r="P103">
            <v>3.1956744783733702</v>
          </cell>
          <cell r="Q103">
            <v>90.627861856870794</v>
          </cell>
          <cell r="R103">
            <v>609.96531941738499</v>
          </cell>
          <cell r="S103">
            <v>8672.0307115899905</v>
          </cell>
          <cell r="T103">
            <v>3383.2885527660301</v>
          </cell>
          <cell r="U103">
            <v>1563.96626004773</v>
          </cell>
          <cell r="V103">
            <v>800.41282468834902</v>
          </cell>
          <cell r="W103">
            <v>878.11901118975902</v>
          </cell>
          <cell r="X103">
            <v>2046.2440628981101</v>
          </cell>
          <cell r="Y103">
            <v>12.123481342461901</v>
          </cell>
          <cell r="Z103">
            <v>17720.0227756403</v>
          </cell>
        </row>
        <row r="104">
          <cell r="A104" t="str">
            <v>Sabah</v>
          </cell>
          <cell r="B104">
            <v>12</v>
          </cell>
          <cell r="C104">
            <v>9713.3903443599993</v>
          </cell>
          <cell r="D104">
            <v>6299.8769264508601</v>
          </cell>
          <cell r="E104">
            <v>1805.28959081471</v>
          </cell>
          <cell r="F104">
            <v>1608.2238270944299</v>
          </cell>
          <cell r="I104">
            <v>9635.4945723087403</v>
          </cell>
          <cell r="J104">
            <v>3148.9112203916402</v>
          </cell>
          <cell r="K104">
            <v>1783.56777271338</v>
          </cell>
          <cell r="L104">
            <v>29.323852780804099</v>
          </cell>
          <cell r="M104">
            <v>773.095703826815</v>
          </cell>
          <cell r="N104">
            <v>156.429635270712</v>
          </cell>
          <cell r="O104">
            <v>273.98302829756199</v>
          </cell>
          <cell r="P104">
            <v>9.4266812413817203</v>
          </cell>
          <cell r="Q104">
            <v>123.08454626098801</v>
          </cell>
          <cell r="R104">
            <v>879.89427674993897</v>
          </cell>
          <cell r="S104">
            <v>17371.0956016374</v>
          </cell>
          <cell r="T104">
            <v>3176.2043169885301</v>
          </cell>
          <cell r="U104">
            <v>5770.4508168054499</v>
          </cell>
          <cell r="V104">
            <v>3399.47309710118</v>
          </cell>
          <cell r="W104">
            <v>1661.0586756467401</v>
          </cell>
          <cell r="X104">
            <v>3363.9086950955302</v>
          </cell>
          <cell r="Y104">
            <v>237.35617513626599</v>
          </cell>
          <cell r="Z104">
            <v>40986.142190584003</v>
          </cell>
        </row>
        <row r="105">
          <cell r="A105" t="str">
            <v>Sarawak</v>
          </cell>
          <cell r="B105">
            <v>13</v>
          </cell>
          <cell r="C105">
            <v>7423.3487811591403</v>
          </cell>
          <cell r="D105">
            <v>3376.2084165532101</v>
          </cell>
          <cell r="E105">
            <v>3633.6436039553801</v>
          </cell>
          <cell r="F105">
            <v>413.49676065054899</v>
          </cell>
          <cell r="I105">
            <v>15190.385219756899</v>
          </cell>
          <cell r="J105">
            <v>17489.664096002802</v>
          </cell>
          <cell r="K105">
            <v>649.61627832822603</v>
          </cell>
          <cell r="L105">
            <v>21.123538334001999</v>
          </cell>
          <cell r="M105">
            <v>1276.5601104841201</v>
          </cell>
          <cell r="N105">
            <v>14389.2906008469</v>
          </cell>
          <cell r="O105">
            <v>439.63487483453298</v>
          </cell>
          <cell r="P105">
            <v>404.06632266829098</v>
          </cell>
          <cell r="Q105">
            <v>309.37237050676998</v>
          </cell>
          <cell r="R105">
            <v>1707.6051549998101</v>
          </cell>
          <cell r="S105">
            <v>22073.6282723236</v>
          </cell>
          <cell r="T105">
            <v>4917.1430889086996</v>
          </cell>
          <cell r="U105">
            <v>6025.7961815075096</v>
          </cell>
          <cell r="V105">
            <v>5548.3319813805902</v>
          </cell>
          <cell r="W105">
            <v>2212.4021524638401</v>
          </cell>
          <cell r="X105">
            <v>3369.95486806297</v>
          </cell>
          <cell r="Y105">
            <v>288.34661091429598</v>
          </cell>
          <cell r="Z105">
            <v>64172.978135156503</v>
          </cell>
        </row>
        <row r="106">
          <cell r="A106" t="str">
            <v>WP Kuala Lumpur</v>
          </cell>
          <cell r="B106">
            <v>14</v>
          </cell>
          <cell r="C106">
            <v>1.49048293648672</v>
          </cell>
          <cell r="D106">
            <v>1.49048293648672</v>
          </cell>
          <cell r="E106">
            <v>0</v>
          </cell>
          <cell r="F106">
            <v>0</v>
          </cell>
          <cell r="I106">
            <v>27.061636691734002</v>
          </cell>
          <cell r="J106">
            <v>3762.5971418345698</v>
          </cell>
          <cell r="K106">
            <v>384.790527493941</v>
          </cell>
          <cell r="L106">
            <v>287.14052843379199</v>
          </cell>
          <cell r="M106">
            <v>614.59519662953596</v>
          </cell>
          <cell r="N106">
            <v>598.36941794115398</v>
          </cell>
          <cell r="O106">
            <v>755.03083305177302</v>
          </cell>
          <cell r="P106">
            <v>349.22450122459799</v>
          </cell>
          <cell r="Q106">
            <v>773.44613705977497</v>
          </cell>
          <cell r="R106">
            <v>3412.78006618976</v>
          </cell>
          <cell r="S106">
            <v>80428.112303750298</v>
          </cell>
          <cell r="T106">
            <v>5361.8248620208497</v>
          </cell>
          <cell r="U106">
            <v>29395.334292616801</v>
          </cell>
          <cell r="V106">
            <v>31416.748948139099</v>
          </cell>
          <cell r="W106">
            <v>4289.2037761325801</v>
          </cell>
          <cell r="X106">
            <v>9965.0004248409896</v>
          </cell>
          <cell r="Y106">
            <v>856.04858875953198</v>
          </cell>
          <cell r="Z106">
            <v>88488.090220162398</v>
          </cell>
        </row>
        <row r="107">
          <cell r="A107" t="str">
            <v>WP Labuan</v>
          </cell>
          <cell r="B107">
            <v>15</v>
          </cell>
          <cell r="C107">
            <v>109.15187498592</v>
          </cell>
          <cell r="D107">
            <v>6.9926628621778297</v>
          </cell>
          <cell r="E107">
            <v>0</v>
          </cell>
          <cell r="F107">
            <v>102.15921212374199</v>
          </cell>
          <cell r="I107">
            <v>0</v>
          </cell>
          <cell r="J107">
            <v>568.44061893037701</v>
          </cell>
          <cell r="K107">
            <v>23.036492580242101</v>
          </cell>
          <cell r="L107">
            <v>2.46637843430236</v>
          </cell>
          <cell r="M107">
            <v>1.8981935009655799</v>
          </cell>
          <cell r="N107">
            <v>276.98159076014099</v>
          </cell>
          <cell r="O107">
            <v>241.801718201141</v>
          </cell>
          <cell r="P107">
            <v>1.7960584604948</v>
          </cell>
          <cell r="Q107">
            <v>20.460186993089799</v>
          </cell>
          <cell r="R107">
            <v>19.3396332659709</v>
          </cell>
          <cell r="S107">
            <v>1735.4823394617099</v>
          </cell>
          <cell r="T107">
            <v>201.91644918304399</v>
          </cell>
          <cell r="U107">
            <v>226.15958548261401</v>
          </cell>
          <cell r="V107">
            <v>1167.0320576837501</v>
          </cell>
          <cell r="W107">
            <v>66.765818284342203</v>
          </cell>
          <cell r="X107">
            <v>73.608428827962797</v>
          </cell>
          <cell r="Y107">
            <v>53.848551887076397</v>
          </cell>
          <cell r="Z107">
            <v>2486.26301853105</v>
          </cell>
        </row>
        <row r="108">
          <cell r="A108" t="str">
            <v>Supra1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I108">
            <v>41027.965029888001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41027.965029888001</v>
          </cell>
        </row>
        <row r="109">
          <cell r="A109" t="str">
            <v>MALAYSIA</v>
          </cell>
          <cell r="C109">
            <v>50063.044139593803</v>
          </cell>
          <cell r="D109">
            <v>35753.719995694999</v>
          </cell>
          <cell r="E109">
            <v>7140.26953614582</v>
          </cell>
          <cell r="F109">
            <v>7169.0546077529298</v>
          </cell>
          <cell r="I109">
            <v>66386.369648300097</v>
          </cell>
          <cell r="J109">
            <v>152150.18623910999</v>
          </cell>
          <cell r="K109">
            <v>17323.016232459799</v>
          </cell>
          <cell r="L109">
            <v>3010.6161207062901</v>
          </cell>
          <cell r="M109">
            <v>10126.847883938801</v>
          </cell>
          <cell r="N109">
            <v>44900.216130858797</v>
          </cell>
          <cell r="O109">
            <v>17099.5945975916</v>
          </cell>
          <cell r="P109">
            <v>39592.460507918797</v>
          </cell>
          <cell r="Q109">
            <v>20097.434765635899</v>
          </cell>
          <cell r="R109">
            <v>19269.9562144929</v>
          </cell>
          <cell r="S109">
            <v>335026.53730236902</v>
          </cell>
          <cell r="T109">
            <v>61729.286198584501</v>
          </cell>
          <cell r="U109">
            <v>103444.39367026401</v>
          </cell>
          <cell r="V109">
            <v>90743.508587465898</v>
          </cell>
          <cell r="W109">
            <v>32964.748846054099</v>
          </cell>
          <cell r="X109">
            <v>46144.600000000901</v>
          </cell>
          <cell r="Y109">
            <v>6988.6896969952904</v>
          </cell>
          <cell r="Z109">
            <v>629884.78324086103</v>
          </cell>
        </row>
        <row r="112">
          <cell r="A112" t="str">
            <v>CONSTANT</v>
          </cell>
          <cell r="B112" t="str">
            <v>Industry</v>
          </cell>
          <cell r="D112">
            <v>1</v>
          </cell>
          <cell r="E112">
            <v>2</v>
          </cell>
          <cell r="F112">
            <v>3</v>
          </cell>
          <cell r="I112">
            <v>4</v>
          </cell>
          <cell r="K112">
            <v>6</v>
          </cell>
          <cell r="L112">
            <v>7</v>
          </cell>
          <cell r="M112">
            <v>8</v>
          </cell>
          <cell r="N112">
            <v>9</v>
          </cell>
          <cell r="O112">
            <v>10</v>
          </cell>
          <cell r="P112">
            <v>11</v>
          </cell>
          <cell r="Q112">
            <v>12</v>
          </cell>
          <cell r="R112">
            <v>5</v>
          </cell>
          <cell r="T112">
            <v>13</v>
          </cell>
          <cell r="U112">
            <v>14</v>
          </cell>
          <cell r="V112">
            <v>15</v>
          </cell>
          <cell r="W112">
            <v>16</v>
          </cell>
        </row>
        <row r="113">
          <cell r="A113">
            <v>2010</v>
          </cell>
          <cell r="B113" t="str">
            <v>I</v>
          </cell>
          <cell r="C113" t="str">
            <v>Agriculture</v>
          </cell>
          <cell r="D113" t="str">
            <v>Tanaman</v>
          </cell>
          <cell r="E113" t="str">
            <v>Pembalakan</v>
          </cell>
          <cell r="F113" t="str">
            <v>Perikanan</v>
          </cell>
          <cell r="I113" t="str">
            <v>Mining and
Quarrying</v>
          </cell>
          <cell r="J113" t="str">
            <v>Manufacturing</v>
          </cell>
          <cell r="K113" t="str">
            <v>Prosesan Makanan, Minuman dan Produk Tembakau</v>
          </cell>
          <cell r="L113" t="str">
            <v>Tekstil, Pakaian, Kulit dan Kasut</v>
          </cell>
          <cell r="M113" t="str">
            <v>Keluaran Kayu, Perabot, Produk Kertas, Percetakan dan Penerbitan</v>
          </cell>
          <cell r="N113" t="str">
            <v>Produk Petroleum, Bahan kimia, Getah dan Plastik</v>
          </cell>
          <cell r="O113" t="str">
            <v>Produk Mineral Bukan Logam, Logam Asli dan Produk Logam Yang Direka</v>
          </cell>
          <cell r="P113" t="str">
            <v>Elektrik dan Elektronik</v>
          </cell>
          <cell r="Q113" t="str">
            <v>Kelengkapan Pengangkutan dan Pembuatan Lain</v>
          </cell>
          <cell r="R113" t="str">
            <v>Construction</v>
          </cell>
          <cell r="S113" t="str">
            <v>Services</v>
          </cell>
          <cell r="T113" t="str">
            <v>Utiliti, Transport &amp; Communication</v>
          </cell>
          <cell r="U113" t="str">
            <v>WRT, Accomm &amp; Restaurant</v>
          </cell>
          <cell r="V113" t="str">
            <v>Finance &amp; Insurance, Real Estate &amp; Business Services</v>
          </cell>
          <cell r="W113" t="str">
            <v>Other Services</v>
          </cell>
          <cell r="X113" t="str">
            <v>Government Services</v>
          </cell>
          <cell r="Y113" t="str">
            <v>Plus :
Import Duties</v>
          </cell>
          <cell r="Z113" t="str">
            <v>GDP at
Purchasers' Prices</v>
          </cell>
        </row>
        <row r="114">
          <cell r="A114" t="str">
            <v>States</v>
          </cell>
          <cell r="B114" t="str">
            <v>Converter</v>
          </cell>
        </row>
        <row r="115">
          <cell r="A115" t="str">
            <v>Johor</v>
          </cell>
          <cell r="B115" t="str">
            <v>01</v>
          </cell>
          <cell r="C115">
            <v>7598.3543408902397</v>
          </cell>
          <cell r="D115">
            <v>6885.6648870220697</v>
          </cell>
          <cell r="E115">
            <v>43.823814344275902</v>
          </cell>
          <cell r="F115">
            <v>668.86563952388894</v>
          </cell>
          <cell r="I115">
            <v>68.259644021538804</v>
          </cell>
          <cell r="J115">
            <v>21037.313603969102</v>
          </cell>
          <cell r="K115">
            <v>2187.2292613146801</v>
          </cell>
          <cell r="L115">
            <v>782.93802206389603</v>
          </cell>
          <cell r="M115">
            <v>1747.60399801933</v>
          </cell>
          <cell r="N115">
            <v>4433.0014906127099</v>
          </cell>
          <cell r="O115">
            <v>2959.6749816146098</v>
          </cell>
          <cell r="P115">
            <v>6941.3134983836399</v>
          </cell>
          <cell r="Q115">
            <v>1985.55235196027</v>
          </cell>
          <cell r="R115">
            <v>2045.38296810252</v>
          </cell>
          <cell r="S115">
            <v>29236.170725071999</v>
          </cell>
          <cell r="T115">
            <v>6750.9132856328797</v>
          </cell>
          <cell r="U115">
            <v>7180.5102023690997</v>
          </cell>
          <cell r="V115">
            <v>8074.0493215517099</v>
          </cell>
          <cell r="W115">
            <v>2904.8927319689701</v>
          </cell>
          <cell r="X115">
            <v>4325.8051835493197</v>
          </cell>
          <cell r="Y115">
            <v>693.70557827933703</v>
          </cell>
          <cell r="Z115">
            <v>60679.186860334798</v>
          </cell>
        </row>
        <row r="116">
          <cell r="A116" t="str">
            <v>Kedah</v>
          </cell>
          <cell r="B116" t="str">
            <v>02</v>
          </cell>
          <cell r="C116">
            <v>2733.6853254788998</v>
          </cell>
          <cell r="D116">
            <v>2308.3442133418998</v>
          </cell>
          <cell r="E116">
            <v>106.97883406489299</v>
          </cell>
          <cell r="F116">
            <v>318.36227807210599</v>
          </cell>
          <cell r="I116">
            <v>18.8280174413953</v>
          </cell>
          <cell r="J116">
            <v>6638.3881956961504</v>
          </cell>
          <cell r="K116">
            <v>368.07677588906398</v>
          </cell>
          <cell r="L116">
            <v>79.920685607240998</v>
          </cell>
          <cell r="M116">
            <v>421.50205793573798</v>
          </cell>
          <cell r="N116">
            <v>1226.4484563983999</v>
          </cell>
          <cell r="O116">
            <v>2054.4917254218699</v>
          </cell>
          <cell r="P116">
            <v>1504.7518518571701</v>
          </cell>
          <cell r="Q116">
            <v>983.19664258666205</v>
          </cell>
          <cell r="R116">
            <v>541.14547700276</v>
          </cell>
          <cell r="S116">
            <v>11936.442698701499</v>
          </cell>
          <cell r="T116">
            <v>1778.81390395945</v>
          </cell>
          <cell r="U116">
            <v>3163.5617114593601</v>
          </cell>
          <cell r="V116">
            <v>2279.1921108864599</v>
          </cell>
          <cell r="W116">
            <v>1926.04713569193</v>
          </cell>
          <cell r="X116">
            <v>2788.8278367043399</v>
          </cell>
          <cell r="Y116">
            <v>129.724135599721</v>
          </cell>
          <cell r="Z116">
            <v>21998.213849920499</v>
          </cell>
        </row>
        <row r="117">
          <cell r="A117" t="str">
            <v>Kelantan</v>
          </cell>
          <cell r="B117" t="str">
            <v>03</v>
          </cell>
          <cell r="C117">
            <v>3071.0633660276799</v>
          </cell>
          <cell r="D117">
            <v>2107.22436031492</v>
          </cell>
          <cell r="E117">
            <v>677.61362545535803</v>
          </cell>
          <cell r="F117">
            <v>286.22538025740499</v>
          </cell>
          <cell r="I117">
            <v>16.4378560717517</v>
          </cell>
          <cell r="J117">
            <v>690.81245984655595</v>
          </cell>
          <cell r="K117">
            <v>112.532619967388</v>
          </cell>
          <cell r="L117">
            <v>35.7228602577026</v>
          </cell>
          <cell r="M117">
            <v>89.073919865818695</v>
          </cell>
          <cell r="N117">
            <v>104.74641691462701</v>
          </cell>
          <cell r="O117">
            <v>71.385453074973398</v>
          </cell>
          <cell r="P117">
            <v>270.27664391315801</v>
          </cell>
          <cell r="Q117">
            <v>7.0745458528880798</v>
          </cell>
          <cell r="R117">
            <v>207.32611766380199</v>
          </cell>
          <cell r="S117">
            <v>7984.6164700812596</v>
          </cell>
          <cell r="T117">
            <v>935.50644685774705</v>
          </cell>
          <cell r="U117">
            <v>2199.32428096787</v>
          </cell>
          <cell r="V117">
            <v>992.01616868978499</v>
          </cell>
          <cell r="W117">
            <v>1356.6305514989001</v>
          </cell>
          <cell r="X117">
            <v>2501.13902206696</v>
          </cell>
          <cell r="Y117">
            <v>20.899161344310301</v>
          </cell>
          <cell r="Z117">
            <v>11991.1554310354</v>
          </cell>
        </row>
        <row r="118">
          <cell r="A118" t="str">
            <v>Melaka</v>
          </cell>
          <cell r="B118" t="str">
            <v>04</v>
          </cell>
          <cell r="C118">
            <v>1794.48560733984</v>
          </cell>
          <cell r="D118">
            <v>1764.4620477127301</v>
          </cell>
          <cell r="E118">
            <v>0.31645724155756999</v>
          </cell>
          <cell r="F118">
            <v>29.707102385548001</v>
          </cell>
          <cell r="I118">
            <v>8.2353402428863607</v>
          </cell>
          <cell r="J118">
            <v>8440.5084099046398</v>
          </cell>
          <cell r="K118">
            <v>367.85516788304602</v>
          </cell>
          <cell r="L118">
            <v>326.50618006210198</v>
          </cell>
          <cell r="M118">
            <v>303.160804991139</v>
          </cell>
          <cell r="N118">
            <v>3390.00490527082</v>
          </cell>
          <cell r="O118">
            <v>536.70441442619801</v>
          </cell>
          <cell r="P118">
            <v>2175.3453643369098</v>
          </cell>
          <cell r="Q118">
            <v>1340.9315729344301</v>
          </cell>
          <cell r="R118">
            <v>569.91112597647498</v>
          </cell>
          <cell r="S118">
            <v>8868.4123399378295</v>
          </cell>
          <cell r="T118">
            <v>1618.0934367930899</v>
          </cell>
          <cell r="U118">
            <v>3040.1483285732702</v>
          </cell>
          <cell r="V118">
            <v>1814.16879793615</v>
          </cell>
          <cell r="W118">
            <v>1130.94667073967</v>
          </cell>
          <cell r="X118">
            <v>1265.0551058956601</v>
          </cell>
          <cell r="Y118">
            <v>7.8042403562103599</v>
          </cell>
          <cell r="Z118">
            <v>19689.3570637579</v>
          </cell>
        </row>
        <row r="119">
          <cell r="A119" t="str">
            <v>Negeri Sembilan</v>
          </cell>
          <cell r="B119" t="str">
            <v>05</v>
          </cell>
          <cell r="C119">
            <v>2015.9306547180799</v>
          </cell>
          <cell r="D119">
            <v>1930.33247837055</v>
          </cell>
          <cell r="E119">
            <v>48.214528414990703</v>
          </cell>
          <cell r="F119">
            <v>37.3836479325401</v>
          </cell>
          <cell r="I119">
            <v>20.531206444456998</v>
          </cell>
          <cell r="J119">
            <v>12289.029198689799</v>
          </cell>
          <cell r="K119">
            <v>1265.4247888038401</v>
          </cell>
          <cell r="L119">
            <v>169.811946399276</v>
          </cell>
          <cell r="M119">
            <v>413.12574398847102</v>
          </cell>
          <cell r="N119">
            <v>3438.3800519340998</v>
          </cell>
          <cell r="O119">
            <v>934.058282358876</v>
          </cell>
          <cell r="P119">
            <v>5029.5214315784297</v>
          </cell>
          <cell r="Q119">
            <v>1038.7069536268</v>
          </cell>
          <cell r="R119">
            <v>583.15016914262105</v>
          </cell>
          <cell r="S119">
            <v>10039.968852706999</v>
          </cell>
          <cell r="T119">
            <v>2380.09261256539</v>
          </cell>
          <cell r="U119">
            <v>2618.9256670966502</v>
          </cell>
          <cell r="V119">
            <v>2048.7909989050199</v>
          </cell>
          <cell r="W119">
            <v>1376.27261475061</v>
          </cell>
          <cell r="X119">
            <v>1615.8869593893801</v>
          </cell>
          <cell r="Y119">
            <v>228.799916956543</v>
          </cell>
          <cell r="Z119">
            <v>25177.409998658499</v>
          </cell>
        </row>
        <row r="120">
          <cell r="A120" t="str">
            <v>Pahang</v>
          </cell>
          <cell r="B120" t="str">
            <v>06</v>
          </cell>
          <cell r="C120">
            <v>5672.8495426607196</v>
          </cell>
          <cell r="D120">
            <v>4511.6503307216099</v>
          </cell>
          <cell r="E120">
            <v>529.44191823602398</v>
          </cell>
          <cell r="F120">
            <v>631.75729370308704</v>
          </cell>
          <cell r="I120">
            <v>178.566419495975</v>
          </cell>
          <cell r="J120">
            <v>6899.3228196329201</v>
          </cell>
          <cell r="K120">
            <v>925.49422077744396</v>
          </cell>
          <cell r="L120">
            <v>21.3974917177141</v>
          </cell>
          <cell r="M120">
            <v>659.90788050961805</v>
          </cell>
          <cell r="N120">
            <v>3062.4981567292598</v>
          </cell>
          <cell r="O120">
            <v>671.98675060911796</v>
          </cell>
          <cell r="P120">
            <v>106.82078047637</v>
          </cell>
          <cell r="Q120">
            <v>1451.2175388133901</v>
          </cell>
          <cell r="R120">
            <v>782.11758540868504</v>
          </cell>
          <cell r="S120">
            <v>13941.070831927</v>
          </cell>
          <cell r="T120">
            <v>1477.06391407244</v>
          </cell>
          <cell r="U120">
            <v>4534.5843284699504</v>
          </cell>
          <cell r="V120">
            <v>1906.0234107915401</v>
          </cell>
          <cell r="W120">
            <v>3422.8515809365499</v>
          </cell>
          <cell r="X120">
            <v>2600.5475976564999</v>
          </cell>
          <cell r="Y120">
            <v>10.4708739581983</v>
          </cell>
          <cell r="Z120">
            <v>27484.398073083499</v>
          </cell>
        </row>
        <row r="121">
          <cell r="A121" t="str">
            <v>Pulau Pinang</v>
          </cell>
          <cell r="B121" t="str">
            <v>07</v>
          </cell>
          <cell r="C121">
            <v>888.99094852272901</v>
          </cell>
          <cell r="D121">
            <v>651.22159236704397</v>
          </cell>
          <cell r="E121">
            <v>0</v>
          </cell>
          <cell r="F121">
            <v>237.76935615568499</v>
          </cell>
          <cell r="I121">
            <v>19.1246938869308</v>
          </cell>
          <cell r="J121">
            <v>24263.659327634199</v>
          </cell>
          <cell r="K121">
            <v>1041.08277393871</v>
          </cell>
          <cell r="L121">
            <v>534.89790830765605</v>
          </cell>
          <cell r="M121">
            <v>906.37835707932197</v>
          </cell>
          <cell r="N121">
            <v>2696.4460690588899</v>
          </cell>
          <cell r="O121">
            <v>2163.8530109986</v>
          </cell>
          <cell r="P121">
            <v>15140.1465095285</v>
          </cell>
          <cell r="Q121">
            <v>1780.85469872253</v>
          </cell>
          <cell r="R121">
            <v>1021.91977091495</v>
          </cell>
          <cell r="S121">
            <v>21688.303059001199</v>
          </cell>
          <cell r="T121">
            <v>4570.3375136091699</v>
          </cell>
          <cell r="U121">
            <v>6218.3805585190403</v>
          </cell>
          <cell r="V121">
            <v>6402.6290576771098</v>
          </cell>
          <cell r="W121">
            <v>2201.0409483533199</v>
          </cell>
          <cell r="X121">
            <v>2295.91498084252</v>
          </cell>
          <cell r="Y121">
            <v>279.09817634319398</v>
          </cell>
          <cell r="Z121">
            <v>48161.095976303201</v>
          </cell>
        </row>
        <row r="122">
          <cell r="A122" t="str">
            <v>Perak</v>
          </cell>
          <cell r="B122" t="str">
            <v>08</v>
          </cell>
          <cell r="C122">
            <v>5241.3585679134603</v>
          </cell>
          <cell r="D122">
            <v>3490.3978906095599</v>
          </cell>
          <cell r="E122">
            <v>397.45434840437503</v>
          </cell>
          <cell r="F122">
            <v>1353.50632889952</v>
          </cell>
          <cell r="I122">
            <v>111.552905846865</v>
          </cell>
          <cell r="J122">
            <v>6549.0848263154103</v>
          </cell>
          <cell r="K122">
            <v>1037.5191619500999</v>
          </cell>
          <cell r="L122">
            <v>187.95000729593201</v>
          </cell>
          <cell r="M122">
            <v>331.45052802276899</v>
          </cell>
          <cell r="N122">
            <v>1294.74421541383</v>
          </cell>
          <cell r="O122">
            <v>1620.3543362374301</v>
          </cell>
          <cell r="P122">
            <v>1611.9499042448001</v>
          </cell>
          <cell r="Q122">
            <v>465.11667315054001</v>
          </cell>
          <cell r="R122">
            <v>717.19374778978397</v>
          </cell>
          <cell r="S122">
            <v>21941.387676528699</v>
          </cell>
          <cell r="T122">
            <v>6444.7229043016596</v>
          </cell>
          <cell r="U122">
            <v>5194.1865508002802</v>
          </cell>
          <cell r="V122">
            <v>3897.0308124437602</v>
          </cell>
          <cell r="W122">
            <v>2753.62435652473</v>
          </cell>
          <cell r="X122">
            <v>3651.8230524583</v>
          </cell>
          <cell r="Y122">
            <v>15.391061046690901</v>
          </cell>
          <cell r="Z122">
            <v>34575.968785440899</v>
          </cell>
        </row>
        <row r="123">
          <cell r="A123" t="str">
            <v>Perlis</v>
          </cell>
          <cell r="B123" t="str">
            <v>09</v>
          </cell>
          <cell r="C123">
            <v>890.253977413808</v>
          </cell>
          <cell r="D123">
            <v>250.038227188164</v>
          </cell>
          <cell r="E123">
            <v>0</v>
          </cell>
          <cell r="F123">
            <v>640.215750225644</v>
          </cell>
          <cell r="I123">
            <v>6.3552696173596797</v>
          </cell>
          <cell r="J123">
            <v>302.11336558226998</v>
          </cell>
          <cell r="K123">
            <v>52.451226974228597</v>
          </cell>
          <cell r="L123">
            <v>41.430334462900099</v>
          </cell>
          <cell r="M123">
            <v>5.1199116479700102</v>
          </cell>
          <cell r="N123">
            <v>61.248855934673102</v>
          </cell>
          <cell r="O123">
            <v>138.71952423795801</v>
          </cell>
          <cell r="P123">
            <v>0.56475732443658899</v>
          </cell>
          <cell r="Q123">
            <v>2.5787550001031798</v>
          </cell>
          <cell r="R123">
            <v>108.664065708869</v>
          </cell>
          <cell r="S123">
            <v>1937.3440641202401</v>
          </cell>
          <cell r="T123">
            <v>677.02078287461802</v>
          </cell>
          <cell r="U123">
            <v>282.88980003650198</v>
          </cell>
          <cell r="V123">
            <v>253.67699812060499</v>
          </cell>
          <cell r="W123">
            <v>256.31133519920502</v>
          </cell>
          <cell r="X123">
            <v>467.44514788931002</v>
          </cell>
          <cell r="Y123">
            <v>73.299611950522902</v>
          </cell>
          <cell r="Z123">
            <v>3318.03035439307</v>
          </cell>
        </row>
        <row r="124">
          <cell r="A124" t="str">
            <v>Selangor</v>
          </cell>
          <cell r="B124">
            <v>10</v>
          </cell>
          <cell r="C124">
            <v>2706.54572787396</v>
          </cell>
          <cell r="D124">
            <v>1778.1379792200801</v>
          </cell>
          <cell r="E124">
            <v>3.4337174438734501</v>
          </cell>
          <cell r="F124">
            <v>924.97403121000798</v>
          </cell>
          <cell r="I124">
            <v>127.244240156123</v>
          </cell>
          <cell r="J124">
            <v>50189.2496835778</v>
          </cell>
          <cell r="K124">
            <v>7955.0931080243399</v>
          </cell>
          <cell r="L124">
            <v>531.41727182738396</v>
          </cell>
          <cell r="M124">
            <v>2995.0687524483401</v>
          </cell>
          <cell r="N124">
            <v>7040.3779359457303</v>
          </cell>
          <cell r="O124">
            <v>6453.92059306993</v>
          </cell>
          <cell r="P124">
            <v>12092.630973113301</v>
          </cell>
          <cell r="Q124">
            <v>13120.741049148801</v>
          </cell>
          <cell r="R124">
            <v>7248.0361555894597</v>
          </cell>
          <cell r="S124">
            <v>90799.867556183905</v>
          </cell>
          <cell r="T124">
            <v>21753.1414275928</v>
          </cell>
          <cell r="U124">
            <v>29898.888005700599</v>
          </cell>
          <cell r="V124">
            <v>24579.777021532798</v>
          </cell>
          <cell r="W124">
            <v>7542.24113877529</v>
          </cell>
          <cell r="X124">
            <v>7025.81996258247</v>
          </cell>
          <cell r="Y124">
            <v>4667.9359911748797</v>
          </cell>
          <cell r="Z124">
            <v>155738.879354556</v>
          </cell>
        </row>
        <row r="125">
          <cell r="A125" t="str">
            <v>Terengganu</v>
          </cell>
          <cell r="B125">
            <v>11</v>
          </cell>
          <cell r="C125">
            <v>1502.42703928226</v>
          </cell>
          <cell r="D125">
            <v>1145.04075419776</v>
          </cell>
          <cell r="E125">
            <v>108.922814844762</v>
          </cell>
          <cell r="F125">
            <v>248.463470239733</v>
          </cell>
          <cell r="I125">
            <v>14.3354558514615</v>
          </cell>
          <cell r="J125">
            <v>7214.7000354725296</v>
          </cell>
          <cell r="K125">
            <v>66.728878161678693</v>
          </cell>
          <cell r="L125">
            <v>44.048798066171003</v>
          </cell>
          <cell r="M125">
            <v>101.77840981852199</v>
          </cell>
          <cell r="N125">
            <v>6596.5370587211601</v>
          </cell>
          <cell r="O125">
            <v>338.26986463669903</v>
          </cell>
          <cell r="P125">
            <v>2.3404493387629799</v>
          </cell>
          <cell r="Q125">
            <v>64.996576729532705</v>
          </cell>
          <cell r="R125">
            <v>648.48607448725102</v>
          </cell>
          <cell r="S125">
            <v>9093.8914214729393</v>
          </cell>
          <cell r="T125">
            <v>3627.3338756503599</v>
          </cell>
          <cell r="U125">
            <v>1653.0362401719699</v>
          </cell>
          <cell r="V125">
            <v>837.27481127513101</v>
          </cell>
          <cell r="W125">
            <v>888.09695694086497</v>
          </cell>
          <cell r="X125">
            <v>2088.14953743461</v>
          </cell>
          <cell r="Y125">
            <v>13.4239951153119</v>
          </cell>
          <cell r="Z125">
            <v>18487.264021681702</v>
          </cell>
        </row>
        <row r="126">
          <cell r="A126" t="str">
            <v>Sabah</v>
          </cell>
          <cell r="B126">
            <v>12</v>
          </cell>
          <cell r="C126">
            <v>9333.0021421278598</v>
          </cell>
          <cell r="D126">
            <v>6100.7278202973503</v>
          </cell>
          <cell r="E126">
            <v>1494.15173959661</v>
          </cell>
          <cell r="F126">
            <v>1738.1225822338999</v>
          </cell>
          <cell r="I126">
            <v>9981.4576113374696</v>
          </cell>
          <cell r="J126">
            <v>3296.1000083382501</v>
          </cell>
          <cell r="K126">
            <v>1779.1503845996899</v>
          </cell>
          <cell r="L126">
            <v>35.183050821935502</v>
          </cell>
          <cell r="M126">
            <v>825.74608328706199</v>
          </cell>
          <cell r="N126">
            <v>164.51613490018701</v>
          </cell>
          <cell r="O126">
            <v>329.33465262169199</v>
          </cell>
          <cell r="P126">
            <v>9.6836285176547197</v>
          </cell>
          <cell r="Q126">
            <v>152.486073590019</v>
          </cell>
          <cell r="R126">
            <v>1048.32131495573</v>
          </cell>
          <cell r="S126">
            <v>18249.0380787022</v>
          </cell>
          <cell r="T126">
            <v>3461.1455486172499</v>
          </cell>
          <cell r="U126">
            <v>6027.3226036168899</v>
          </cell>
          <cell r="V126">
            <v>3661.9798489268401</v>
          </cell>
          <cell r="W126">
            <v>1705.5620623341599</v>
          </cell>
          <cell r="X126">
            <v>3393.02801520702</v>
          </cell>
          <cell r="Y126">
            <v>193.38277115297299</v>
          </cell>
          <cell r="Z126">
            <v>42101.301926614397</v>
          </cell>
        </row>
        <row r="127">
          <cell r="A127" t="str">
            <v>Sarawak</v>
          </cell>
          <cell r="B127">
            <v>13</v>
          </cell>
          <cell r="C127">
            <v>7694.6268346018496</v>
          </cell>
          <cell r="D127">
            <v>3743.7971310764401</v>
          </cell>
          <cell r="E127">
            <v>3512.6235058080101</v>
          </cell>
          <cell r="F127">
            <v>438.20619771739302</v>
          </cell>
          <cell r="I127">
            <v>15757.0015301638</v>
          </cell>
          <cell r="J127">
            <v>18116.8093202567</v>
          </cell>
          <cell r="K127">
            <v>663.697594744968</v>
          </cell>
          <cell r="L127">
            <v>15.0311885489606</v>
          </cell>
          <cell r="M127">
            <v>1502.3919041398201</v>
          </cell>
          <cell r="N127">
            <v>14580.9532505529</v>
          </cell>
          <cell r="O127">
            <v>466.14674304866998</v>
          </cell>
          <cell r="P127">
            <v>520.84665857406503</v>
          </cell>
          <cell r="Q127">
            <v>367.74198064728199</v>
          </cell>
          <cell r="R127">
            <v>1877.0483570021199</v>
          </cell>
          <cell r="S127">
            <v>23200.6558210517</v>
          </cell>
          <cell r="T127">
            <v>5246.0543498770203</v>
          </cell>
          <cell r="U127">
            <v>6280.5784683472802</v>
          </cell>
          <cell r="V127">
            <v>5981.4911503486201</v>
          </cell>
          <cell r="W127">
            <v>2294.15121074228</v>
          </cell>
          <cell r="X127">
            <v>3398.3806417365499</v>
          </cell>
          <cell r="Y127">
            <v>301.068958955516</v>
          </cell>
          <cell r="Z127">
            <v>66947.210822031702</v>
          </cell>
        </row>
        <row r="128">
          <cell r="A128" t="str">
            <v>WP Kuala Lumpur</v>
          </cell>
          <cell r="B128">
            <v>14</v>
          </cell>
          <cell r="C128">
            <v>1.17572172328511</v>
          </cell>
          <cell r="D128">
            <v>1.17572172328511</v>
          </cell>
          <cell r="E128">
            <v>0</v>
          </cell>
          <cell r="F128">
            <v>0</v>
          </cell>
          <cell r="I128">
            <v>27.291962033823101</v>
          </cell>
          <cell r="J128">
            <v>3757.3330725698902</v>
          </cell>
          <cell r="K128">
            <v>435.95852116711302</v>
          </cell>
          <cell r="L128">
            <v>311.82545341745299</v>
          </cell>
          <cell r="M128">
            <v>558.86987045419903</v>
          </cell>
          <cell r="N128">
            <v>562.95918164167699</v>
          </cell>
          <cell r="O128">
            <v>615.833407859423</v>
          </cell>
          <cell r="P128">
            <v>565.42640847014002</v>
          </cell>
          <cell r="Q128">
            <v>706.46022955988599</v>
          </cell>
          <cell r="R128">
            <v>4039.3162243751299</v>
          </cell>
          <cell r="S128">
            <v>88999.185666447098</v>
          </cell>
          <cell r="T128">
            <v>5859.4981354623997</v>
          </cell>
          <cell r="U128">
            <v>33263.711150495801</v>
          </cell>
          <cell r="V128">
            <v>33928.255428053999</v>
          </cell>
          <cell r="W128">
            <v>4586.0170306022601</v>
          </cell>
          <cell r="X128">
            <v>11361.703921832601</v>
          </cell>
          <cell r="Y128">
            <v>1005.54682827907</v>
          </cell>
          <cell r="Z128">
            <v>97829.849475428302</v>
          </cell>
        </row>
        <row r="129">
          <cell r="A129" t="str">
            <v>WP Labuan</v>
          </cell>
          <cell r="B129">
            <v>15</v>
          </cell>
          <cell r="C129">
            <v>117.835512878771</v>
          </cell>
          <cell r="D129">
            <v>7.4245397112611</v>
          </cell>
          <cell r="E129">
            <v>0</v>
          </cell>
          <cell r="F129">
            <v>110.41097316750999</v>
          </cell>
          <cell r="I129">
            <v>0</v>
          </cell>
          <cell r="J129">
            <v>576.19529319268997</v>
          </cell>
          <cell r="K129">
            <v>11.6146768482245</v>
          </cell>
          <cell r="L129">
            <v>2.75964839768156</v>
          </cell>
          <cell r="M129">
            <v>1.41659429612576</v>
          </cell>
          <cell r="N129">
            <v>257.48306212891299</v>
          </cell>
          <cell r="O129">
            <v>273.525809078002</v>
          </cell>
          <cell r="P129">
            <v>1.0281257709365199</v>
          </cell>
          <cell r="Q129">
            <v>28.367376672806301</v>
          </cell>
          <cell r="R129">
            <v>20.557724287622801</v>
          </cell>
          <cell r="S129">
            <v>1912.81908981113</v>
          </cell>
          <cell r="T129">
            <v>202.44696601929701</v>
          </cell>
          <cell r="U129">
            <v>240.06121027596001</v>
          </cell>
          <cell r="V129">
            <v>1313.4462330045201</v>
          </cell>
          <cell r="W129">
            <v>68.710276306096105</v>
          </cell>
          <cell r="X129">
            <v>88.154404205260093</v>
          </cell>
          <cell r="Y129">
            <v>19.052607394355999</v>
          </cell>
          <cell r="Z129">
            <v>2646.4602275645698</v>
          </cell>
        </row>
        <row r="130">
          <cell r="A130" t="str">
            <v>Supra1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I130">
            <v>39827.220356516496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39827.220356516496</v>
          </cell>
        </row>
        <row r="131">
          <cell r="A131" t="str">
            <v>MALAYSIA</v>
          </cell>
          <cell r="C131">
            <v>51262.585309453403</v>
          </cell>
          <cell r="D131">
            <v>36675.639973874699</v>
          </cell>
          <cell r="E131">
            <v>6922.9753038547296</v>
          </cell>
          <cell r="F131">
            <v>7663.9700317239704</v>
          </cell>
          <cell r="I131">
            <v>66182.442509128305</v>
          </cell>
          <cell r="J131">
            <v>170260.619620679</v>
          </cell>
          <cell r="K131">
            <v>18269.909161044499</v>
          </cell>
          <cell r="L131">
            <v>3120.84084725401</v>
          </cell>
          <cell r="M131">
            <v>10862.594816504199</v>
          </cell>
          <cell r="N131">
            <v>48910.345242157899</v>
          </cell>
          <cell r="O131">
            <v>19628.259549294002</v>
          </cell>
          <cell r="P131">
            <v>45972.646985428299</v>
          </cell>
          <cell r="Q131">
            <v>23496.023018995998</v>
          </cell>
          <cell r="R131">
            <v>21458.576878407799</v>
          </cell>
          <cell r="S131">
            <v>359829.17435174598</v>
          </cell>
          <cell r="T131">
            <v>66782.185103885597</v>
          </cell>
          <cell r="U131">
            <v>111796.109106901</v>
          </cell>
          <cell r="V131">
            <v>97969.802170144001</v>
          </cell>
          <cell r="W131">
            <v>34413.396601364802</v>
          </cell>
          <cell r="X131">
            <v>48867.681369450802</v>
          </cell>
          <cell r="Y131">
            <v>7659.6039079068296</v>
          </cell>
          <cell r="Z131">
            <v>676653.00257732102</v>
          </cell>
        </row>
        <row r="134">
          <cell r="A134" t="str">
            <v>CONSTANT</v>
          </cell>
          <cell r="B134" t="str">
            <v>Industry</v>
          </cell>
          <cell r="D134">
            <v>1</v>
          </cell>
          <cell r="E134">
            <v>2</v>
          </cell>
          <cell r="F134">
            <v>3</v>
          </cell>
          <cell r="I134">
            <v>4</v>
          </cell>
          <cell r="K134">
            <v>6</v>
          </cell>
          <cell r="L134">
            <v>7</v>
          </cell>
          <cell r="M134">
            <v>8</v>
          </cell>
          <cell r="N134">
            <v>9</v>
          </cell>
          <cell r="O134">
            <v>10</v>
          </cell>
          <cell r="P134">
            <v>11</v>
          </cell>
          <cell r="Q134">
            <v>12</v>
          </cell>
          <cell r="R134">
            <v>5</v>
          </cell>
          <cell r="T134">
            <v>13</v>
          </cell>
          <cell r="U134">
            <v>14</v>
          </cell>
          <cell r="V134">
            <v>15</v>
          </cell>
          <cell r="W134">
            <v>16</v>
          </cell>
        </row>
        <row r="135">
          <cell r="A135">
            <v>2011</v>
          </cell>
          <cell r="B135" t="str">
            <v>I</v>
          </cell>
          <cell r="C135" t="str">
            <v>Agriculture</v>
          </cell>
          <cell r="D135" t="str">
            <v>Tanaman</v>
          </cell>
          <cell r="E135" t="str">
            <v>Pembalakan</v>
          </cell>
          <cell r="F135" t="str">
            <v>Perikanan</v>
          </cell>
          <cell r="I135" t="str">
            <v>Mining and
Quarrying</v>
          </cell>
          <cell r="J135" t="str">
            <v>Manufacturing</v>
          </cell>
          <cell r="K135" t="str">
            <v>Prosesan Makanan, Minuman dan Produk Tembakau</v>
          </cell>
          <cell r="L135" t="str">
            <v>Tekstil, Pakaian, Kulit dan Kasut</v>
          </cell>
          <cell r="M135" t="str">
            <v>Keluaran Kayu, Perabot, Produk Kertas, Percetakan dan Penerbitan</v>
          </cell>
          <cell r="N135" t="str">
            <v>Produk Petroleum, Bahan kimia, Getah dan Plastik</v>
          </cell>
          <cell r="O135" t="str">
            <v>Produk Mineral Bukan Logam, Logam Asli dan Produk Logam Yang Direka</v>
          </cell>
          <cell r="P135" t="str">
            <v>Elektrik dan Elektronik</v>
          </cell>
          <cell r="Q135" t="str">
            <v>Kelengkapan Pengangkutan dan Pembuatan Lain</v>
          </cell>
          <cell r="R135" t="str">
            <v>Construction</v>
          </cell>
          <cell r="S135" t="str">
            <v>Services</v>
          </cell>
          <cell r="T135" t="str">
            <v>Utiliti, Transport &amp; Communication</v>
          </cell>
          <cell r="U135" t="str">
            <v>WRT, Accomm &amp; Restaurant</v>
          </cell>
          <cell r="V135" t="str">
            <v>Finance &amp; Insurance, Real Estate &amp; Business Services</v>
          </cell>
          <cell r="W135" t="str">
            <v>Other Services</v>
          </cell>
          <cell r="X135" t="str">
            <v>Government Services</v>
          </cell>
          <cell r="Y135" t="str">
            <v>Plus :
Import Duties</v>
          </cell>
          <cell r="Z135" t="str">
            <v>GDP at
Purchasers' Prices</v>
          </cell>
        </row>
        <row r="136">
          <cell r="A136" t="str">
            <v>States</v>
          </cell>
          <cell r="B136" t="str">
            <v>Converter</v>
          </cell>
        </row>
        <row r="137">
          <cell r="A137" t="str">
            <v>Johor</v>
          </cell>
          <cell r="B137" t="str">
            <v>01</v>
          </cell>
          <cell r="C137">
            <v>8134.6770207458503</v>
          </cell>
          <cell r="D137">
            <v>7422.0715582305802</v>
          </cell>
          <cell r="E137">
            <v>47.762779025678199</v>
          </cell>
          <cell r="F137">
            <v>664.84268348959301</v>
          </cell>
          <cell r="I137">
            <v>70.624621916013794</v>
          </cell>
          <cell r="J137">
            <v>21994.898483521501</v>
          </cell>
          <cell r="K137">
            <v>2410.6855618292698</v>
          </cell>
          <cell r="L137">
            <v>871.84644902889499</v>
          </cell>
          <cell r="M137">
            <v>1782.4639099186099</v>
          </cell>
          <cell r="N137">
            <v>5230.0964648468298</v>
          </cell>
          <cell r="O137">
            <v>3302.5548771064</v>
          </cell>
          <cell r="P137">
            <v>6458.0726612356502</v>
          </cell>
          <cell r="Q137">
            <v>1939.1785595558499</v>
          </cell>
          <cell r="R137">
            <v>2029.3071001792</v>
          </cell>
          <cell r="S137">
            <v>31642.340433222402</v>
          </cell>
          <cell r="T137">
            <v>7296.5972343024996</v>
          </cell>
          <cell r="U137">
            <v>7682.37373900291</v>
          </cell>
          <cell r="V137">
            <v>8629.8666459142405</v>
          </cell>
          <cell r="W137">
            <v>3096.7312974633601</v>
          </cell>
          <cell r="X137">
            <v>4936.7715165394102</v>
          </cell>
          <cell r="Y137">
            <v>719.74007920346901</v>
          </cell>
          <cell r="Z137">
            <v>64591.587738788403</v>
          </cell>
        </row>
        <row r="138">
          <cell r="A138" t="str">
            <v>Kedah</v>
          </cell>
          <cell r="B138" t="str">
            <v>02</v>
          </cell>
          <cell r="C138">
            <v>2960.6632872735699</v>
          </cell>
          <cell r="D138">
            <v>2540.7729817119698</v>
          </cell>
          <cell r="E138">
            <v>117.22210580143999</v>
          </cell>
          <cell r="F138">
            <v>302.66819976016399</v>
          </cell>
          <cell r="I138">
            <v>20.032884294642901</v>
          </cell>
          <cell r="J138">
            <v>7352.0687446499696</v>
          </cell>
          <cell r="K138">
            <v>383.350799132188</v>
          </cell>
          <cell r="L138">
            <v>81.717323357246499</v>
          </cell>
          <cell r="M138">
            <v>440.09319389067099</v>
          </cell>
          <cell r="N138">
            <v>1412.68923948528</v>
          </cell>
          <cell r="O138">
            <v>2261.31833975989</v>
          </cell>
          <cell r="P138">
            <v>1487.0281647716699</v>
          </cell>
          <cell r="Q138">
            <v>1285.87168425303</v>
          </cell>
          <cell r="R138">
            <v>544.91931712892699</v>
          </cell>
          <cell r="S138">
            <v>12829.536155953399</v>
          </cell>
          <cell r="T138">
            <v>1918.0622325428001</v>
          </cell>
          <cell r="U138">
            <v>3317.3555159477801</v>
          </cell>
          <cell r="V138">
            <v>2490.2016389007299</v>
          </cell>
          <cell r="W138">
            <v>2009.5826020151301</v>
          </cell>
          <cell r="X138">
            <v>3094.3341665469802</v>
          </cell>
          <cell r="Y138">
            <v>129.48746996672901</v>
          </cell>
          <cell r="Z138">
            <v>23836.707859267299</v>
          </cell>
        </row>
        <row r="139">
          <cell r="A139" t="str">
            <v>Kelantan</v>
          </cell>
          <cell r="B139" t="str">
            <v>03</v>
          </cell>
          <cell r="C139">
            <v>3250.3931440866399</v>
          </cell>
          <cell r="D139">
            <v>2307.48252030412</v>
          </cell>
          <cell r="E139">
            <v>686.82311431359699</v>
          </cell>
          <cell r="F139">
            <v>256.08750946892599</v>
          </cell>
          <cell r="I139">
            <v>17.555017875334102</v>
          </cell>
          <cell r="J139">
            <v>720.02379042973098</v>
          </cell>
          <cell r="K139">
            <v>120.480108489873</v>
          </cell>
          <cell r="L139">
            <v>33.115332635042897</v>
          </cell>
          <cell r="M139">
            <v>86.254756643894197</v>
          </cell>
          <cell r="N139">
            <v>125.631643864236</v>
          </cell>
          <cell r="O139">
            <v>81.481969197679106</v>
          </cell>
          <cell r="P139">
            <v>265.79753286347898</v>
          </cell>
          <cell r="Q139">
            <v>7.26244673552634</v>
          </cell>
          <cell r="R139">
            <v>205.35856253309299</v>
          </cell>
          <cell r="S139">
            <v>8563.4068646215401</v>
          </cell>
          <cell r="T139">
            <v>1008.9559015075901</v>
          </cell>
          <cell r="U139">
            <v>2303.81195694282</v>
          </cell>
          <cell r="V139">
            <v>1043.9061010979001</v>
          </cell>
          <cell r="W139">
            <v>1410.4768872443699</v>
          </cell>
          <cell r="X139">
            <v>2796.25601782887</v>
          </cell>
          <cell r="Y139">
            <v>23.1335746334703</v>
          </cell>
          <cell r="Z139">
            <v>12779.8709541798</v>
          </cell>
        </row>
        <row r="140">
          <cell r="A140" t="str">
            <v>Melaka</v>
          </cell>
          <cell r="B140" t="str">
            <v>04</v>
          </cell>
          <cell r="C140">
            <v>1904.4398963829201</v>
          </cell>
          <cell r="D140">
            <v>1875.3104448702099</v>
          </cell>
          <cell r="E140">
            <v>0.34854431854738999</v>
          </cell>
          <cell r="F140">
            <v>28.7809071941657</v>
          </cell>
          <cell r="I140">
            <v>8.7133632236388596</v>
          </cell>
          <cell r="J140">
            <v>8526.6092260537007</v>
          </cell>
          <cell r="K140">
            <v>404.35623405683498</v>
          </cell>
          <cell r="L140">
            <v>371.82640156334901</v>
          </cell>
          <cell r="M140">
            <v>289.34137120731998</v>
          </cell>
          <cell r="N140">
            <v>3915.2355954753298</v>
          </cell>
          <cell r="O140">
            <v>586.39123981980595</v>
          </cell>
          <cell r="P140">
            <v>1917.9929215814</v>
          </cell>
          <cell r="Q140">
            <v>1041.4654623496499</v>
          </cell>
          <cell r="R140">
            <v>578.56670411304901</v>
          </cell>
          <cell r="S140">
            <v>9447.5733618878294</v>
          </cell>
          <cell r="T140">
            <v>1718.8795132765799</v>
          </cell>
          <cell r="U140">
            <v>3241.9358636103698</v>
          </cell>
          <cell r="V140">
            <v>1872.6180711970701</v>
          </cell>
          <cell r="W140">
            <v>1206.3822808283201</v>
          </cell>
          <cell r="X140">
            <v>1407.7576329755</v>
          </cell>
          <cell r="Y140">
            <v>8.4322950552220597</v>
          </cell>
          <cell r="Z140">
            <v>20474.3348467164</v>
          </cell>
        </row>
        <row r="141">
          <cell r="A141" t="str">
            <v>Negeri Sembilan</v>
          </cell>
          <cell r="B141" t="str">
            <v>05</v>
          </cell>
          <cell r="C141">
            <v>2126.3575406422601</v>
          </cell>
          <cell r="D141">
            <v>2036.69822993804</v>
          </cell>
          <cell r="E141">
            <v>51.872211126034898</v>
          </cell>
          <cell r="F141">
            <v>37.787099578188702</v>
          </cell>
          <cell r="I141">
            <v>21.145056486151599</v>
          </cell>
          <cell r="J141">
            <v>12894.9399107464</v>
          </cell>
          <cell r="K141">
            <v>1392.6142550950001</v>
          </cell>
          <cell r="L141">
            <v>182.82011147314299</v>
          </cell>
          <cell r="M141">
            <v>396.74162644753102</v>
          </cell>
          <cell r="N141">
            <v>3806.0058318315801</v>
          </cell>
          <cell r="O141">
            <v>1183.1215905153699</v>
          </cell>
          <cell r="P141">
            <v>5033.5464955859998</v>
          </cell>
          <cell r="Q141">
            <v>900.089999797779</v>
          </cell>
          <cell r="R141">
            <v>611.75562451344899</v>
          </cell>
          <cell r="S141">
            <v>10586.379094448601</v>
          </cell>
          <cell r="T141">
            <v>2510.4388442251702</v>
          </cell>
          <cell r="U141">
            <v>2705.1158011420398</v>
          </cell>
          <cell r="V141">
            <v>2162.4276451003998</v>
          </cell>
          <cell r="W141">
            <v>1415.49372916073</v>
          </cell>
          <cell r="X141">
            <v>1792.9030748202899</v>
          </cell>
          <cell r="Y141">
            <v>172.97280325428</v>
          </cell>
          <cell r="Z141">
            <v>26413.550030091199</v>
          </cell>
        </row>
        <row r="142">
          <cell r="A142" t="str">
            <v>Pahang</v>
          </cell>
          <cell r="B142" t="str">
            <v>06</v>
          </cell>
          <cell r="C142">
            <v>6116.6826148353102</v>
          </cell>
          <cell r="D142">
            <v>4876.2907066867701</v>
          </cell>
          <cell r="E142">
            <v>581.04914766295406</v>
          </cell>
          <cell r="F142">
            <v>659.34276048559298</v>
          </cell>
          <cell r="I142">
            <v>197.77283771610999</v>
          </cell>
          <cell r="J142">
            <v>7260.4879476781798</v>
          </cell>
          <cell r="K142">
            <v>1016.56039347948</v>
          </cell>
          <cell r="L142">
            <v>28.841100684370499</v>
          </cell>
          <cell r="M142">
            <v>663.49731876668102</v>
          </cell>
          <cell r="N142">
            <v>3082.3091472992101</v>
          </cell>
          <cell r="O142">
            <v>675.63786091811698</v>
          </cell>
          <cell r="P142">
            <v>120.79217979550501</v>
          </cell>
          <cell r="Q142">
            <v>1672.8499467348099</v>
          </cell>
          <cell r="R142">
            <v>760.95804245120905</v>
          </cell>
          <cell r="S142">
            <v>14857.175356735999</v>
          </cell>
          <cell r="T142">
            <v>1588.7553522870401</v>
          </cell>
          <cell r="U142">
            <v>4712.8127755404103</v>
          </cell>
          <cell r="V142">
            <v>2024.6759611119801</v>
          </cell>
          <cell r="W142">
            <v>3658.8446811840599</v>
          </cell>
          <cell r="X142">
            <v>2872.08658661247</v>
          </cell>
          <cell r="Y142">
            <v>8.1035979179312605</v>
          </cell>
          <cell r="Z142">
            <v>29201.180397334701</v>
          </cell>
        </row>
        <row r="143">
          <cell r="A143" t="str">
            <v>Pulau Pinang</v>
          </cell>
          <cell r="B143" t="str">
            <v>07</v>
          </cell>
          <cell r="C143">
            <v>943.98157091535802</v>
          </cell>
          <cell r="D143">
            <v>691.89542709139801</v>
          </cell>
          <cell r="E143">
            <v>0</v>
          </cell>
          <cell r="F143">
            <v>252.08614382396101</v>
          </cell>
          <cell r="I143">
            <v>20.412292848177401</v>
          </cell>
          <cell r="J143">
            <v>24567.200957016299</v>
          </cell>
          <cell r="K143">
            <v>1025.0814368202</v>
          </cell>
          <cell r="L143">
            <v>620.82769623989998</v>
          </cell>
          <cell r="M143">
            <v>937.54425826509896</v>
          </cell>
          <cell r="N143">
            <v>3033.8457202014401</v>
          </cell>
          <cell r="O143">
            <v>2711.3973129731698</v>
          </cell>
          <cell r="P143">
            <v>14250.225567134999</v>
          </cell>
          <cell r="Q143">
            <v>1988.27896538147</v>
          </cell>
          <cell r="R143">
            <v>1073.9697622496999</v>
          </cell>
          <cell r="S143">
            <v>23107.214875716301</v>
          </cell>
          <cell r="T143">
            <v>4848.8281431502801</v>
          </cell>
          <cell r="U143">
            <v>6544.7360624590601</v>
          </cell>
          <cell r="V143">
            <v>6773.4100588843603</v>
          </cell>
          <cell r="W143">
            <v>2284.3270174064601</v>
          </cell>
          <cell r="X143">
            <v>2655.9135938161498</v>
          </cell>
          <cell r="Y143">
            <v>340.45827634796098</v>
          </cell>
          <cell r="Z143">
            <v>50053.237735093797</v>
          </cell>
        </row>
        <row r="144">
          <cell r="A144" t="str">
            <v>Perak</v>
          </cell>
          <cell r="B144" t="str">
            <v>08</v>
          </cell>
          <cell r="C144">
            <v>5627.2105795027801</v>
          </cell>
          <cell r="D144">
            <v>3735.9622783095001</v>
          </cell>
          <cell r="E144">
            <v>409.87173923597499</v>
          </cell>
          <cell r="F144">
            <v>1481.3765619573001</v>
          </cell>
          <cell r="I144">
            <v>120.25875212874401</v>
          </cell>
          <cell r="J144">
            <v>7268.061069286</v>
          </cell>
          <cell r="K144">
            <v>1151.51899843193</v>
          </cell>
          <cell r="L144">
            <v>181.75845234122301</v>
          </cell>
          <cell r="M144">
            <v>333.998529282964</v>
          </cell>
          <cell r="N144">
            <v>1351.0119551047201</v>
          </cell>
          <cell r="O144">
            <v>1915.4260496440399</v>
          </cell>
          <cell r="P144">
            <v>1853.97778166991</v>
          </cell>
          <cell r="Q144">
            <v>480.36930281122102</v>
          </cell>
          <cell r="R144">
            <v>721.20399693463105</v>
          </cell>
          <cell r="S144">
            <v>23246.9407555014</v>
          </cell>
          <cell r="T144">
            <v>6773.3004810202901</v>
          </cell>
          <cell r="U144">
            <v>5562.0388359467297</v>
          </cell>
          <cell r="V144">
            <v>4021.9619357315</v>
          </cell>
          <cell r="W144">
            <v>2851.47468013759</v>
          </cell>
          <cell r="X144">
            <v>4038.1648226652501</v>
          </cell>
          <cell r="Y144">
            <v>17.576273903996899</v>
          </cell>
          <cell r="Z144">
            <v>37001.251427257499</v>
          </cell>
        </row>
        <row r="145">
          <cell r="A145" t="str">
            <v>Perlis</v>
          </cell>
          <cell r="B145" t="str">
            <v>09</v>
          </cell>
          <cell r="C145">
            <v>827.73384823097501</v>
          </cell>
          <cell r="D145">
            <v>267.55028768946102</v>
          </cell>
          <cell r="E145">
            <v>0</v>
          </cell>
          <cell r="F145">
            <v>560.183560541514</v>
          </cell>
          <cell r="I145">
            <v>6.8440980555753903</v>
          </cell>
          <cell r="J145">
            <v>341.31202616500502</v>
          </cell>
          <cell r="K145">
            <v>55.916553000696197</v>
          </cell>
          <cell r="L145">
            <v>46.901569706717702</v>
          </cell>
          <cell r="M145">
            <v>5.3489647809514098</v>
          </cell>
          <cell r="N145">
            <v>65.394872424891801</v>
          </cell>
          <cell r="O145">
            <v>164.585883281571</v>
          </cell>
          <cell r="P145">
            <v>0.63380209987725999</v>
          </cell>
          <cell r="Q145">
            <v>2.5303808702997199</v>
          </cell>
          <cell r="R145">
            <v>104.527779096072</v>
          </cell>
          <cell r="S145">
            <v>2054.2194129108302</v>
          </cell>
          <cell r="T145">
            <v>709.11684778855999</v>
          </cell>
          <cell r="U145">
            <v>290.57844365090398</v>
          </cell>
          <cell r="V145">
            <v>267.76177137988799</v>
          </cell>
          <cell r="W145">
            <v>266.403762604527</v>
          </cell>
          <cell r="X145">
            <v>520.35858748695296</v>
          </cell>
          <cell r="Y145">
            <v>51.284124517975201</v>
          </cell>
          <cell r="Z145">
            <v>3385.9212889764399</v>
          </cell>
        </row>
        <row r="146">
          <cell r="A146" t="str">
            <v>Selangor</v>
          </cell>
          <cell r="B146">
            <v>10</v>
          </cell>
          <cell r="C146">
            <v>2767.08637642542</v>
          </cell>
          <cell r="D146">
            <v>1820.29293336213</v>
          </cell>
          <cell r="E146">
            <v>4.4435296450322896</v>
          </cell>
          <cell r="F146">
            <v>942.34991341826003</v>
          </cell>
          <cell r="I146">
            <v>131.697998796847</v>
          </cell>
          <cell r="J146">
            <v>52570.440498427997</v>
          </cell>
          <cell r="K146">
            <v>8462.3134701883191</v>
          </cell>
          <cell r="L146">
            <v>588.93175652236403</v>
          </cell>
          <cell r="M146">
            <v>3075.9646553236098</v>
          </cell>
          <cell r="N146">
            <v>7589.64097187274</v>
          </cell>
          <cell r="O146">
            <v>7971.0594568084098</v>
          </cell>
          <cell r="P146">
            <v>12269.9170350355</v>
          </cell>
          <cell r="Q146">
            <v>12612.613152677</v>
          </cell>
          <cell r="R146">
            <v>7881.1943849313302</v>
          </cell>
          <cell r="S146">
            <v>96132.655217595297</v>
          </cell>
          <cell r="T146">
            <v>22998.0823201739</v>
          </cell>
          <cell r="U146">
            <v>31903.082917761101</v>
          </cell>
          <cell r="V146">
            <v>25513.710287414498</v>
          </cell>
          <cell r="W146">
            <v>7886.0997908309901</v>
          </cell>
          <cell r="X146">
            <v>7831.6799014148501</v>
          </cell>
          <cell r="Y146">
            <v>5268.2420999035103</v>
          </cell>
          <cell r="Z146">
            <v>164751.31657607999</v>
          </cell>
        </row>
        <row r="147">
          <cell r="A147" t="str">
            <v>Terengganu</v>
          </cell>
          <cell r="B147">
            <v>11</v>
          </cell>
          <cell r="C147">
            <v>1552.46893375229</v>
          </cell>
          <cell r="D147">
            <v>1208.9483804997501</v>
          </cell>
          <cell r="E147">
            <v>106.315710638803</v>
          </cell>
          <cell r="F147">
            <v>237.20484261373599</v>
          </cell>
          <cell r="I147">
            <v>16.019035491132101</v>
          </cell>
          <cell r="J147">
            <v>7150.1795860023003</v>
          </cell>
          <cell r="K147">
            <v>72.750622101171899</v>
          </cell>
          <cell r="L147">
            <v>49.844395080289402</v>
          </cell>
          <cell r="M147">
            <v>95.600371067727593</v>
          </cell>
          <cell r="N147">
            <v>6431.6391186826704</v>
          </cell>
          <cell r="O147">
            <v>433.51495093672702</v>
          </cell>
          <cell r="P147">
            <v>2.6391065351343701</v>
          </cell>
          <cell r="Q147">
            <v>64.191021598576896</v>
          </cell>
          <cell r="R147">
            <v>630.31504073162705</v>
          </cell>
          <cell r="S147">
            <v>9611.7817101928395</v>
          </cell>
          <cell r="T147">
            <v>3784.4333205268799</v>
          </cell>
          <cell r="U147">
            <v>1716.69282592134</v>
          </cell>
          <cell r="V147">
            <v>872.62195406933404</v>
          </cell>
          <cell r="W147">
            <v>942.05491951014301</v>
          </cell>
          <cell r="X147">
            <v>2295.9786901651401</v>
          </cell>
          <cell r="Y147">
            <v>18.8788935523413</v>
          </cell>
          <cell r="Z147">
            <v>18979.643199722501</v>
          </cell>
        </row>
        <row r="148">
          <cell r="A148" t="str">
            <v>Sabah</v>
          </cell>
          <cell r="B148">
            <v>12</v>
          </cell>
          <cell r="C148">
            <v>9762.6643991100209</v>
          </cell>
          <cell r="D148">
            <v>6808.2818181788698</v>
          </cell>
          <cell r="E148">
            <v>1130.05771756577</v>
          </cell>
          <cell r="F148">
            <v>1824.32486336538</v>
          </cell>
          <cell r="I148">
            <v>8338.7153392117998</v>
          </cell>
          <cell r="J148">
            <v>3485.83513399293</v>
          </cell>
          <cell r="K148">
            <v>1965.3275502660599</v>
          </cell>
          <cell r="L148">
            <v>40.138131403280298</v>
          </cell>
          <cell r="M148">
            <v>751.94990360398799</v>
          </cell>
          <cell r="N148">
            <v>187.20762084578999</v>
          </cell>
          <cell r="O148">
            <v>385.16721142754301</v>
          </cell>
          <cell r="P148">
            <v>11.5935278978917</v>
          </cell>
          <cell r="Q148">
            <v>144.451188548381</v>
          </cell>
          <cell r="R148">
            <v>1126.6769793170699</v>
          </cell>
          <cell r="S148">
            <v>19777.2345872021</v>
          </cell>
          <cell r="T148">
            <v>3692.8363324576499</v>
          </cell>
          <cell r="U148">
            <v>6529.3477103989499</v>
          </cell>
          <cell r="V148">
            <v>3986.4005343040499</v>
          </cell>
          <cell r="W148">
            <v>1779.7816860943699</v>
          </cell>
          <cell r="X148">
            <v>3788.8683239471102</v>
          </cell>
          <cell r="Y148">
            <v>188.95297615947101</v>
          </cell>
          <cell r="Z148">
            <v>42680.079414993401</v>
          </cell>
        </row>
        <row r="149">
          <cell r="A149" t="str">
            <v>Sarawak</v>
          </cell>
          <cell r="B149">
            <v>13</v>
          </cell>
          <cell r="C149">
            <v>8156.8061992557195</v>
          </cell>
          <cell r="D149">
            <v>4421.7470795900499</v>
          </cell>
          <cell r="E149">
            <v>3315.8120835161599</v>
          </cell>
          <cell r="F149">
            <v>419.24703614950897</v>
          </cell>
          <cell r="I149">
            <v>16468.675984960999</v>
          </cell>
          <cell r="J149">
            <v>19237.230994002901</v>
          </cell>
          <cell r="K149">
            <v>743.12154758013605</v>
          </cell>
          <cell r="L149">
            <v>17.2653490955684</v>
          </cell>
          <cell r="M149">
            <v>1460.07702792091</v>
          </cell>
          <cell r="N149">
            <v>15603.075006376799</v>
          </cell>
          <cell r="O149">
            <v>531.43566931436601</v>
          </cell>
          <cell r="P149">
            <v>519.61312274619695</v>
          </cell>
          <cell r="Q149">
            <v>362.64327096890099</v>
          </cell>
          <cell r="R149">
            <v>1853.13827443629</v>
          </cell>
          <cell r="S149">
            <v>24865.690281203799</v>
          </cell>
          <cell r="T149">
            <v>5514.6440295412403</v>
          </cell>
          <cell r="U149">
            <v>6746.93963796966</v>
          </cell>
          <cell r="V149">
            <v>6353.7916732137101</v>
          </cell>
          <cell r="W149">
            <v>2446.2213223705098</v>
          </cell>
          <cell r="X149">
            <v>3804.0936181087</v>
          </cell>
          <cell r="Y149">
            <v>267.73525855394098</v>
          </cell>
          <cell r="Z149">
            <v>70849.276992413696</v>
          </cell>
        </row>
        <row r="150">
          <cell r="A150" t="str">
            <v>WP Kuala Lumpur</v>
          </cell>
          <cell r="B150">
            <v>14</v>
          </cell>
          <cell r="C150">
            <v>1.24387042126951</v>
          </cell>
          <cell r="D150">
            <v>1.24387042126951</v>
          </cell>
          <cell r="E150">
            <v>0</v>
          </cell>
          <cell r="F150">
            <v>0</v>
          </cell>
          <cell r="I150">
            <v>29.177846085608</v>
          </cell>
          <cell r="J150">
            <v>4191.4178190179</v>
          </cell>
          <cell r="K150">
            <v>477.410169366898</v>
          </cell>
          <cell r="L150">
            <v>357.96346168164303</v>
          </cell>
          <cell r="M150">
            <v>651.82256045911004</v>
          </cell>
          <cell r="N150">
            <v>594.49307170547695</v>
          </cell>
          <cell r="O150">
            <v>733.32068762187805</v>
          </cell>
          <cell r="P150">
            <v>590.556975177249</v>
          </cell>
          <cell r="Q150">
            <v>785.85089300564005</v>
          </cell>
          <cell r="R150">
            <v>4319.6268447909597</v>
          </cell>
          <cell r="S150">
            <v>96657.319919448797</v>
          </cell>
          <cell r="T150">
            <v>6210.3238635634698</v>
          </cell>
          <cell r="U150">
            <v>35959.740207130599</v>
          </cell>
          <cell r="V150">
            <v>36665.138082038997</v>
          </cell>
          <cell r="W150">
            <v>4851.3507236140604</v>
          </cell>
          <cell r="X150">
            <v>12970.7670431017</v>
          </cell>
          <cell r="Y150">
            <v>1416.5103889326899</v>
          </cell>
          <cell r="Z150">
            <v>106615.296688697</v>
          </cell>
        </row>
        <row r="151">
          <cell r="A151" t="str">
            <v>WP Labuan</v>
          </cell>
          <cell r="B151">
            <v>15</v>
          </cell>
          <cell r="C151">
            <v>117.11069312423901</v>
          </cell>
          <cell r="D151">
            <v>7.4243868978416998</v>
          </cell>
          <cell r="E151">
            <v>0</v>
          </cell>
          <cell r="F151">
            <v>109.68630622639699</v>
          </cell>
          <cell r="I151">
            <v>0</v>
          </cell>
          <cell r="J151">
            <v>675.99673600364702</v>
          </cell>
          <cell r="K151">
            <v>11.968795512479501</v>
          </cell>
          <cell r="L151">
            <v>3.12302264569517</v>
          </cell>
          <cell r="M151">
            <v>1.0817751066401999</v>
          </cell>
          <cell r="N151">
            <v>384.477929241298</v>
          </cell>
          <cell r="O151">
            <v>245.74246600732599</v>
          </cell>
          <cell r="P151">
            <v>1.16184462992306</v>
          </cell>
          <cell r="Q151">
            <v>28.440902860284702</v>
          </cell>
          <cell r="R151">
            <v>22.3729073478722</v>
          </cell>
          <cell r="S151">
            <v>2170.13164919668</v>
          </cell>
          <cell r="T151">
            <v>212.114420540499</v>
          </cell>
          <cell r="U151">
            <v>249.27503538414001</v>
          </cell>
          <cell r="V151">
            <v>1532.5311261024799</v>
          </cell>
          <cell r="W151">
            <v>70.540807183286006</v>
          </cell>
          <cell r="X151">
            <v>105.670259986275</v>
          </cell>
          <cell r="Y151">
            <v>21.804599511489702</v>
          </cell>
          <cell r="Z151">
            <v>3007.4165851839298</v>
          </cell>
        </row>
        <row r="152">
          <cell r="A152" t="str">
            <v>Supra1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I152">
            <v>37139.136922086698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37139.136922086698</v>
          </cell>
        </row>
        <row r="153">
          <cell r="A153" t="str">
            <v>MALAYSIA</v>
          </cell>
          <cell r="C153">
            <v>54249.519974704599</v>
          </cell>
          <cell r="D153">
            <v>40021.972903782</v>
          </cell>
          <cell r="E153">
            <v>6451.5786828500004</v>
          </cell>
          <cell r="F153">
            <v>7775.9683880726898</v>
          </cell>
          <cell r="I153">
            <v>62606.782051177499</v>
          </cell>
          <cell r="J153">
            <v>178236.70292299401</v>
          </cell>
          <cell r="K153">
            <v>19693.4564953505</v>
          </cell>
          <cell r="L153">
            <v>3476.92055345873</v>
          </cell>
          <cell r="M153">
            <v>10971.7802226857</v>
          </cell>
          <cell r="N153">
            <v>52812.754189258303</v>
          </cell>
          <cell r="O153">
            <v>23182.155565332301</v>
          </cell>
          <cell r="P153">
            <v>44783.548718760401</v>
          </cell>
          <cell r="Q153">
            <v>23316.0871781485</v>
          </cell>
          <cell r="R153">
            <v>22463.891320754501</v>
          </cell>
          <cell r="S153">
            <v>385549.59967583802</v>
          </cell>
          <cell r="T153">
            <v>70785.368836904498</v>
          </cell>
          <cell r="U153">
            <v>119465.83732880899</v>
          </cell>
          <cell r="V153">
            <v>104211.023486461</v>
          </cell>
          <cell r="W153">
            <v>36175.766187647903</v>
          </cell>
          <cell r="X153">
            <v>54911.603836015602</v>
          </cell>
          <cell r="Y153">
            <v>8653.31271141447</v>
          </cell>
          <cell r="Z153">
            <v>711759.80865688296</v>
          </cell>
        </row>
        <row r="156">
          <cell r="A156" t="str">
            <v>CONSTANT</v>
          </cell>
          <cell r="B156" t="str">
            <v>Industry</v>
          </cell>
          <cell r="D156">
            <v>1</v>
          </cell>
          <cell r="E156">
            <v>2</v>
          </cell>
          <cell r="F156">
            <v>3</v>
          </cell>
          <cell r="I156">
            <v>4</v>
          </cell>
          <cell r="K156">
            <v>6</v>
          </cell>
          <cell r="L156">
            <v>7</v>
          </cell>
          <cell r="M156">
            <v>8</v>
          </cell>
          <cell r="N156">
            <v>9</v>
          </cell>
          <cell r="O156">
            <v>10</v>
          </cell>
          <cell r="P156">
            <v>11</v>
          </cell>
          <cell r="Q156">
            <v>12</v>
          </cell>
          <cell r="R156">
            <v>5</v>
          </cell>
          <cell r="T156">
            <v>13</v>
          </cell>
          <cell r="U156">
            <v>14</v>
          </cell>
          <cell r="V156">
            <v>15</v>
          </cell>
          <cell r="W156">
            <v>16</v>
          </cell>
        </row>
        <row r="157">
          <cell r="A157">
            <v>2012</v>
          </cell>
          <cell r="B157" t="str">
            <v>I</v>
          </cell>
          <cell r="C157" t="str">
            <v>Agriculture</v>
          </cell>
          <cell r="D157" t="str">
            <v>Tanaman</v>
          </cell>
          <cell r="E157" t="str">
            <v>Pembalakan</v>
          </cell>
          <cell r="F157" t="str">
            <v>Perikanan</v>
          </cell>
          <cell r="I157" t="str">
            <v>Mining and
Quarrying</v>
          </cell>
          <cell r="J157" t="str">
            <v>Manufacturing</v>
          </cell>
          <cell r="K157" t="str">
            <v>Prosesan Makanan, Minuman dan Produk Tembakau</v>
          </cell>
          <cell r="L157" t="str">
            <v>Tekstil, Pakaian, Kulit dan Kasut</v>
          </cell>
          <cell r="M157" t="str">
            <v>Keluaran Kayu, Perabot, Produk Kertas, Percetakan dan Penerbitan</v>
          </cell>
          <cell r="N157" t="str">
            <v>Produk Petroleum, Bahan kimia, Getah dan Plastik</v>
          </cell>
          <cell r="O157" t="str">
            <v>Produk Mineral Bukan Logam, Logam Asli dan Produk Logam Yang Direka</v>
          </cell>
          <cell r="P157" t="str">
            <v>Elektrik dan Elektronik</v>
          </cell>
          <cell r="Q157" t="str">
            <v>Kelengkapan Pengangkutan dan Pembuatan Lain</v>
          </cell>
          <cell r="R157" t="str">
            <v>Construction</v>
          </cell>
          <cell r="S157" t="str">
            <v>Services</v>
          </cell>
          <cell r="T157" t="str">
            <v>Utiliti, Transport &amp; Communication</v>
          </cell>
          <cell r="U157" t="str">
            <v>WRT, Accomm &amp; Restaurant</v>
          </cell>
          <cell r="V157" t="str">
            <v>Finance &amp; Insurance, Real Estate &amp; Business Services</v>
          </cell>
          <cell r="W157" t="str">
            <v>Other Services</v>
          </cell>
          <cell r="X157" t="str">
            <v>Government Services</v>
          </cell>
          <cell r="Y157" t="str">
            <v>Plus :
Import Duties</v>
          </cell>
          <cell r="Z157" t="str">
            <v>GDP at
Purchasers' Prices</v>
          </cell>
        </row>
        <row r="158">
          <cell r="A158" t="str">
            <v>States</v>
          </cell>
          <cell r="B158" t="str">
            <v>Converter</v>
          </cell>
        </row>
        <row r="159">
          <cell r="A159" t="str">
            <v>Johor</v>
          </cell>
          <cell r="B159" t="str">
            <v>01</v>
          </cell>
          <cell r="C159">
            <v>8499.4218517199697</v>
          </cell>
          <cell r="D159">
            <v>7783.5626301690099</v>
          </cell>
          <cell r="E159">
            <v>51.240439222884099</v>
          </cell>
          <cell r="F159">
            <v>664.61878232807805</v>
          </cell>
          <cell r="G159">
            <v>0.15463940606465801</v>
          </cell>
          <cell r="I159">
            <v>83.602205875010398</v>
          </cell>
          <cell r="J159">
            <v>23335.579222503799</v>
          </cell>
          <cell r="K159">
            <v>2384.9944810836</v>
          </cell>
          <cell r="L159">
            <v>803.22775155407896</v>
          </cell>
          <cell r="M159">
            <v>1954.8936695171799</v>
          </cell>
          <cell r="N159">
            <v>5718.6914071588599</v>
          </cell>
          <cell r="O159">
            <v>3447.4076611442301</v>
          </cell>
          <cell r="P159">
            <v>6865.7990857122004</v>
          </cell>
          <cell r="Q159">
            <v>2160.5651663336598</v>
          </cell>
          <cell r="R159">
            <v>2396.8275009154299</v>
          </cell>
          <cell r="S159">
            <v>33782.405338582699</v>
          </cell>
          <cell r="T159">
            <v>7897.7516776400398</v>
          </cell>
          <cell r="U159">
            <v>8012.3480062305498</v>
          </cell>
          <cell r="V159">
            <v>9120.3161603454701</v>
          </cell>
          <cell r="W159">
            <v>3207.6190302516102</v>
          </cell>
          <cell r="X159">
            <v>5544.3704641150098</v>
          </cell>
          <cell r="Y159">
            <v>800.812800413991</v>
          </cell>
          <cell r="Z159">
            <v>68898.648920010906</v>
          </cell>
        </row>
        <row r="160">
          <cell r="A160" t="str">
            <v>Kedah</v>
          </cell>
          <cell r="B160" t="str">
            <v>02</v>
          </cell>
          <cell r="C160">
            <v>3009.94019090659</v>
          </cell>
          <cell r="D160">
            <v>2554.6195932220799</v>
          </cell>
          <cell r="E160">
            <v>123.378197064894</v>
          </cell>
          <cell r="F160">
            <v>331.94240061961898</v>
          </cell>
          <cell r="G160">
            <v>5.4763179370576398E-2</v>
          </cell>
          <cell r="I160">
            <v>23.8407354480149</v>
          </cell>
          <cell r="J160">
            <v>7852.3278784926597</v>
          </cell>
          <cell r="K160">
            <v>417.387571177947</v>
          </cell>
          <cell r="L160">
            <v>69.608720550380596</v>
          </cell>
          <cell r="M160">
            <v>444.22270973482699</v>
          </cell>
          <cell r="N160">
            <v>1532.04141797544</v>
          </cell>
          <cell r="O160">
            <v>2267.31651116794</v>
          </cell>
          <cell r="P160">
            <v>1461.3628673466601</v>
          </cell>
          <cell r="Q160">
            <v>1660.3880805394599</v>
          </cell>
          <cell r="R160">
            <v>608.71591516866397</v>
          </cell>
          <cell r="S160">
            <v>13620.779676312401</v>
          </cell>
          <cell r="T160">
            <v>2071.2184624998099</v>
          </cell>
          <cell r="U160">
            <v>3420.75428742962</v>
          </cell>
          <cell r="V160">
            <v>2708.0878666175499</v>
          </cell>
          <cell r="W160">
            <v>2059.8288262041201</v>
          </cell>
          <cell r="X160">
            <v>3360.8902335612702</v>
          </cell>
          <cell r="Y160">
            <v>162.18437680457501</v>
          </cell>
          <cell r="Z160">
            <v>25277.788773132899</v>
          </cell>
        </row>
        <row r="161">
          <cell r="A161" t="str">
            <v>Kelantan</v>
          </cell>
          <cell r="B161" t="str">
            <v>03</v>
          </cell>
          <cell r="C161">
            <v>3262.4567104921998</v>
          </cell>
          <cell r="D161">
            <v>2250.5871077659899</v>
          </cell>
          <cell r="E161">
            <v>734.76561747199298</v>
          </cell>
          <cell r="F161">
            <v>277.103985254218</v>
          </cell>
          <cell r="G161">
            <v>5.9357492406389697E-2</v>
          </cell>
          <cell r="I161">
            <v>20.8263133276708</v>
          </cell>
          <cell r="J161">
            <v>738.65286341165302</v>
          </cell>
          <cell r="K161">
            <v>121.930680436836</v>
          </cell>
          <cell r="L161">
            <v>34.341427716386399</v>
          </cell>
          <cell r="M161">
            <v>89.344443006500001</v>
          </cell>
          <cell r="N161">
            <v>138.81990381377199</v>
          </cell>
          <cell r="O161">
            <v>82.708519649512596</v>
          </cell>
          <cell r="P161">
            <v>263.84021340804901</v>
          </cell>
          <cell r="Q161">
            <v>7.6676753805969904</v>
          </cell>
          <cell r="R161">
            <v>229.330293967751</v>
          </cell>
          <cell r="S161">
            <v>9200.7164610651598</v>
          </cell>
          <cell r="T161">
            <v>1071.76897967985</v>
          </cell>
          <cell r="U161">
            <v>2405.7632464046701</v>
          </cell>
          <cell r="V161">
            <v>1136.4926705640601</v>
          </cell>
          <cell r="W161">
            <v>1458.1604456141899</v>
          </cell>
          <cell r="X161">
            <v>3128.5311188023802</v>
          </cell>
          <cell r="Y161">
            <v>23.7258058290783</v>
          </cell>
          <cell r="Z161">
            <v>13475.708448093499</v>
          </cell>
        </row>
        <row r="162">
          <cell r="A162" t="str">
            <v>Melaka</v>
          </cell>
          <cell r="B162" t="str">
            <v>04</v>
          </cell>
          <cell r="C162">
            <v>1995.8493017109399</v>
          </cell>
          <cell r="D162">
            <v>1963.31852716869</v>
          </cell>
          <cell r="E162">
            <v>0.39058176207543599</v>
          </cell>
          <cell r="F162">
            <v>32.140192780177998</v>
          </cell>
          <cell r="G162">
            <v>3.6312699380686098E-2</v>
          </cell>
          <cell r="I162">
            <v>10.112475782248399</v>
          </cell>
          <cell r="J162">
            <v>9030.2724552780401</v>
          </cell>
          <cell r="K162">
            <v>434.128731387242</v>
          </cell>
          <cell r="L162">
            <v>318.857407893573</v>
          </cell>
          <cell r="M162">
            <v>310.77061575848802</v>
          </cell>
          <cell r="N162">
            <v>4284.8676574412002</v>
          </cell>
          <cell r="O162">
            <v>603.60247547495601</v>
          </cell>
          <cell r="P162">
            <v>1962.95647946808</v>
          </cell>
          <cell r="Q162">
            <v>1115.0890878544999</v>
          </cell>
          <cell r="R162">
            <v>906.07056889400201</v>
          </cell>
          <cell r="S162">
            <v>9987.0896910489791</v>
          </cell>
          <cell r="T162">
            <v>1798.9941127745799</v>
          </cell>
          <cell r="U162">
            <v>3361.5379170567999</v>
          </cell>
          <cell r="V162">
            <v>2005.7729690097899</v>
          </cell>
          <cell r="W162">
            <v>1242.2031321719701</v>
          </cell>
          <cell r="X162">
            <v>1578.5815600358301</v>
          </cell>
          <cell r="Y162">
            <v>14.9902807526153</v>
          </cell>
          <cell r="Z162">
            <v>21944.384773466802</v>
          </cell>
        </row>
        <row r="163">
          <cell r="A163" t="str">
            <v>Negeri Sembilan</v>
          </cell>
          <cell r="B163" t="str">
            <v>05</v>
          </cell>
          <cell r="C163">
            <v>2178.3218620282901</v>
          </cell>
          <cell r="D163">
            <v>2085.0131844757002</v>
          </cell>
          <cell r="E163">
            <v>55.560231758910902</v>
          </cell>
          <cell r="F163">
            <v>37.748445793678499</v>
          </cell>
          <cell r="G163">
            <v>3.9632624999492903E-2</v>
          </cell>
          <cell r="I163">
            <v>24.547725203308701</v>
          </cell>
          <cell r="J163">
            <v>13395.1562030438</v>
          </cell>
          <cell r="K163">
            <v>1404.23409852379</v>
          </cell>
          <cell r="L163">
            <v>154.13558282628901</v>
          </cell>
          <cell r="M163">
            <v>377.63597594698098</v>
          </cell>
          <cell r="N163">
            <v>4200.1271776031599</v>
          </cell>
          <cell r="O163">
            <v>1376.61332146723</v>
          </cell>
          <cell r="P163">
            <v>4961.4208362988302</v>
          </cell>
          <cell r="Q163">
            <v>920.98921037754201</v>
          </cell>
          <cell r="R163">
            <v>692.98365234048401</v>
          </cell>
          <cell r="S163">
            <v>11246.0146058912</v>
          </cell>
          <cell r="T163">
            <v>2698.3269749730998</v>
          </cell>
          <cell r="U163">
            <v>2829.1290745413799</v>
          </cell>
          <cell r="V163">
            <v>2282.3660477152498</v>
          </cell>
          <cell r="W163">
            <v>1477.5476179959001</v>
          </cell>
          <cell r="X163">
            <v>1958.6448906656001</v>
          </cell>
          <cell r="Y163">
            <v>192.899309524085</v>
          </cell>
          <cell r="Z163">
            <v>27729.923358031199</v>
          </cell>
        </row>
        <row r="164">
          <cell r="A164" t="str">
            <v>Pahang</v>
          </cell>
          <cell r="B164" t="str">
            <v>06</v>
          </cell>
          <cell r="C164">
            <v>6186.9160992104498</v>
          </cell>
          <cell r="D164">
            <v>4853.9136400778098</v>
          </cell>
          <cell r="E164">
            <v>618.26544097006297</v>
          </cell>
          <cell r="F164">
            <v>714.73701816257801</v>
          </cell>
          <cell r="G164">
            <v>0.112565424760057</v>
          </cell>
          <cell r="I164">
            <v>217.359376893844</v>
          </cell>
          <cell r="J164">
            <v>7840.7354493851699</v>
          </cell>
          <cell r="K164">
            <v>921.13494044889899</v>
          </cell>
          <cell r="L164">
            <v>24.5124190688624</v>
          </cell>
          <cell r="M164">
            <v>663.69193611557898</v>
          </cell>
          <cell r="N164">
            <v>3241.8604524095999</v>
          </cell>
          <cell r="O164">
            <v>695.63913978494304</v>
          </cell>
          <cell r="P164">
            <v>111.938733734124</v>
          </cell>
          <cell r="Q164">
            <v>2181.9578278231602</v>
          </cell>
          <cell r="R164">
            <v>873.18496104557403</v>
          </cell>
          <cell r="S164">
            <v>15659.750870359499</v>
          </cell>
          <cell r="T164">
            <v>1691.3184155062499</v>
          </cell>
          <cell r="U164">
            <v>4904.6667933857998</v>
          </cell>
          <cell r="V164">
            <v>2217.20133966291</v>
          </cell>
          <cell r="W164">
            <v>3769.4414987309101</v>
          </cell>
          <cell r="X164">
            <v>3077.1228230736301</v>
          </cell>
          <cell r="Y164">
            <v>13.0358987515222</v>
          </cell>
          <cell r="Z164">
            <v>30790.982655645999</v>
          </cell>
        </row>
        <row r="165">
          <cell r="A165" t="str">
            <v>Pulau Pinang</v>
          </cell>
          <cell r="B165" t="str">
            <v>07</v>
          </cell>
          <cell r="C165">
            <v>989.80258396112697</v>
          </cell>
          <cell r="D165">
            <v>731.18001689310802</v>
          </cell>
          <cell r="E165">
            <v>0</v>
          </cell>
          <cell r="F165">
            <v>258.62256706801901</v>
          </cell>
          <cell r="G165">
            <v>1.80085759214361E-2</v>
          </cell>
          <cell r="I165">
            <v>23.613817931912699</v>
          </cell>
          <cell r="J165">
            <v>25411.130030250599</v>
          </cell>
          <cell r="K165">
            <v>1116.18410179394</v>
          </cell>
          <cell r="L165">
            <v>557.74037962954003</v>
          </cell>
          <cell r="M165">
            <v>941.05670776516104</v>
          </cell>
          <cell r="N165">
            <v>3093.2856699724598</v>
          </cell>
          <cell r="O165">
            <v>2867.05691055339</v>
          </cell>
          <cell r="P165">
            <v>14782.768237495</v>
          </cell>
          <cell r="Q165">
            <v>2053.0380230411101</v>
          </cell>
          <cell r="R165">
            <v>1315.23847144556</v>
          </cell>
          <cell r="S165">
            <v>24422.409262104</v>
          </cell>
          <cell r="T165">
            <v>5238.1382224018898</v>
          </cell>
          <cell r="U165">
            <v>6805.9446619393602</v>
          </cell>
          <cell r="V165">
            <v>7037.9922403077799</v>
          </cell>
          <cell r="W165">
            <v>2400.4074616410999</v>
          </cell>
          <cell r="X165">
            <v>2939.9266758138701</v>
          </cell>
          <cell r="Y165">
            <v>409.251633926681</v>
          </cell>
          <cell r="Z165">
            <v>52571.445799619898</v>
          </cell>
        </row>
        <row r="166">
          <cell r="A166" t="str">
            <v>Perak</v>
          </cell>
          <cell r="B166" t="str">
            <v>08</v>
          </cell>
          <cell r="C166">
            <v>5777.0457466808703</v>
          </cell>
          <cell r="D166">
            <v>3862.19796005239</v>
          </cell>
          <cell r="E166">
            <v>394.62302985883701</v>
          </cell>
          <cell r="F166">
            <v>1520.22475676964</v>
          </cell>
          <cell r="G166">
            <v>0.105108198964651</v>
          </cell>
          <cell r="I166">
            <v>144.193924989701</v>
          </cell>
          <cell r="J166">
            <v>7658.3546612541304</v>
          </cell>
          <cell r="K166">
            <v>1144.3863777085901</v>
          </cell>
          <cell r="L166">
            <v>172.43056360591399</v>
          </cell>
          <cell r="M166">
            <v>358.66049496469998</v>
          </cell>
          <cell r="N166">
            <v>1523.67813732734</v>
          </cell>
          <cell r="O166">
            <v>1987.3948583144499</v>
          </cell>
          <cell r="P166">
            <v>1886.0720866904301</v>
          </cell>
          <cell r="Q166">
            <v>585.73214264271496</v>
          </cell>
          <cell r="R166">
            <v>1094.74508694509</v>
          </cell>
          <cell r="S166">
            <v>24996.424320652299</v>
          </cell>
          <cell r="T166">
            <v>7426.02319259669</v>
          </cell>
          <cell r="U166">
            <v>5813.2685737843503</v>
          </cell>
          <cell r="V166">
            <v>4407.5073150541803</v>
          </cell>
          <cell r="W166">
            <v>2918.08730203393</v>
          </cell>
          <cell r="X166">
            <v>4431.5379371831596</v>
          </cell>
          <cell r="Y166">
            <v>17.4797376965506</v>
          </cell>
          <cell r="Z166">
            <v>39688.243478218603</v>
          </cell>
        </row>
        <row r="167">
          <cell r="A167" t="str">
            <v>Perlis</v>
          </cell>
          <cell r="B167" t="str">
            <v>09</v>
          </cell>
          <cell r="C167">
            <v>840.538276068605</v>
          </cell>
          <cell r="D167">
            <v>270.98791001991299</v>
          </cell>
          <cell r="E167">
            <v>0</v>
          </cell>
          <cell r="F167">
            <v>569.55036604869304</v>
          </cell>
          <cell r="G167">
            <v>1.52928448609192E-2</v>
          </cell>
          <cell r="I167">
            <v>7.8630705016069902</v>
          </cell>
          <cell r="J167">
            <v>352.23233548238699</v>
          </cell>
          <cell r="K167">
            <v>53.017986483786302</v>
          </cell>
          <cell r="L167">
            <v>39.382493442889498</v>
          </cell>
          <cell r="M167">
            <v>5.9428648207202901</v>
          </cell>
          <cell r="N167">
            <v>80.746387238501597</v>
          </cell>
          <cell r="O167">
            <v>169.70931767045701</v>
          </cell>
          <cell r="P167">
            <v>0.69130164414456396</v>
          </cell>
          <cell r="Q167">
            <v>2.7419841818873198</v>
          </cell>
          <cell r="R167">
            <v>96.636789889015802</v>
          </cell>
          <cell r="S167">
            <v>2169.5388495278098</v>
          </cell>
          <cell r="T167">
            <v>714.25395061898701</v>
          </cell>
          <cell r="U167">
            <v>306.55834603921801</v>
          </cell>
          <cell r="V167">
            <v>290.30374323946802</v>
          </cell>
          <cell r="W167">
            <v>271.94986652155899</v>
          </cell>
          <cell r="X167">
            <v>586.47294310857797</v>
          </cell>
          <cell r="Y167">
            <v>70.382385332018401</v>
          </cell>
          <cell r="Z167">
            <v>3537.19170680144</v>
          </cell>
        </row>
        <row r="168">
          <cell r="A168" t="str">
            <v>Selangor</v>
          </cell>
          <cell r="B168">
            <v>10</v>
          </cell>
          <cell r="C168">
            <v>2928.79880005116</v>
          </cell>
          <cell r="D168">
            <v>1971.2635139516201</v>
          </cell>
          <cell r="E168">
            <v>4.8506169140214004</v>
          </cell>
          <cell r="F168">
            <v>952.68466918551405</v>
          </cell>
          <cell r="G168">
            <v>5.3286884075666903E-2</v>
          </cell>
          <cell r="I168">
            <v>153.77570318972201</v>
          </cell>
          <cell r="J168">
            <v>55497.7252193596</v>
          </cell>
          <cell r="K168">
            <v>9159.8025759456996</v>
          </cell>
          <cell r="L168">
            <v>625.767748752545</v>
          </cell>
          <cell r="M168">
            <v>3214.7585001345501</v>
          </cell>
          <cell r="N168">
            <v>8447.6700463326197</v>
          </cell>
          <cell r="O168">
            <v>8951.4411725459795</v>
          </cell>
          <cell r="P168">
            <v>12259.2422725042</v>
          </cell>
          <cell r="Q168">
            <v>12839.042903144</v>
          </cell>
          <cell r="R168">
            <v>8790.1616960969004</v>
          </cell>
          <cell r="S168">
            <v>102760.30219111399</v>
          </cell>
          <cell r="T168">
            <v>24475.201271004498</v>
          </cell>
          <cell r="U168">
            <v>33681.349755677802</v>
          </cell>
          <cell r="V168">
            <v>27814.3804078301</v>
          </cell>
          <cell r="W168">
            <v>8293.8449333607405</v>
          </cell>
          <cell r="X168">
            <v>8495.5258232406104</v>
          </cell>
          <cell r="Y168">
            <v>6246.4646222930396</v>
          </cell>
          <cell r="Z168">
            <v>176377.22823210401</v>
          </cell>
        </row>
        <row r="169">
          <cell r="A169" t="str">
            <v>Terengganu</v>
          </cell>
          <cell r="B169">
            <v>11</v>
          </cell>
          <cell r="C169">
            <v>1531.3159056412901</v>
          </cell>
          <cell r="D169">
            <v>1173.2488906353201</v>
          </cell>
          <cell r="E169">
            <v>105.25399571146001</v>
          </cell>
          <cell r="F169">
            <v>252.81301929451001</v>
          </cell>
          <cell r="G169">
            <v>2.78609282227604E-2</v>
          </cell>
          <cell r="I169">
            <v>19.008965710570099</v>
          </cell>
          <cell r="J169">
            <v>7439.8439621940197</v>
          </cell>
          <cell r="K169">
            <v>69.566267526971004</v>
          </cell>
          <cell r="L169">
            <v>41.994834169779999</v>
          </cell>
          <cell r="M169">
            <v>98.716020292595402</v>
          </cell>
          <cell r="N169">
            <v>6709.35250879049</v>
          </cell>
          <cell r="O169">
            <v>444.64474978085201</v>
          </cell>
          <cell r="P169">
            <v>2.8853506400709299</v>
          </cell>
          <cell r="Q169">
            <v>72.684230993260897</v>
          </cell>
          <cell r="R169">
            <v>757.06310618569501</v>
          </cell>
          <cell r="S169">
            <v>9876.2824065053901</v>
          </cell>
          <cell r="T169">
            <v>3657.82275840804</v>
          </cell>
          <cell r="U169">
            <v>1813.95406392735</v>
          </cell>
          <cell r="V169">
            <v>955.97787766315901</v>
          </cell>
          <cell r="W169">
            <v>974.90481394047504</v>
          </cell>
          <cell r="X169">
            <v>2473.62289256636</v>
          </cell>
          <cell r="Y169">
            <v>18.183226823906502</v>
          </cell>
          <cell r="Z169">
            <v>19641.697573060901</v>
          </cell>
        </row>
        <row r="170">
          <cell r="A170" t="str">
            <v>Sabah</v>
          </cell>
          <cell r="B170">
            <v>12</v>
          </cell>
          <cell r="C170">
            <v>9269.2175249747906</v>
          </cell>
          <cell r="D170">
            <v>6542.96793685586</v>
          </cell>
          <cell r="E170">
            <v>822.61026313053401</v>
          </cell>
          <cell r="F170">
            <v>1903.6393249883899</v>
          </cell>
          <cell r="G170">
            <v>0.16864515231187799</v>
          </cell>
          <cell r="I170">
            <v>9167.1810231602194</v>
          </cell>
          <cell r="J170">
            <v>3495.6402054413902</v>
          </cell>
          <cell r="K170">
            <v>1915.7998950631199</v>
          </cell>
          <cell r="L170">
            <v>35.497282883448698</v>
          </cell>
          <cell r="M170">
            <v>714.88205915253502</v>
          </cell>
          <cell r="N170">
            <v>239.82227626068399</v>
          </cell>
          <cell r="O170">
            <v>426.96689276737902</v>
          </cell>
          <cell r="P170">
            <v>13.0730273936943</v>
          </cell>
          <cell r="Q170">
            <v>149.59877192052801</v>
          </cell>
          <cell r="R170">
            <v>1280.4330211776701</v>
          </cell>
          <cell r="S170">
            <v>21070.636505532999</v>
          </cell>
          <cell r="T170">
            <v>3871.8937146051799</v>
          </cell>
          <cell r="U170">
            <v>6769.5301216211701</v>
          </cell>
          <cell r="V170">
            <v>4371.2484150819801</v>
          </cell>
          <cell r="W170">
            <v>1832.0933363941101</v>
          </cell>
          <cell r="X170">
            <v>4225.8709178305198</v>
          </cell>
          <cell r="Y170">
            <v>185.703599974799</v>
          </cell>
          <cell r="Z170">
            <v>44468.811880261797</v>
          </cell>
        </row>
        <row r="171">
          <cell r="A171" t="str">
            <v>Sarawak</v>
          </cell>
          <cell r="B171">
            <v>13</v>
          </cell>
          <cell r="C171">
            <v>8370.7982938666592</v>
          </cell>
          <cell r="D171">
            <v>4642.6808537868201</v>
          </cell>
          <cell r="E171">
            <v>3247.47202584859</v>
          </cell>
          <cell r="F171">
            <v>480.64541423124399</v>
          </cell>
          <cell r="G171">
            <v>0.15229921505645</v>
          </cell>
          <cell r="I171">
            <v>15154.4470817786</v>
          </cell>
          <cell r="J171">
            <v>19399.666076773599</v>
          </cell>
          <cell r="K171">
            <v>775.58735607610095</v>
          </cell>
          <cell r="L171">
            <v>15.0745317584701</v>
          </cell>
          <cell r="M171">
            <v>1551.29563122071</v>
          </cell>
          <cell r="N171">
            <v>15501.1310661064</v>
          </cell>
          <cell r="O171">
            <v>605.64828917163697</v>
          </cell>
          <cell r="P171">
            <v>541.31617967475097</v>
          </cell>
          <cell r="Q171">
            <v>409.613022765545</v>
          </cell>
          <cell r="R171">
            <v>2262.5501826260202</v>
          </cell>
          <cell r="S171">
            <v>26443.601253813998</v>
          </cell>
          <cell r="T171">
            <v>5820.4846753634802</v>
          </cell>
          <cell r="U171">
            <v>7040.84767516391</v>
          </cell>
          <cell r="V171">
            <v>6879.62447942165</v>
          </cell>
          <cell r="W171">
            <v>2534.16565625769</v>
          </cell>
          <cell r="X171">
            <v>4168.4787676072401</v>
          </cell>
          <cell r="Y171">
            <v>248.11392658100701</v>
          </cell>
          <cell r="Z171">
            <v>71879.176815439801</v>
          </cell>
        </row>
        <row r="172">
          <cell r="A172" t="str">
            <v>WP Kuala Lumpur</v>
          </cell>
          <cell r="B172">
            <v>14</v>
          </cell>
          <cell r="C172">
            <v>1.33811879427992</v>
          </cell>
          <cell r="D172">
            <v>1.33811879427992</v>
          </cell>
          <cell r="E172">
            <v>0</v>
          </cell>
          <cell r="F172">
            <v>0</v>
          </cell>
          <cell r="G172">
            <v>2.4345878955228999E-5</v>
          </cell>
          <cell r="I172">
            <v>33.527386668321199</v>
          </cell>
          <cell r="J172">
            <v>4583.5227902265196</v>
          </cell>
          <cell r="K172">
            <v>511.31546080560298</v>
          </cell>
          <cell r="L172">
            <v>325.880583844309</v>
          </cell>
          <cell r="M172">
            <v>669.66196348636402</v>
          </cell>
          <cell r="N172">
            <v>662.33600246826995</v>
          </cell>
          <cell r="O172">
            <v>802.57089025127095</v>
          </cell>
          <cell r="P172">
            <v>666.73541628887995</v>
          </cell>
          <cell r="Q172">
            <v>945.02247308181995</v>
          </cell>
          <cell r="R172">
            <v>5302.2337156191898</v>
          </cell>
          <cell r="S172">
            <v>102775.57740821601</v>
          </cell>
          <cell r="T172">
            <v>6713.9829563593903</v>
          </cell>
          <cell r="U172">
            <v>37682.895314182198</v>
          </cell>
          <cell r="V172">
            <v>39293.579300299498</v>
          </cell>
          <cell r="W172">
            <v>5073.6181105953901</v>
          </cell>
          <cell r="X172">
            <v>14011.501726779899</v>
          </cell>
          <cell r="Y172">
            <v>1580.4685485513101</v>
          </cell>
          <cell r="Z172">
            <v>114276.667968076</v>
          </cell>
        </row>
        <row r="173">
          <cell r="A173" t="str">
            <v>WP Labuan</v>
          </cell>
          <cell r="B173">
            <v>15</v>
          </cell>
          <cell r="C173">
            <v>121.08467347306799</v>
          </cell>
          <cell r="D173">
            <v>6.7249392836401896</v>
          </cell>
          <cell r="E173">
            <v>0</v>
          </cell>
          <cell r="F173">
            <v>114.359734189428</v>
          </cell>
          <cell r="G173">
            <v>2.20302772542336E-3</v>
          </cell>
          <cell r="I173">
            <v>0</v>
          </cell>
          <cell r="J173">
            <v>717.551482388723</v>
          </cell>
          <cell r="K173">
            <v>9.7330650632984206</v>
          </cell>
          <cell r="L173">
            <v>2.6312175701124301</v>
          </cell>
          <cell r="M173">
            <v>1.12671501031767</v>
          </cell>
          <cell r="N173">
            <v>425.60227142865398</v>
          </cell>
          <cell r="O173">
            <v>247.14952935007</v>
          </cell>
          <cell r="P173">
            <v>1.26678033822109</v>
          </cell>
          <cell r="Q173">
            <v>30.0419036280489</v>
          </cell>
          <cell r="R173">
            <v>33.5881762447627</v>
          </cell>
          <cell r="S173">
            <v>2327.3071407966399</v>
          </cell>
          <cell r="T173">
            <v>222.29550550402701</v>
          </cell>
          <cell r="U173">
            <v>258.795257169612</v>
          </cell>
          <cell r="V173">
            <v>1653.88630010355</v>
          </cell>
          <cell r="W173">
            <v>72.967897534969296</v>
          </cell>
          <cell r="X173">
            <v>119.362180484487</v>
          </cell>
          <cell r="Y173">
            <v>17.693919309888098</v>
          </cell>
          <cell r="Z173">
            <v>3217.2253922130899</v>
          </cell>
        </row>
        <row r="174">
          <cell r="A174" t="str">
            <v>Supra1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I174">
            <v>38159.213385185802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38159.213385185802</v>
          </cell>
        </row>
        <row r="175">
          <cell r="A175" t="str">
            <v>MALAYSIA</v>
          </cell>
          <cell r="C175">
            <v>54962.8459395803</v>
          </cell>
          <cell r="D175">
            <v>40693.6048231522</v>
          </cell>
          <cell r="E175">
            <v>6158.4104397142701</v>
          </cell>
          <cell r="F175">
            <v>8110.8306767137901</v>
          </cell>
          <cell r="G175">
            <v>1</v>
          </cell>
          <cell r="I175">
            <v>63243.113191646502</v>
          </cell>
          <cell r="J175">
            <v>186748.390835486</v>
          </cell>
          <cell r="K175">
            <v>20439.203589525401</v>
          </cell>
          <cell r="L175">
            <v>3221.0829452665798</v>
          </cell>
          <cell r="M175">
            <v>11396.660306927201</v>
          </cell>
          <cell r="N175">
            <v>55800.032382327401</v>
          </cell>
          <cell r="O175">
            <v>24975.8702390943</v>
          </cell>
          <cell r="P175">
            <v>45781.368868637401</v>
          </cell>
          <cell r="Q175">
            <v>25134.172503707799</v>
          </cell>
          <cell r="R175">
            <v>26639.763138561801</v>
          </cell>
          <cell r="S175">
            <v>410338.83598152298</v>
          </cell>
          <cell r="T175">
            <v>75369.474869935802</v>
          </cell>
          <cell r="U175">
            <v>125107.343094554</v>
          </cell>
          <cell r="V175">
            <v>112174.73713291599</v>
          </cell>
          <cell r="W175">
            <v>37586.839929248701</v>
          </cell>
          <cell r="X175">
            <v>60100.440954868398</v>
          </cell>
          <cell r="Y175">
            <v>10001.3900725651</v>
          </cell>
          <cell r="Z175">
            <v>751934.33915936295</v>
          </cell>
        </row>
        <row r="178">
          <cell r="A178" t="str">
            <v>CONSTANT</v>
          </cell>
          <cell r="B178" t="str">
            <v>Industry</v>
          </cell>
          <cell r="D178">
            <v>1</v>
          </cell>
          <cell r="E178">
            <v>2</v>
          </cell>
          <cell r="F178">
            <v>3</v>
          </cell>
          <cell r="I178">
            <v>4</v>
          </cell>
          <cell r="K178">
            <v>6</v>
          </cell>
          <cell r="L178">
            <v>7</v>
          </cell>
          <cell r="M178">
            <v>8</v>
          </cell>
          <cell r="N178">
            <v>9</v>
          </cell>
          <cell r="O178">
            <v>10</v>
          </cell>
          <cell r="P178">
            <v>11</v>
          </cell>
          <cell r="Q178">
            <v>12</v>
          </cell>
          <cell r="R178">
            <v>5</v>
          </cell>
          <cell r="T178">
            <v>13</v>
          </cell>
          <cell r="U178">
            <v>14</v>
          </cell>
          <cell r="V178">
            <v>15</v>
          </cell>
          <cell r="W178">
            <v>16</v>
          </cell>
        </row>
        <row r="179">
          <cell r="A179">
            <v>2013</v>
          </cell>
          <cell r="B179" t="str">
            <v>I</v>
          </cell>
          <cell r="C179" t="str">
            <v>Agriculture</v>
          </cell>
          <cell r="D179" t="str">
            <v>Tanaman</v>
          </cell>
          <cell r="E179" t="str">
            <v>Pembalakan</v>
          </cell>
          <cell r="F179" t="str">
            <v>Perikanan</v>
          </cell>
          <cell r="I179" t="str">
            <v>Mining and
Quarrying</v>
          </cell>
          <cell r="J179" t="str">
            <v>Manufacturing</v>
          </cell>
          <cell r="K179" t="str">
            <v>Prosesan Makanan, Minuman dan Produk Tembakau</v>
          </cell>
          <cell r="L179" t="str">
            <v>Tekstil, Pakaian, Kulit dan Kasut</v>
          </cell>
          <cell r="M179" t="str">
            <v>Keluaran Kayu, Perabot, Produk Kertas, Percetakan dan Penerbitan</v>
          </cell>
          <cell r="N179" t="str">
            <v>Produk Petroleum, Bahan kimia, Getah dan Plastik</v>
          </cell>
          <cell r="O179" t="str">
            <v>Produk Mineral Bukan Logam, Logam Asli dan Produk Logam Yang Direka</v>
          </cell>
          <cell r="P179" t="str">
            <v>Elektrik dan Elektronik</v>
          </cell>
          <cell r="Q179" t="str">
            <v>Kelengkapan Pengangkutan dan Pembuatan Lain</v>
          </cell>
          <cell r="R179" t="str">
            <v>Construction</v>
          </cell>
          <cell r="S179" t="str">
            <v>Services</v>
          </cell>
          <cell r="T179" t="str">
            <v>Utiliti, Transport &amp; Communication</v>
          </cell>
          <cell r="U179" t="str">
            <v>WRT, Accomm &amp; Restaurant</v>
          </cell>
          <cell r="V179" t="str">
            <v>Finance &amp; Insurance, Real Estate &amp; Business Services</v>
          </cell>
          <cell r="W179" t="str">
            <v>Other Services</v>
          </cell>
          <cell r="X179" t="str">
            <v>Government Services</v>
          </cell>
          <cell r="Y179" t="str">
            <v>Plus :
Import Duties</v>
          </cell>
          <cell r="Z179" t="str">
            <v>GDP at
Purchasers' Prices</v>
          </cell>
        </row>
        <row r="180">
          <cell r="A180" t="str">
            <v>States</v>
          </cell>
          <cell r="B180" t="str">
            <v>Converter</v>
          </cell>
        </row>
        <row r="181">
          <cell r="A181" t="str">
            <v>Johor</v>
          </cell>
          <cell r="B181" t="str">
            <v>01</v>
          </cell>
          <cell r="C181">
            <v>8748.7908090068704</v>
          </cell>
          <cell r="D181">
            <v>8036.4950683605202</v>
          </cell>
          <cell r="E181">
            <v>50.351897118266798</v>
          </cell>
          <cell r="F181">
            <v>661.94384352808402</v>
          </cell>
          <cell r="G181">
            <v>0.15917645200949501</v>
          </cell>
          <cell r="I181">
            <v>96.234754698537401</v>
          </cell>
          <cell r="J181">
            <v>24405.091104601001</v>
          </cell>
          <cell r="K181">
            <v>2487.6893945492998</v>
          </cell>
          <cell r="L181">
            <v>849.15390690469599</v>
          </cell>
          <cell r="M181">
            <v>1851.70418317137</v>
          </cell>
          <cell r="N181">
            <v>6327.2266505892203</v>
          </cell>
          <cell r="O181">
            <v>3576.06608010438</v>
          </cell>
          <cell r="P181">
            <v>6921.9470872472903</v>
          </cell>
          <cell r="Q181">
            <v>2391.3038020347899</v>
          </cell>
          <cell r="R181">
            <v>2591.1198371668102</v>
          </cell>
          <cell r="S181">
            <v>35158.481630847004</v>
          </cell>
          <cell r="T181">
            <v>8222.2753111455695</v>
          </cell>
          <cell r="U181">
            <v>8451.3331251300497</v>
          </cell>
          <cell r="V181">
            <v>9370.30747007645</v>
          </cell>
          <cell r="W181">
            <v>3299.11104125783</v>
          </cell>
          <cell r="X181">
            <v>5815.4546832370797</v>
          </cell>
          <cell r="Y181">
            <v>1275.41416982082</v>
          </cell>
          <cell r="Z181">
            <v>72275.132306141095</v>
          </cell>
        </row>
        <row r="182">
          <cell r="A182" t="str">
            <v>Kedah</v>
          </cell>
          <cell r="B182" t="str">
            <v>02</v>
          </cell>
          <cell r="C182">
            <v>3134.4356637680999</v>
          </cell>
          <cell r="D182">
            <v>2642.0112222114399</v>
          </cell>
          <cell r="E182">
            <v>121.18761989214801</v>
          </cell>
          <cell r="F182">
            <v>371.23682166451499</v>
          </cell>
          <cell r="G182">
            <v>5.7028263551231202E-2</v>
          </cell>
          <cell r="I182">
            <v>27.175492254822998</v>
          </cell>
          <cell r="J182">
            <v>8044.74531754082</v>
          </cell>
          <cell r="K182">
            <v>394.21841089785102</v>
          </cell>
          <cell r="L182">
            <v>71.111762684665905</v>
          </cell>
          <cell r="M182">
            <v>445.58436772479303</v>
          </cell>
          <cell r="N182">
            <v>1774.7015736860301</v>
          </cell>
          <cell r="O182">
            <v>2232.73900335606</v>
          </cell>
          <cell r="P182">
            <v>1554.0650173762899</v>
          </cell>
          <cell r="Q182">
            <v>1572.32518181513</v>
          </cell>
          <cell r="R182">
            <v>543.56793260374798</v>
          </cell>
          <cell r="S182">
            <v>14512.2928501926</v>
          </cell>
          <cell r="T182">
            <v>2215.18948845253</v>
          </cell>
          <cell r="U182">
            <v>3716.0779669713702</v>
          </cell>
          <cell r="V182">
            <v>2773.3684723987499</v>
          </cell>
          <cell r="W182">
            <v>2139.8606680274202</v>
          </cell>
          <cell r="X182">
            <v>3667.7962543425801</v>
          </cell>
          <cell r="Y182">
            <v>171.488139160842</v>
          </cell>
          <cell r="Z182">
            <v>26433.705395520999</v>
          </cell>
        </row>
        <row r="183">
          <cell r="A183" t="str">
            <v>Kelantan</v>
          </cell>
          <cell r="B183" t="str">
            <v>03</v>
          </cell>
          <cell r="C183">
            <v>3278.2070083706199</v>
          </cell>
          <cell r="D183">
            <v>2316.7337867512201</v>
          </cell>
          <cell r="E183">
            <v>721.82449280438698</v>
          </cell>
          <cell r="F183">
            <v>239.64872881501501</v>
          </cell>
          <cell r="G183">
            <v>5.9644055039913699E-2</v>
          </cell>
          <cell r="I183">
            <v>23.928708431918501</v>
          </cell>
          <cell r="J183">
            <v>728.41334931284405</v>
          </cell>
          <cell r="K183">
            <v>121.84849218116599</v>
          </cell>
          <cell r="L183">
            <v>37.887261727283303</v>
          </cell>
          <cell r="M183">
            <v>90.040331344982107</v>
          </cell>
          <cell r="N183">
            <v>146.34443200108299</v>
          </cell>
          <cell r="O183">
            <v>77.461632040248602</v>
          </cell>
          <cell r="P183">
            <v>246.43157421922601</v>
          </cell>
          <cell r="Q183">
            <v>8.3996257988556593</v>
          </cell>
          <cell r="R183">
            <v>184.40149107085</v>
          </cell>
          <cell r="S183">
            <v>9720.5054801689002</v>
          </cell>
          <cell r="T183">
            <v>1128.25163187364</v>
          </cell>
          <cell r="U183">
            <v>2509.8444173910798</v>
          </cell>
          <cell r="V183">
            <v>1162.2121930411499</v>
          </cell>
          <cell r="W183">
            <v>1531.4696665264801</v>
          </cell>
          <cell r="X183">
            <v>3388.7275713365502</v>
          </cell>
          <cell r="Y183">
            <v>27.258509501254601</v>
          </cell>
          <cell r="Z183">
            <v>13962.714546856399</v>
          </cell>
        </row>
        <row r="184">
          <cell r="A184" t="str">
            <v>Melaka</v>
          </cell>
          <cell r="B184" t="str">
            <v>04</v>
          </cell>
          <cell r="C184">
            <v>2171.0469426095101</v>
          </cell>
          <cell r="D184">
            <v>2137.9820003771601</v>
          </cell>
          <cell r="E184">
            <v>0.38372537971792697</v>
          </cell>
          <cell r="F184">
            <v>32.681216852634201</v>
          </cell>
          <cell r="G184">
            <v>3.95002643239417E-2</v>
          </cell>
          <cell r="I184">
            <v>11.591103445725601</v>
          </cell>
          <cell r="J184">
            <v>9190.1860404036597</v>
          </cell>
          <cell r="K184">
            <v>439.92529419453803</v>
          </cell>
          <cell r="L184">
            <v>323.13145513812702</v>
          </cell>
          <cell r="M184">
            <v>300.27909684069402</v>
          </cell>
          <cell r="N184">
            <v>3525.3967782201498</v>
          </cell>
          <cell r="O184">
            <v>622.43666930828795</v>
          </cell>
          <cell r="P184">
            <v>2235.08891102693</v>
          </cell>
          <cell r="Q184">
            <v>1743.9278356749401</v>
          </cell>
          <cell r="R184">
            <v>692.92146594357098</v>
          </cell>
          <cell r="S184">
            <v>10560.3179800077</v>
          </cell>
          <cell r="T184">
            <v>1978.7840909982899</v>
          </cell>
          <cell r="U184">
            <v>3541.4714675534401</v>
          </cell>
          <cell r="V184">
            <v>2022.6873549157301</v>
          </cell>
          <cell r="W184">
            <v>1291.10676756355</v>
          </cell>
          <cell r="X184">
            <v>1726.2682989766499</v>
          </cell>
          <cell r="Y184">
            <v>20.244858230933101</v>
          </cell>
          <cell r="Z184">
            <v>22646.308390641101</v>
          </cell>
        </row>
        <row r="185">
          <cell r="A185" t="str">
            <v>Negeri Sembilan</v>
          </cell>
          <cell r="B185" t="str">
            <v>05</v>
          </cell>
          <cell r="C185">
            <v>2177.1023931321502</v>
          </cell>
          <cell r="D185">
            <v>2084.1226660815601</v>
          </cell>
          <cell r="E185">
            <v>54.579197938699799</v>
          </cell>
          <cell r="F185">
            <v>38.400529111885596</v>
          </cell>
          <cell r="G185">
            <v>3.9610437849695798E-2</v>
          </cell>
          <cell r="I185">
            <v>27.9349198765557</v>
          </cell>
          <cell r="J185">
            <v>13482.934373079999</v>
          </cell>
          <cell r="K185">
            <v>1073.51143212127</v>
          </cell>
          <cell r="L185">
            <v>149.48211573688499</v>
          </cell>
          <cell r="M185">
            <v>409.06445384241499</v>
          </cell>
          <cell r="N185">
            <v>4229.78143055286</v>
          </cell>
          <cell r="O185">
            <v>1422.60756007227</v>
          </cell>
          <cell r="P185">
            <v>5239.6258880310597</v>
          </cell>
          <cell r="Q185">
            <v>958.86149272320097</v>
          </cell>
          <cell r="R185">
            <v>711.12297261316098</v>
          </cell>
          <cell r="S185">
            <v>11699.787641275099</v>
          </cell>
          <cell r="T185">
            <v>2723.43609090371</v>
          </cell>
          <cell r="U185">
            <v>2988.6764926708202</v>
          </cell>
          <cell r="V185">
            <v>2333.4203236531898</v>
          </cell>
          <cell r="W185">
            <v>1536.9809950527599</v>
          </cell>
          <cell r="X185">
            <v>2117.2737389946701</v>
          </cell>
          <cell r="Y185">
            <v>591.97883182675503</v>
          </cell>
          <cell r="Z185">
            <v>28690.8611318037</v>
          </cell>
        </row>
        <row r="186">
          <cell r="A186" t="str">
            <v>Pahang</v>
          </cell>
          <cell r="B186" t="str">
            <v>06</v>
          </cell>
          <cell r="C186">
            <v>6495.5884319916304</v>
          </cell>
          <cell r="D186">
            <v>5130.8886455602496</v>
          </cell>
          <cell r="E186">
            <v>607.26593269382295</v>
          </cell>
          <cell r="F186">
            <v>757.43385373755405</v>
          </cell>
          <cell r="G186">
            <v>0.11818144277194299</v>
          </cell>
          <cell r="I186">
            <v>234.637617214561</v>
          </cell>
          <cell r="J186">
            <v>8260.7519226613294</v>
          </cell>
          <cell r="K186">
            <v>1022.37655840198</v>
          </cell>
          <cell r="L186">
            <v>24.944378736767199</v>
          </cell>
          <cell r="M186">
            <v>646.27684577394098</v>
          </cell>
          <cell r="N186">
            <v>2848.8761106411698</v>
          </cell>
          <cell r="O186">
            <v>688.57969868896805</v>
          </cell>
          <cell r="P186">
            <v>113.926478323246</v>
          </cell>
          <cell r="Q186">
            <v>2915.7718520952499</v>
          </cell>
          <cell r="R186">
            <v>926.54904098967097</v>
          </cell>
          <cell r="S186">
            <v>16545.752522713901</v>
          </cell>
          <cell r="T186">
            <v>1786.2366502566499</v>
          </cell>
          <cell r="U186">
            <v>5057.6745861725603</v>
          </cell>
          <cell r="V186">
            <v>2281.7186588714699</v>
          </cell>
          <cell r="W186">
            <v>4027.3848709680901</v>
          </cell>
          <cell r="X186">
            <v>3392.7377564451299</v>
          </cell>
          <cell r="Y186">
            <v>25.951612294820599</v>
          </cell>
          <cell r="Z186">
            <v>32489.231147865899</v>
          </cell>
        </row>
        <row r="187">
          <cell r="A187" t="str">
            <v>Pulau Pinang</v>
          </cell>
          <cell r="B187" t="str">
            <v>07</v>
          </cell>
          <cell r="C187">
            <v>1021.0957839773999</v>
          </cell>
          <cell r="D187">
            <v>758.16760528689701</v>
          </cell>
          <cell r="E187">
            <v>0</v>
          </cell>
          <cell r="F187">
            <v>262.92817869050299</v>
          </cell>
          <cell r="G187">
            <v>1.8577927807811701E-2</v>
          </cell>
          <cell r="I187">
            <v>26.7326725623969</v>
          </cell>
          <cell r="J187">
            <v>26301.2572686202</v>
          </cell>
          <cell r="K187">
            <v>1186.13335334663</v>
          </cell>
          <cell r="L187">
            <v>577.11881207715203</v>
          </cell>
          <cell r="M187">
            <v>927.33094385090396</v>
          </cell>
          <cell r="N187">
            <v>3076.4671167770098</v>
          </cell>
          <cell r="O187">
            <v>2976.3297866633802</v>
          </cell>
          <cell r="P187">
            <v>15388.367361549999</v>
          </cell>
          <cell r="Q187">
            <v>2169.5098943550502</v>
          </cell>
          <cell r="R187">
            <v>1308.2666944063899</v>
          </cell>
          <cell r="S187">
            <v>25831.234097850702</v>
          </cell>
          <cell r="T187">
            <v>5500.6826819693897</v>
          </cell>
          <cell r="U187">
            <v>7280.0789083468699</v>
          </cell>
          <cell r="V187">
            <v>7184.2364387227399</v>
          </cell>
          <cell r="W187">
            <v>2538.1412284069002</v>
          </cell>
          <cell r="X187">
            <v>3328.0948404048499</v>
          </cell>
          <cell r="Y187">
            <v>479.12025591232202</v>
          </cell>
          <cell r="Z187">
            <v>54967.706773329402</v>
          </cell>
        </row>
        <row r="188">
          <cell r="A188" t="str">
            <v>Perak</v>
          </cell>
          <cell r="B188" t="str">
            <v>08</v>
          </cell>
          <cell r="C188">
            <v>5769.6978854849704</v>
          </cell>
          <cell r="D188">
            <v>3875.97029518006</v>
          </cell>
          <cell r="E188">
            <v>387.62683690967799</v>
          </cell>
          <cell r="F188">
            <v>1506.10075339523</v>
          </cell>
          <cell r="G188">
            <v>0.104974511178469</v>
          </cell>
          <cell r="I188">
            <v>160.81691599765799</v>
          </cell>
          <cell r="J188">
            <v>8091.9117850561797</v>
          </cell>
          <cell r="K188">
            <v>1160.96481724502</v>
          </cell>
          <cell r="L188">
            <v>171.25186372072</v>
          </cell>
          <cell r="M188">
            <v>363.56211939631299</v>
          </cell>
          <cell r="N188">
            <v>1553.97182138072</v>
          </cell>
          <cell r="O188">
            <v>1886.8563472396399</v>
          </cell>
          <cell r="P188">
            <v>2067.8582196103498</v>
          </cell>
          <cell r="Q188">
            <v>887.44659646341097</v>
          </cell>
          <cell r="R188">
            <v>1315.5138579433501</v>
          </cell>
          <cell r="S188">
            <v>26425.2482440975</v>
          </cell>
          <cell r="T188">
            <v>8094.2207449247398</v>
          </cell>
          <cell r="U188">
            <v>6149.5975449324096</v>
          </cell>
          <cell r="V188">
            <v>4468.0073264889497</v>
          </cell>
          <cell r="W188">
            <v>3020.86195335604</v>
          </cell>
          <cell r="X188">
            <v>4692.5606743953904</v>
          </cell>
          <cell r="Y188">
            <v>23.3757166071066</v>
          </cell>
          <cell r="Z188">
            <v>41786.5644051868</v>
          </cell>
        </row>
        <row r="189">
          <cell r="A189" t="str">
            <v>Perlis</v>
          </cell>
          <cell r="B189" t="str">
            <v>09</v>
          </cell>
          <cell r="C189">
            <v>818.62725838790595</v>
          </cell>
          <cell r="D189">
            <v>271.46455222490499</v>
          </cell>
          <cell r="E189">
            <v>0</v>
          </cell>
          <cell r="F189">
            <v>547.16270616300096</v>
          </cell>
          <cell r="G189">
            <v>1.4894193420912199E-2</v>
          </cell>
          <cell r="I189">
            <v>7.8513332154068296</v>
          </cell>
          <cell r="J189">
            <v>362.41036102651401</v>
          </cell>
          <cell r="K189">
            <v>53.638273758948998</v>
          </cell>
          <cell r="L189">
            <v>42.021774884030897</v>
          </cell>
          <cell r="M189">
            <v>5.8401637589311397</v>
          </cell>
          <cell r="N189">
            <v>78.988785974380804</v>
          </cell>
          <cell r="O189">
            <v>178.223318920645</v>
          </cell>
          <cell r="P189">
            <v>0.68963994380997895</v>
          </cell>
          <cell r="Q189">
            <v>3.0084037857672898</v>
          </cell>
          <cell r="R189">
            <v>99.772993551221603</v>
          </cell>
          <cell r="S189">
            <v>2274.54725466329</v>
          </cell>
          <cell r="T189">
            <v>721.42277281399902</v>
          </cell>
          <cell r="U189">
            <v>331.29351414421097</v>
          </cell>
          <cell r="V189">
            <v>298.30837412730398</v>
          </cell>
          <cell r="W189">
            <v>280.637554691064</v>
          </cell>
          <cell r="X189">
            <v>642.88503888671505</v>
          </cell>
          <cell r="Y189">
            <v>84.816419751260895</v>
          </cell>
          <cell r="Z189">
            <v>3648.0256205955998</v>
          </cell>
        </row>
        <row r="190">
          <cell r="A190" t="str">
            <v>Selangor</v>
          </cell>
          <cell r="B190">
            <v>10</v>
          </cell>
          <cell r="C190">
            <v>2873.5869735044298</v>
          </cell>
          <cell r="D190">
            <v>1919.87178957015</v>
          </cell>
          <cell r="E190">
            <v>4.7663474021765504</v>
          </cell>
          <cell r="F190">
            <v>948.94883653210195</v>
          </cell>
          <cell r="G190">
            <v>5.2282354095406901E-2</v>
          </cell>
          <cell r="I190">
            <v>173.78388784137201</v>
          </cell>
          <cell r="J190">
            <v>57388.191002190302</v>
          </cell>
          <cell r="K190">
            <v>9145.1344121986695</v>
          </cell>
          <cell r="L190">
            <v>658.68614929752005</v>
          </cell>
          <cell r="M190">
            <v>3205.7740136094299</v>
          </cell>
          <cell r="N190">
            <v>9106.4950050390908</v>
          </cell>
          <cell r="O190">
            <v>9596.8726905711701</v>
          </cell>
          <cell r="P190">
            <v>12120.3435515441</v>
          </cell>
          <cell r="Q190">
            <v>13554.885179930299</v>
          </cell>
          <cell r="R190">
            <v>10144.089580456801</v>
          </cell>
          <cell r="S190">
            <v>109673.337794666</v>
          </cell>
          <cell r="T190">
            <v>26316.5125620527</v>
          </cell>
          <cell r="U190">
            <v>36010.973321654797</v>
          </cell>
          <cell r="V190">
            <v>29168.735580597899</v>
          </cell>
          <cell r="W190">
            <v>8782.4639217673994</v>
          </cell>
          <cell r="X190">
            <v>9394.6524085932597</v>
          </cell>
          <cell r="Y190">
            <v>6295.2281592564996</v>
          </cell>
          <cell r="Z190">
            <v>186548.217397915</v>
          </cell>
        </row>
        <row r="191">
          <cell r="A191" t="str">
            <v>Terengganu</v>
          </cell>
          <cell r="B191">
            <v>11</v>
          </cell>
          <cell r="C191">
            <v>1554.2279757542899</v>
          </cell>
          <cell r="D191">
            <v>1198.20448964097</v>
          </cell>
          <cell r="E191">
            <v>103.412863951137</v>
          </cell>
          <cell r="F191">
            <v>252.61062216218701</v>
          </cell>
          <cell r="G191">
            <v>2.8277792919653901E-2</v>
          </cell>
          <cell r="I191">
            <v>21.902583824948501</v>
          </cell>
          <cell r="J191">
            <v>7670.0923387204703</v>
          </cell>
          <cell r="K191">
            <v>64.322648984943001</v>
          </cell>
          <cell r="L191">
            <v>42.864132053096398</v>
          </cell>
          <cell r="M191">
            <v>97.235170068299993</v>
          </cell>
          <cell r="N191">
            <v>7023.4126857194096</v>
          </cell>
          <cell r="O191">
            <v>364.86600226697902</v>
          </cell>
          <cell r="P191">
            <v>2.8807609174577098</v>
          </cell>
          <cell r="Q191">
            <v>74.510938710281096</v>
          </cell>
          <cell r="R191">
            <v>795.84075558622499</v>
          </cell>
          <cell r="S191">
            <v>10497.527787229001</v>
          </cell>
          <cell r="T191">
            <v>3895.6502935599401</v>
          </cell>
          <cell r="U191">
            <v>1936.3616513498</v>
          </cell>
          <cell r="V191">
            <v>982.59055145654202</v>
          </cell>
          <cell r="W191">
            <v>1012.52988625111</v>
          </cell>
          <cell r="X191">
            <v>2670.3954046116</v>
          </cell>
          <cell r="Y191">
            <v>14.0157405078594</v>
          </cell>
          <cell r="Z191">
            <v>20553.6071816228</v>
          </cell>
        </row>
        <row r="192">
          <cell r="A192" t="str">
            <v>Sabah</v>
          </cell>
          <cell r="B192">
            <v>12</v>
          </cell>
          <cell r="C192">
            <v>9410.6954707572204</v>
          </cell>
          <cell r="D192">
            <v>6788.29327785022</v>
          </cell>
          <cell r="E192">
            <v>701.74899572940399</v>
          </cell>
          <cell r="F192">
            <v>1920.6531971775901</v>
          </cell>
          <cell r="G192">
            <v>0.171219217452863</v>
          </cell>
          <cell r="I192">
            <v>9349.4960306194607</v>
          </cell>
          <cell r="J192">
            <v>3605.2665872625498</v>
          </cell>
          <cell r="K192">
            <v>2006.6271122629</v>
          </cell>
          <cell r="L192">
            <v>35.873470019840099</v>
          </cell>
          <cell r="M192">
            <v>726.236787169575</v>
          </cell>
          <cell r="N192">
            <v>229.85404437143899</v>
          </cell>
          <cell r="O192">
            <v>453.08445668788801</v>
          </cell>
          <cell r="P192">
            <v>13.031717106270399</v>
          </cell>
          <cell r="Q192">
            <v>140.558999644642</v>
          </cell>
          <cell r="R192">
            <v>1106.9610473805201</v>
          </cell>
          <cell r="S192">
            <v>22133.7737827686</v>
          </cell>
          <cell r="T192">
            <v>4100.9525660907102</v>
          </cell>
          <cell r="U192">
            <v>7043.4143607875403</v>
          </cell>
          <cell r="V192">
            <v>4460.10240379273</v>
          </cell>
          <cell r="W192">
            <v>1915.8505499156499</v>
          </cell>
          <cell r="X192">
            <v>4613.4539021819801</v>
          </cell>
          <cell r="Y192">
            <v>184.392118725611</v>
          </cell>
          <cell r="Z192">
            <v>45790.585037514</v>
          </cell>
        </row>
        <row r="193">
          <cell r="A193" t="str">
            <v>Sarawak</v>
          </cell>
          <cell r="B193">
            <v>13</v>
          </cell>
          <cell r="C193">
            <v>8500.9819954592695</v>
          </cell>
          <cell r="D193">
            <v>5007.7009603058596</v>
          </cell>
          <cell r="E193">
            <v>2927.3698797729899</v>
          </cell>
          <cell r="F193">
            <v>565.91115538041095</v>
          </cell>
          <cell r="G193">
            <v>0.15466779148962301</v>
          </cell>
          <cell r="I193">
            <v>16082.7212522643</v>
          </cell>
          <cell r="J193">
            <v>19926.047586987199</v>
          </cell>
          <cell r="K193">
            <v>867.52672601975598</v>
          </cell>
          <cell r="L193">
            <v>15.2615685336468</v>
          </cell>
          <cell r="M193">
            <v>1579.5850175294199</v>
          </cell>
          <cell r="N193">
            <v>15717.725999576</v>
          </cell>
          <cell r="O193">
            <v>641.92543226121495</v>
          </cell>
          <cell r="P193">
            <v>647.00830661870998</v>
          </cell>
          <cell r="Q193">
            <v>457.01453644846498</v>
          </cell>
          <cell r="R193">
            <v>2301.0924495561999</v>
          </cell>
          <cell r="S193">
            <v>27843.5206875031</v>
          </cell>
          <cell r="T193">
            <v>6131.7304483726402</v>
          </cell>
          <cell r="U193">
            <v>7340.1493415198602</v>
          </cell>
          <cell r="V193">
            <v>7138.3263984308596</v>
          </cell>
          <cell r="W193">
            <v>2668.2303733642402</v>
          </cell>
          <cell r="X193">
            <v>4565.0841258155097</v>
          </cell>
          <cell r="Y193">
            <v>232.84176556763501</v>
          </cell>
          <cell r="Z193">
            <v>74887.205737337703</v>
          </cell>
        </row>
        <row r="194">
          <cell r="A194" t="str">
            <v>WP Kuala Lumpur</v>
          </cell>
          <cell r="B194">
            <v>14</v>
          </cell>
          <cell r="C194">
            <v>1.4522015191577999</v>
          </cell>
          <cell r="D194">
            <v>1.4522015191577999</v>
          </cell>
          <cell r="E194">
            <v>0</v>
          </cell>
          <cell r="F194">
            <v>0</v>
          </cell>
          <cell r="G194">
            <v>2.6421512465969799E-5</v>
          </cell>
          <cell r="I194">
            <v>38.115332011266602</v>
          </cell>
          <cell r="J194">
            <v>5028.9893210533601</v>
          </cell>
          <cell r="K194">
            <v>487.25938630193099</v>
          </cell>
          <cell r="L194">
            <v>291.02525022970502</v>
          </cell>
          <cell r="M194">
            <v>682.35266066343604</v>
          </cell>
          <cell r="N194">
            <v>758.09189379295697</v>
          </cell>
          <cell r="O194">
            <v>801.37090367748306</v>
          </cell>
          <cell r="P194">
            <v>843.14870568153697</v>
          </cell>
          <cell r="Q194">
            <v>1165.74052070631</v>
          </cell>
          <cell r="R194">
            <v>6781.6547222751296</v>
          </cell>
          <cell r="S194">
            <v>109069.06637915599</v>
          </cell>
          <cell r="T194">
            <v>7276.13968971135</v>
          </cell>
          <cell r="U194">
            <v>40341.450519275902</v>
          </cell>
          <cell r="V194">
            <v>41086.511367503699</v>
          </cell>
          <cell r="W194">
            <v>5399.2865968689202</v>
          </cell>
          <cell r="X194">
            <v>14965.678205795801</v>
          </cell>
          <cell r="Y194">
            <v>1140.19933738243</v>
          </cell>
          <cell r="Z194">
            <v>122059.47729339699</v>
          </cell>
        </row>
        <row r="195">
          <cell r="A195" t="str">
            <v>WP Labuan</v>
          </cell>
          <cell r="B195">
            <v>15</v>
          </cell>
          <cell r="C195">
            <v>139.32715428529599</v>
          </cell>
          <cell r="D195">
            <v>7.9241830797108799</v>
          </cell>
          <cell r="E195">
            <v>0</v>
          </cell>
          <cell r="F195">
            <v>131.402971205585</v>
          </cell>
          <cell r="G195">
            <v>2.5349334064407002E-3</v>
          </cell>
          <cell r="I195">
            <v>0</v>
          </cell>
          <cell r="J195">
            <v>750.58651940238099</v>
          </cell>
          <cell r="K195">
            <v>9.1777708055619591</v>
          </cell>
          <cell r="L195">
            <v>2.6930070708899798</v>
          </cell>
          <cell r="M195">
            <v>1.15361241202134</v>
          </cell>
          <cell r="N195">
            <v>493.356230079439</v>
          </cell>
          <cell r="O195">
            <v>209.996322507017</v>
          </cell>
          <cell r="P195">
            <v>1.2068615879611899</v>
          </cell>
          <cell r="Q195">
            <v>33.002714939490602</v>
          </cell>
          <cell r="R195">
            <v>51.5224791213004</v>
          </cell>
          <cell r="S195">
            <v>2514.23810393146</v>
          </cell>
          <cell r="T195">
            <v>230.96421000186899</v>
          </cell>
          <cell r="U195">
            <v>280.79011811224899</v>
          </cell>
          <cell r="V195">
            <v>1801.2729670522999</v>
          </cell>
          <cell r="W195">
            <v>75.651371134487405</v>
          </cell>
          <cell r="X195">
            <v>125.559437630563</v>
          </cell>
          <cell r="Y195">
            <v>19.3768432572531</v>
          </cell>
          <cell r="Z195">
            <v>3475.05109999769</v>
          </cell>
        </row>
        <row r="196">
          <cell r="A196" t="str">
            <v>Supra1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I196">
            <v>37396.647797976802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37396.647797976802</v>
          </cell>
        </row>
        <row r="197">
          <cell r="A197" t="str">
            <v>MALAYSIA</v>
          </cell>
          <cell r="C197">
            <v>56094.863948008802</v>
          </cell>
          <cell r="D197">
            <v>42177.282744000098</v>
          </cell>
          <cell r="E197">
            <v>5680.5177895924298</v>
          </cell>
          <cell r="F197">
            <v>8237.0634144162996</v>
          </cell>
          <cell r="G197">
            <v>1.0205960588298699</v>
          </cell>
          <cell r="I197">
            <v>63679.570402235702</v>
          </cell>
          <cell r="J197">
            <v>193236.87487791901</v>
          </cell>
          <cell r="K197">
            <v>20520.3540832705</v>
          </cell>
          <cell r="L197">
            <v>3292.5069088150199</v>
          </cell>
          <cell r="M197">
            <v>11332.0197671565</v>
          </cell>
          <cell r="N197">
            <v>56890.6905584009</v>
          </cell>
          <cell r="O197">
            <v>25729.4159043656</v>
          </cell>
          <cell r="P197">
            <v>47395.620080784298</v>
          </cell>
          <cell r="Q197">
            <v>28076.267575125901</v>
          </cell>
          <cell r="R197">
            <v>29554.397320664899</v>
          </cell>
          <cell r="S197">
            <v>434459.632237071</v>
          </cell>
          <cell r="T197">
            <v>80322.4492331277</v>
          </cell>
          <cell r="U197">
            <v>132979.18733601301</v>
          </cell>
          <cell r="V197">
            <v>116531.80588113</v>
          </cell>
          <cell r="W197">
            <v>39519.567445151901</v>
          </cell>
          <cell r="X197">
            <v>65106.622341648297</v>
          </cell>
          <cell r="Y197">
            <v>10585.702477803399</v>
          </cell>
          <cell r="Z197">
            <v>787611.04126370198</v>
          </cell>
        </row>
      </sheetData>
      <sheetData sheetId="4">
        <row r="3">
          <cell r="B3" t="str">
            <v>row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VA-curr"/>
      <sheetName val="VA-cons"/>
      <sheetName val="VA_CONSTANT"/>
      <sheetName val="ref"/>
      <sheetName val="Tbl1_Msia"/>
      <sheetName val="Tbl3_05"/>
      <sheetName val="Tbl5_06"/>
      <sheetName val="Tbl7_06"/>
      <sheetName val="Tbl8_07"/>
      <sheetName val="Tbl10_07"/>
      <sheetName val="Tbl11_08"/>
      <sheetName val="Tbl13_08"/>
      <sheetName val="Tbl14_09"/>
      <sheetName val="Tbl16_09"/>
      <sheetName val="Tbl17_10"/>
      <sheetName val="Tbl19_10"/>
      <sheetName val="Tbl20_11"/>
      <sheetName val="Tbl22_11"/>
      <sheetName val="Tbl23_12"/>
      <sheetName val="Tbl25_12"/>
      <sheetName val="Tbl26_13"/>
      <sheetName val="Tbl28_13"/>
      <sheetName val="Tbl29_Curr&amp;perCapita"/>
      <sheetName val="JHR"/>
      <sheetName val="KDH"/>
      <sheetName val="KLTN"/>
      <sheetName val="MLK"/>
      <sheetName val="N9"/>
      <sheetName val="PHG"/>
      <sheetName val="PP"/>
      <sheetName val="PRK"/>
      <sheetName val="PRLS"/>
      <sheetName val="SLGR"/>
      <sheetName val="TRGN"/>
      <sheetName val="SBH"/>
      <sheetName val="SRWK"/>
      <sheetName val="WPKL"/>
      <sheetName val="WPL"/>
      <sheetName val="Sheet2"/>
      <sheetName val="Sheet3"/>
      <sheetName val="Sheet6"/>
      <sheetName val="Sheet4"/>
      <sheetName val="Sheet4 (2)"/>
      <sheetName val="Sheet5"/>
      <sheetName val="Sheet7"/>
      <sheetName val="7.6"/>
      <sheetName val="4.8"/>
      <sheetName val="4.9"/>
      <sheetName val="4.3"/>
    </sheetNames>
    <sheetDataSet>
      <sheetData sheetId="0" refreshError="1"/>
      <sheetData sheetId="1" refreshError="1"/>
      <sheetData sheetId="2" refreshError="1"/>
      <sheetData sheetId="3" refreshError="1">
        <row r="1">
          <cell r="C1" t="str">
            <v>agri</v>
          </cell>
          <cell r="D1" t="str">
            <v>a1</v>
          </cell>
          <cell r="E1" t="str">
            <v>a2</v>
          </cell>
          <cell r="F1" t="str">
            <v>a3</v>
          </cell>
          <cell r="I1" t="str">
            <v>mq</v>
          </cell>
          <cell r="J1" t="str">
            <v>mfg</v>
          </cell>
          <cell r="R1" t="str">
            <v>c</v>
          </cell>
          <cell r="S1" t="str">
            <v>svs</v>
          </cell>
          <cell r="T1" t="str">
            <v>s1</v>
          </cell>
          <cell r="U1" t="str">
            <v>s2</v>
          </cell>
          <cell r="V1" t="str">
            <v>s3</v>
          </cell>
          <cell r="W1" t="str">
            <v>s4</v>
          </cell>
          <cell r="X1" t="str">
            <v>s5</v>
          </cell>
          <cell r="Y1" t="str">
            <v>di</v>
          </cell>
        </row>
        <row r="2">
          <cell r="A2" t="str">
            <v>CONSTANT</v>
          </cell>
          <cell r="B2" t="str">
            <v>Industry</v>
          </cell>
          <cell r="D2">
            <v>1</v>
          </cell>
          <cell r="E2">
            <v>2</v>
          </cell>
          <cell r="F2">
            <v>3</v>
          </cell>
          <cell r="I2">
            <v>4</v>
          </cell>
          <cell r="K2">
            <v>6</v>
          </cell>
          <cell r="L2">
            <v>7</v>
          </cell>
          <cell r="M2">
            <v>8</v>
          </cell>
          <cell r="N2">
            <v>9</v>
          </cell>
          <cell r="O2">
            <v>10</v>
          </cell>
          <cell r="P2">
            <v>11</v>
          </cell>
          <cell r="Q2">
            <v>12</v>
          </cell>
          <cell r="R2">
            <v>5</v>
          </cell>
          <cell r="T2">
            <v>13</v>
          </cell>
          <cell r="U2">
            <v>14</v>
          </cell>
          <cell r="V2">
            <v>15</v>
          </cell>
          <cell r="W2">
            <v>16</v>
          </cell>
        </row>
        <row r="3">
          <cell r="A3">
            <v>2005</v>
          </cell>
          <cell r="B3" t="str">
            <v>I</v>
          </cell>
          <cell r="C3" t="str">
            <v>Agriculture</v>
          </cell>
          <cell r="D3" t="str">
            <v>Tanaman</v>
          </cell>
          <cell r="E3" t="str">
            <v>Pembalakan</v>
          </cell>
          <cell r="F3" t="str">
            <v>Perikanan</v>
          </cell>
          <cell r="I3" t="str">
            <v>Mining and
Quarrying</v>
          </cell>
          <cell r="J3" t="str">
            <v>Manufacturing</v>
          </cell>
          <cell r="K3" t="str">
            <v>Prosesan Makanan, Minuman dan Produk Tembakau</v>
          </cell>
          <cell r="L3" t="str">
            <v>Tekstil, Pakaian, Kulit dan Kasut</v>
          </cell>
          <cell r="M3" t="str">
            <v>Keluaran Kayu, Perabot, Produk Kertas, Percetakan dan Penerbitan</v>
          </cell>
          <cell r="N3" t="str">
            <v>Produk Petroleum, Bahan kimia, Getah dan Plastik</v>
          </cell>
          <cell r="O3" t="str">
            <v>Produk Mineral Bukan Logam, Logam Asli dan Produk Logam Yang Direka</v>
          </cell>
          <cell r="P3" t="str">
            <v>Elektrik dan Elektronik</v>
          </cell>
          <cell r="Q3" t="str">
            <v>Kelengkapan Pengangkutan dan Pembuatan Lain</v>
          </cell>
          <cell r="R3" t="str">
            <v>Construction</v>
          </cell>
          <cell r="S3" t="str">
            <v>Services</v>
          </cell>
          <cell r="T3" t="str">
            <v>Utiliti, Transport &amp; Communication</v>
          </cell>
          <cell r="U3" t="str">
            <v>WRT, Accomm &amp; Restaurant</v>
          </cell>
          <cell r="V3" t="str">
            <v>Finance &amp; Insurance, Real Estate &amp; Business Services</v>
          </cell>
          <cell r="W3" t="str">
            <v>Other Services</v>
          </cell>
          <cell r="X3" t="str">
            <v>Government Services</v>
          </cell>
          <cell r="Y3" t="str">
            <v>Plus :
Import Duties</v>
          </cell>
          <cell r="Z3" t="str">
            <v>GDP at
Purchasers' Prices</v>
          </cell>
        </row>
        <row r="4">
          <cell r="A4" t="str">
            <v>States</v>
          </cell>
          <cell r="B4" t="str">
            <v>Converter</v>
          </cell>
        </row>
        <row r="5">
          <cell r="A5" t="str">
            <v>Johor</v>
          </cell>
          <cell r="B5" t="str">
            <v>01</v>
          </cell>
          <cell r="C5">
            <v>6188.6869740789298</v>
          </cell>
          <cell r="D5">
            <v>5669.7259013497996</v>
          </cell>
          <cell r="E5">
            <v>45.404660919470203</v>
          </cell>
          <cell r="F5">
            <v>473.55641180965398</v>
          </cell>
          <cell r="I5">
            <v>50.620516345188399</v>
          </cell>
          <cell r="J5">
            <v>19313.560805921999</v>
          </cell>
          <cell r="K5">
            <v>1888.2624376276301</v>
          </cell>
          <cell r="L5">
            <v>1149.0903681325999</v>
          </cell>
          <cell r="M5">
            <v>1714.3932465764999</v>
          </cell>
          <cell r="N5">
            <v>2991.2672766727201</v>
          </cell>
          <cell r="O5">
            <v>2006.31809600568</v>
          </cell>
          <cell r="P5">
            <v>8059.1865180237201</v>
          </cell>
          <cell r="Q5">
            <v>1505.0428628831401</v>
          </cell>
          <cell r="R5">
            <v>1670.54664818574</v>
          </cell>
          <cell r="S5">
            <v>22105.495280909901</v>
          </cell>
          <cell r="T5">
            <v>5121.6287950521801</v>
          </cell>
          <cell r="U5">
            <v>4738.8112307610199</v>
          </cell>
          <cell r="V5">
            <v>6491.4735762118498</v>
          </cell>
          <cell r="W5">
            <v>2496.7540465810398</v>
          </cell>
          <cell r="X5">
            <v>3256.8276323038199</v>
          </cell>
          <cell r="Y5">
            <v>728.65346871345605</v>
          </cell>
          <cell r="Z5">
            <v>50057.5636941552</v>
          </cell>
        </row>
        <row r="6">
          <cell r="A6" t="str">
            <v>Kedah</v>
          </cell>
          <cell r="B6" t="str">
            <v>02</v>
          </cell>
          <cell r="C6">
            <v>2205.86141292909</v>
          </cell>
          <cell r="D6">
            <v>1914.1195857136699</v>
          </cell>
          <cell r="E6">
            <v>48.185576857368801</v>
          </cell>
          <cell r="F6">
            <v>243.55625035804999</v>
          </cell>
          <cell r="I6">
            <v>16.798627679947501</v>
          </cell>
          <cell r="J6">
            <v>6439.0935720568305</v>
          </cell>
          <cell r="K6">
            <v>281.20731449561799</v>
          </cell>
          <cell r="L6">
            <v>96.930988138971202</v>
          </cell>
          <cell r="M6">
            <v>440.53144658206003</v>
          </cell>
          <cell r="N6">
            <v>1243.63644861429</v>
          </cell>
          <cell r="O6">
            <v>1069.4520876377201</v>
          </cell>
          <cell r="P6">
            <v>2468.58309146803</v>
          </cell>
          <cell r="Q6">
            <v>838.75219512014905</v>
          </cell>
          <cell r="R6">
            <v>479.920265520209</v>
          </cell>
          <cell r="S6">
            <v>8577.0303768635804</v>
          </cell>
          <cell r="T6">
            <v>1286.23198685443</v>
          </cell>
          <cell r="U6">
            <v>2023.71962814313</v>
          </cell>
          <cell r="V6">
            <v>1562.0316095077601</v>
          </cell>
          <cell r="W6">
            <v>1614.1054910212999</v>
          </cell>
          <cell r="X6">
            <v>2090.9416613369599</v>
          </cell>
          <cell r="Y6">
            <v>109.9703374261</v>
          </cell>
          <cell r="Z6">
            <v>17828.6745924758</v>
          </cell>
        </row>
        <row r="7">
          <cell r="A7" t="str">
            <v>Kelantan</v>
          </cell>
          <cell r="B7" t="str">
            <v>03</v>
          </cell>
          <cell r="C7">
            <v>2344.5991933385599</v>
          </cell>
          <cell r="D7">
            <v>1883.75251168818</v>
          </cell>
          <cell r="E7">
            <v>292.99724383027001</v>
          </cell>
          <cell r="F7">
            <v>167.84943782010399</v>
          </cell>
          <cell r="I7">
            <v>16.786386316163199</v>
          </cell>
          <cell r="J7">
            <v>546.021104581906</v>
          </cell>
          <cell r="K7">
            <v>133.716111525911</v>
          </cell>
          <cell r="L7">
            <v>82.117642096891799</v>
          </cell>
          <cell r="M7">
            <v>99.548580440402105</v>
          </cell>
          <cell r="N7">
            <v>77.427332457531506</v>
          </cell>
          <cell r="O7">
            <v>34.503208304897598</v>
          </cell>
          <cell r="P7">
            <v>114.890064756613</v>
          </cell>
          <cell r="Q7">
            <v>3.8181649996589799</v>
          </cell>
          <cell r="R7">
            <v>177.04286407597399</v>
          </cell>
          <cell r="S7">
            <v>5935.6247485070598</v>
          </cell>
          <cell r="T7">
            <v>723.53971458984802</v>
          </cell>
          <cell r="U7">
            <v>1624.3435341894599</v>
          </cell>
          <cell r="V7">
            <v>647.72293706302503</v>
          </cell>
          <cell r="W7">
            <v>1141.9703719863901</v>
          </cell>
          <cell r="X7">
            <v>1798.04819067834</v>
          </cell>
          <cell r="Y7">
            <v>11.1525705205711</v>
          </cell>
          <cell r="Z7">
            <v>9031.2268673402305</v>
          </cell>
        </row>
        <row r="8">
          <cell r="A8" t="str">
            <v>Melaka</v>
          </cell>
          <cell r="B8" t="str">
            <v>04</v>
          </cell>
          <cell r="C8">
            <v>813.34341062993201</v>
          </cell>
          <cell r="D8">
            <v>799.24648329818001</v>
          </cell>
          <cell r="E8">
            <v>4.0672606939171997E-2</v>
          </cell>
          <cell r="F8">
            <v>14.0562547248129</v>
          </cell>
          <cell r="I8">
            <v>7.9443777633508503</v>
          </cell>
          <cell r="J8">
            <v>7593.5701683297902</v>
          </cell>
          <cell r="K8">
            <v>229.645071173025</v>
          </cell>
          <cell r="L8">
            <v>98.459729658165202</v>
          </cell>
          <cell r="M8">
            <v>411.14213293316999</v>
          </cell>
          <cell r="N8">
            <v>2862.92900939939</v>
          </cell>
          <cell r="O8">
            <v>611.91226312907202</v>
          </cell>
          <cell r="P8">
            <v>2167.05771523879</v>
          </cell>
          <cell r="Q8">
            <v>1212.4242467981801</v>
          </cell>
          <cell r="R8">
            <v>340.14170407848502</v>
          </cell>
          <cell r="S8">
            <v>6281.4052104497096</v>
          </cell>
          <cell r="T8">
            <v>1256.6868027578</v>
          </cell>
          <cell r="U8">
            <v>1861.2386838883499</v>
          </cell>
          <cell r="V8">
            <v>1276.8413914809501</v>
          </cell>
          <cell r="W8">
            <v>959.94229629765505</v>
          </cell>
          <cell r="X8">
            <v>926.69603602494703</v>
          </cell>
          <cell r="Y8">
            <v>12.647305123930799</v>
          </cell>
          <cell r="Z8">
            <v>15049.0521763752</v>
          </cell>
        </row>
        <row r="9">
          <cell r="A9" t="str">
            <v>Negeri Sembilan</v>
          </cell>
          <cell r="B9" t="str">
            <v>05</v>
          </cell>
          <cell r="C9">
            <v>1638.4824392743301</v>
          </cell>
          <cell r="D9">
            <v>1577.11907276651</v>
          </cell>
          <cell r="E9">
            <v>36.968810853014197</v>
          </cell>
          <cell r="F9">
            <v>24.394555654808499</v>
          </cell>
          <cell r="I9">
            <v>17.8073562157117</v>
          </cell>
          <cell r="J9">
            <v>10528.084675726601</v>
          </cell>
          <cell r="K9">
            <v>1056.1793738148799</v>
          </cell>
          <cell r="L9">
            <v>396.31895420225999</v>
          </cell>
          <cell r="M9">
            <v>371.14684069650701</v>
          </cell>
          <cell r="N9">
            <v>2262.04761504506</v>
          </cell>
          <cell r="O9">
            <v>723.17558514235202</v>
          </cell>
          <cell r="P9">
            <v>4681.3968444028596</v>
          </cell>
          <cell r="Q9">
            <v>1037.8194624227001</v>
          </cell>
          <cell r="R9">
            <v>411.71665288432098</v>
          </cell>
          <cell r="S9">
            <v>7045.2758865559599</v>
          </cell>
          <cell r="T9">
            <v>1564.2072475928301</v>
          </cell>
          <cell r="U9">
            <v>1685.5216305358299</v>
          </cell>
          <cell r="V9">
            <v>1465.2132277160799</v>
          </cell>
          <cell r="W9">
            <v>1045.59591398047</v>
          </cell>
          <cell r="X9">
            <v>1284.7378667307601</v>
          </cell>
          <cell r="Y9">
            <v>94.643394910766901</v>
          </cell>
          <cell r="Z9">
            <v>19736.0104055677</v>
          </cell>
        </row>
        <row r="10">
          <cell r="A10" t="str">
            <v>Pahang</v>
          </cell>
          <cell r="B10" t="str">
            <v>06</v>
          </cell>
          <cell r="C10">
            <v>5408.1524182366702</v>
          </cell>
          <cell r="D10">
            <v>4247.9775913840704</v>
          </cell>
          <cell r="E10">
            <v>700.02655418262998</v>
          </cell>
          <cell r="F10">
            <v>460.14827266996701</v>
          </cell>
          <cell r="I10">
            <v>100.97265852557599</v>
          </cell>
          <cell r="J10">
            <v>6422.5911004641202</v>
          </cell>
          <cell r="K10">
            <v>496.46787956383002</v>
          </cell>
          <cell r="L10">
            <v>17.898124393975099</v>
          </cell>
          <cell r="M10">
            <v>571.63532464968898</v>
          </cell>
          <cell r="N10">
            <v>3138.7165912176501</v>
          </cell>
          <cell r="O10">
            <v>579.36037098090799</v>
          </cell>
          <cell r="P10">
            <v>155.79759004910699</v>
          </cell>
          <cell r="Q10">
            <v>1462.7152196089601</v>
          </cell>
          <cell r="R10">
            <v>575.26311602041301</v>
          </cell>
          <cell r="S10">
            <v>10514.660589892301</v>
          </cell>
          <cell r="T10">
            <v>1182.4679888487699</v>
          </cell>
          <cell r="U10">
            <v>3212.7132296569698</v>
          </cell>
          <cell r="V10">
            <v>1370.6219651210999</v>
          </cell>
          <cell r="W10">
            <v>2811.54899205008</v>
          </cell>
          <cell r="X10">
            <v>1937.30841421541</v>
          </cell>
          <cell r="Y10">
            <v>39.701491019977198</v>
          </cell>
          <cell r="Z10">
            <v>23061.341374159099</v>
          </cell>
        </row>
        <row r="11">
          <cell r="A11" t="str">
            <v>Pulau Pinang</v>
          </cell>
          <cell r="B11" t="str">
            <v>07</v>
          </cell>
          <cell r="C11">
            <v>633.88290365591899</v>
          </cell>
          <cell r="D11">
            <v>486.018817116371</v>
          </cell>
          <cell r="E11">
            <v>0</v>
          </cell>
          <cell r="F11">
            <v>147.86408653954899</v>
          </cell>
          <cell r="I11">
            <v>17.481763989479099</v>
          </cell>
          <cell r="J11">
            <v>21249.074678795201</v>
          </cell>
          <cell r="K11">
            <v>593.55731447201003</v>
          </cell>
          <cell r="L11">
            <v>586.91874447794896</v>
          </cell>
          <cell r="M11">
            <v>620.24819278525695</v>
          </cell>
          <cell r="N11">
            <v>1660.50973175387</v>
          </cell>
          <cell r="O11">
            <v>1319.6283323750499</v>
          </cell>
          <cell r="P11">
            <v>15385.732970271099</v>
          </cell>
          <cell r="Q11">
            <v>1082.4793926599</v>
          </cell>
          <cell r="R11">
            <v>844.03512199132797</v>
          </cell>
          <cell r="S11">
            <v>16137.5740257668</v>
          </cell>
          <cell r="T11">
            <v>3422.52377358782</v>
          </cell>
          <cell r="U11">
            <v>4377.50240669906</v>
          </cell>
          <cell r="V11">
            <v>4705.9583963055902</v>
          </cell>
          <cell r="W11">
            <v>1743.76443271893</v>
          </cell>
          <cell r="X11">
            <v>1887.8250164554099</v>
          </cell>
          <cell r="Y11">
            <v>303.93796150801199</v>
          </cell>
          <cell r="Z11">
            <v>39185.986455706698</v>
          </cell>
        </row>
        <row r="12">
          <cell r="A12" t="str">
            <v>Perak</v>
          </cell>
          <cell r="B12" t="str">
            <v>08</v>
          </cell>
          <cell r="C12">
            <v>4685.9803496023796</v>
          </cell>
          <cell r="D12">
            <v>3298.0502540899201</v>
          </cell>
          <cell r="E12">
            <v>406.45567201757098</v>
          </cell>
          <cell r="F12">
            <v>981.47442349488597</v>
          </cell>
          <cell r="I12">
            <v>91.091266776845004</v>
          </cell>
          <cell r="J12">
            <v>5548.31659775966</v>
          </cell>
          <cell r="K12">
            <v>765.12245350003798</v>
          </cell>
          <cell r="L12">
            <v>265.726435190225</v>
          </cell>
          <cell r="M12">
            <v>338.617127108055</v>
          </cell>
          <cell r="N12">
            <v>1389.44580012133</v>
          </cell>
          <cell r="O12">
            <v>1099.7346644869101</v>
          </cell>
          <cell r="P12">
            <v>1503.72828676476</v>
          </cell>
          <cell r="Q12">
            <v>185.94183058834599</v>
          </cell>
          <cell r="R12">
            <v>703.66473522178899</v>
          </cell>
          <cell r="S12">
            <v>16636.6462646972</v>
          </cell>
          <cell r="T12">
            <v>5265.6380011209203</v>
          </cell>
          <cell r="U12">
            <v>3383.9586427775098</v>
          </cell>
          <cell r="V12">
            <v>2990.64760046632</v>
          </cell>
          <cell r="W12">
            <v>2275.7173696558698</v>
          </cell>
          <cell r="X12">
            <v>2720.6846506766201</v>
          </cell>
          <cell r="Y12">
            <v>67.206208322212206</v>
          </cell>
          <cell r="Z12">
            <v>27732.905422380099</v>
          </cell>
        </row>
        <row r="13">
          <cell r="A13" t="str">
            <v>Perlis</v>
          </cell>
          <cell r="B13" t="str">
            <v>09</v>
          </cell>
          <cell r="C13">
            <v>725.89663866670503</v>
          </cell>
          <cell r="D13">
            <v>278.91880025355698</v>
          </cell>
          <cell r="E13">
            <v>0</v>
          </cell>
          <cell r="F13">
            <v>446.97783841314799</v>
          </cell>
          <cell r="I13">
            <v>6.9470361339644002</v>
          </cell>
          <cell r="J13">
            <v>351.52005627757399</v>
          </cell>
          <cell r="K13">
            <v>44.269024490114496</v>
          </cell>
          <cell r="L13">
            <v>60.578535001281097</v>
          </cell>
          <cell r="M13">
            <v>6.5541373030035297</v>
          </cell>
          <cell r="N13">
            <v>168.24860846190299</v>
          </cell>
          <cell r="O13">
            <v>70.705771288334802</v>
          </cell>
          <cell r="P13">
            <v>0.92189678059466695</v>
          </cell>
          <cell r="Q13">
            <v>0.24208295234268001</v>
          </cell>
          <cell r="R13">
            <v>103.337365275102</v>
          </cell>
          <cell r="S13">
            <v>1525.83336834177</v>
          </cell>
          <cell r="T13">
            <v>546.75645965767706</v>
          </cell>
          <cell r="U13">
            <v>180.331110330911</v>
          </cell>
          <cell r="V13">
            <v>185.90757136182501</v>
          </cell>
          <cell r="W13">
            <v>220.28500223045799</v>
          </cell>
          <cell r="X13">
            <v>392.55322476089799</v>
          </cell>
          <cell r="Y13">
            <v>131.38239279555199</v>
          </cell>
          <cell r="Z13">
            <v>2844.9168574906698</v>
          </cell>
        </row>
        <row r="14">
          <cell r="A14" t="str">
            <v>Selangor</v>
          </cell>
          <cell r="B14">
            <v>10</v>
          </cell>
          <cell r="C14">
            <v>1700.94850627546</v>
          </cell>
          <cell r="D14">
            <v>1249.83756190091</v>
          </cell>
          <cell r="E14">
            <v>16.9925384062762</v>
          </cell>
          <cell r="F14">
            <v>434.11840596827602</v>
          </cell>
          <cell r="I14">
            <v>110.675543265549</v>
          </cell>
          <cell r="J14">
            <v>41647.757199532098</v>
          </cell>
          <cell r="K14">
            <v>5731.0679308809504</v>
          </cell>
          <cell r="L14">
            <v>380.54330017951997</v>
          </cell>
          <cell r="M14">
            <v>2421.2223443857401</v>
          </cell>
          <cell r="N14">
            <v>4938.7307381500304</v>
          </cell>
          <cell r="O14">
            <v>4365.0052055072902</v>
          </cell>
          <cell r="P14">
            <v>12415.9563022166</v>
          </cell>
          <cell r="Q14">
            <v>11395.231378212</v>
          </cell>
          <cell r="R14">
            <v>5046.5629932728398</v>
          </cell>
          <cell r="S14">
            <v>60916.670571898598</v>
          </cell>
          <cell r="T14">
            <v>16201.6721678055</v>
          </cell>
          <cell r="U14">
            <v>20229.6977731402</v>
          </cell>
          <cell r="V14">
            <v>14073.437855992701</v>
          </cell>
          <cell r="W14">
            <v>5684.9188574445898</v>
          </cell>
          <cell r="X14">
            <v>4726.9439175156504</v>
          </cell>
          <cell r="Y14">
            <v>3762.1254486965399</v>
          </cell>
          <cell r="Z14">
            <v>113184.74026294101</v>
          </cell>
        </row>
        <row r="15">
          <cell r="A15" t="str">
            <v>Terengganu</v>
          </cell>
          <cell r="B15">
            <v>11</v>
          </cell>
          <cell r="C15">
            <v>1565.5290648018599</v>
          </cell>
          <cell r="D15">
            <v>1073.6706009096399</v>
          </cell>
          <cell r="E15">
            <v>153.17327892166099</v>
          </cell>
          <cell r="F15">
            <v>338.68518497056101</v>
          </cell>
          <cell r="I15">
            <v>10.4755656271611</v>
          </cell>
          <cell r="J15">
            <v>6476.2641170741999</v>
          </cell>
          <cell r="K15">
            <v>97.305363964005096</v>
          </cell>
          <cell r="L15">
            <v>27.908073639538699</v>
          </cell>
          <cell r="M15">
            <v>145.959550427875</v>
          </cell>
          <cell r="N15">
            <v>5737.3221183033302</v>
          </cell>
          <cell r="O15">
            <v>399.11324204521202</v>
          </cell>
          <cell r="P15">
            <v>5.0954298774075903</v>
          </cell>
          <cell r="Q15">
            <v>63.560338816834197</v>
          </cell>
          <cell r="R15">
            <v>413.540567422283</v>
          </cell>
          <cell r="S15">
            <v>7087.1959635036601</v>
          </cell>
          <cell r="T15">
            <v>2938.6086555571401</v>
          </cell>
          <cell r="U15">
            <v>1189.81752500624</v>
          </cell>
          <cell r="V15">
            <v>544.83815395728197</v>
          </cell>
          <cell r="W15">
            <v>762.75474874239501</v>
          </cell>
          <cell r="X15">
            <v>1651.1768802406</v>
          </cell>
          <cell r="Y15">
            <v>9.2395649206271493</v>
          </cell>
          <cell r="Z15">
            <v>15562.244843349799</v>
          </cell>
        </row>
        <row r="16">
          <cell r="A16" t="str">
            <v>Sabah</v>
          </cell>
          <cell r="B16">
            <v>12</v>
          </cell>
          <cell r="C16">
            <v>9647.3803529176894</v>
          </cell>
          <cell r="D16">
            <v>6318.3875139191196</v>
          </cell>
          <cell r="E16">
            <v>2265.7688590278499</v>
          </cell>
          <cell r="F16">
            <v>1063.2239799707199</v>
          </cell>
          <cell r="I16">
            <v>5132.6603951794996</v>
          </cell>
          <cell r="J16">
            <v>3148.6969028643598</v>
          </cell>
          <cell r="K16">
            <v>1760.7973808909701</v>
          </cell>
          <cell r="L16">
            <v>25.268410039433601</v>
          </cell>
          <cell r="M16">
            <v>910.40826712844898</v>
          </cell>
          <cell r="N16">
            <v>110.404578133225</v>
          </cell>
          <cell r="O16">
            <v>190.22212738276301</v>
          </cell>
          <cell r="P16">
            <v>5.9322727378743503</v>
          </cell>
          <cell r="Q16">
            <v>145.66386655164101</v>
          </cell>
          <cell r="R16">
            <v>950.17214652152404</v>
          </cell>
          <cell r="S16">
            <v>13421.123082458</v>
          </cell>
          <cell r="T16">
            <v>2601.18674242421</v>
          </cell>
          <cell r="U16">
            <v>3787.1510727289601</v>
          </cell>
          <cell r="V16">
            <v>2791.7752197510199</v>
          </cell>
          <cell r="W16">
            <v>1439.16800893804</v>
          </cell>
          <cell r="X16">
            <v>2801.84203861574</v>
          </cell>
          <cell r="Y16">
            <v>126.63967503849101</v>
          </cell>
          <cell r="Z16">
            <v>32426.672554979501</v>
          </cell>
        </row>
        <row r="17">
          <cell r="A17" t="str">
            <v>Sarawak</v>
          </cell>
          <cell r="B17">
            <v>13</v>
          </cell>
          <cell r="C17">
            <v>7277.5600092764498</v>
          </cell>
          <cell r="D17">
            <v>2688.1252017148199</v>
          </cell>
          <cell r="E17">
            <v>3980.5306111598502</v>
          </cell>
          <cell r="F17">
            <v>608.904196401783</v>
          </cell>
          <cell r="I17">
            <v>15492.7551275153</v>
          </cell>
          <cell r="J17">
            <v>15986.7967793149</v>
          </cell>
          <cell r="K17">
            <v>577.80423886552705</v>
          </cell>
          <cell r="L17">
            <v>18.816444659134401</v>
          </cell>
          <cell r="M17">
            <v>1591.1434893918499</v>
          </cell>
          <cell r="N17">
            <v>12491.029111321701</v>
          </cell>
          <cell r="O17">
            <v>465.65915069333499</v>
          </cell>
          <cell r="P17">
            <v>610.89899601884804</v>
          </cell>
          <cell r="Q17">
            <v>231.44534836451899</v>
          </cell>
          <cell r="R17">
            <v>1368.2228298833199</v>
          </cell>
          <cell r="S17">
            <v>17345.898143881801</v>
          </cell>
          <cell r="T17">
            <v>4159.0955870482303</v>
          </cell>
          <cell r="U17">
            <v>4254.8856685601104</v>
          </cell>
          <cell r="V17">
            <v>4220.5458403617604</v>
          </cell>
          <cell r="W17">
            <v>1900.1070644228801</v>
          </cell>
          <cell r="X17">
            <v>2811.26398348885</v>
          </cell>
          <cell r="Y17">
            <v>229.13657208042</v>
          </cell>
          <cell r="Z17">
            <v>57700.369461952301</v>
          </cell>
        </row>
        <row r="18">
          <cell r="A18" t="str">
            <v>WP Kuala Lumpur</v>
          </cell>
          <cell r="B18">
            <v>14</v>
          </cell>
          <cell r="C18">
            <v>2.1689198892843402</v>
          </cell>
          <cell r="D18">
            <v>2.1689198892843402</v>
          </cell>
          <cell r="E18">
            <v>0</v>
          </cell>
          <cell r="F18">
            <v>0</v>
          </cell>
          <cell r="I18">
            <v>24.8085170014017</v>
          </cell>
          <cell r="J18">
            <v>3907.8977998006098</v>
          </cell>
          <cell r="K18">
            <v>460.74423564599903</v>
          </cell>
          <cell r="L18">
            <v>295.220099718342</v>
          </cell>
          <cell r="M18">
            <v>1056.44641275192</v>
          </cell>
          <cell r="N18">
            <v>577.84337992862697</v>
          </cell>
          <cell r="O18">
            <v>462.74103243345598</v>
          </cell>
          <cell r="P18">
            <v>482.255021393606</v>
          </cell>
          <cell r="Q18">
            <v>572.64761792866295</v>
          </cell>
          <cell r="R18">
            <v>2998.0714186278701</v>
          </cell>
          <cell r="S18">
            <v>59372.634297558601</v>
          </cell>
          <cell r="T18">
            <v>4062.56745868399</v>
          </cell>
          <cell r="U18">
            <v>21923.565608608798</v>
          </cell>
          <cell r="V18">
            <v>22714.2177897578</v>
          </cell>
          <cell r="W18">
            <v>3342.8796808709599</v>
          </cell>
          <cell r="X18">
            <v>7329.4037596370499</v>
          </cell>
          <cell r="Y18">
            <v>711.37331333309896</v>
          </cell>
          <cell r="Z18">
            <v>67016.954266210902</v>
          </cell>
        </row>
        <row r="19">
          <cell r="A19" t="str">
            <v>WP Labuan</v>
          </cell>
          <cell r="B19">
            <v>15</v>
          </cell>
          <cell r="C19">
            <v>73.771698700430406</v>
          </cell>
          <cell r="D19">
            <v>6.79363146008754</v>
          </cell>
          <cell r="E19">
            <v>0</v>
          </cell>
          <cell r="F19">
            <v>66.978067240342796</v>
          </cell>
          <cell r="I19">
            <v>0</v>
          </cell>
          <cell r="J19">
            <v>595.108748200533</v>
          </cell>
          <cell r="K19">
            <v>24.0042477805912</v>
          </cell>
          <cell r="L19">
            <v>2.2342777848289801</v>
          </cell>
          <cell r="M19">
            <v>1.57515183952991</v>
          </cell>
          <cell r="N19">
            <v>468.53098511556101</v>
          </cell>
          <cell r="O19">
            <v>90.166862587020205</v>
          </cell>
          <cell r="P19">
            <v>0</v>
          </cell>
          <cell r="Q19">
            <v>8.5972230930015403</v>
          </cell>
          <cell r="R19">
            <v>24.3120582451525</v>
          </cell>
          <cell r="S19">
            <v>1419.04543309839</v>
          </cell>
          <cell r="T19">
            <v>176.82434864987599</v>
          </cell>
          <cell r="U19">
            <v>168.241821884486</v>
          </cell>
          <cell r="V19">
            <v>973.75818969116494</v>
          </cell>
          <cell r="W19">
            <v>60.281927196105002</v>
          </cell>
          <cell r="X19">
            <v>39.939145676755501</v>
          </cell>
          <cell r="Y19">
            <v>33.8454851802448</v>
          </cell>
          <cell r="Z19">
            <v>2146.08342342475</v>
          </cell>
        </row>
        <row r="20">
          <cell r="A20" t="str">
            <v>Supra1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I20">
            <v>51013.064607915097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51013.064607915097</v>
          </cell>
        </row>
        <row r="21">
          <cell r="A21" t="str">
            <v>MALAYSIA</v>
          </cell>
          <cell r="C21">
            <v>44912.244292273703</v>
          </cell>
          <cell r="D21">
            <v>31493.912447454099</v>
          </cell>
          <cell r="E21">
            <v>7946.5444787829001</v>
          </cell>
          <cell r="F21">
            <v>5471.7873660366604</v>
          </cell>
          <cell r="I21">
            <v>72110.889746250294</v>
          </cell>
          <cell r="J21">
            <v>149754.3543067</v>
          </cell>
          <cell r="K21">
            <v>14140.1503786911</v>
          </cell>
          <cell r="L21">
            <v>3504.0301273131199</v>
          </cell>
          <cell r="M21">
            <v>10700.572244999999</v>
          </cell>
          <cell r="N21">
            <v>40118.0893246962</v>
          </cell>
          <cell r="O21">
            <v>13487.698</v>
          </cell>
          <cell r="P21">
            <v>48057.432999999997</v>
          </cell>
          <cell r="Q21">
            <v>19746.381230999999</v>
          </cell>
          <cell r="R21">
            <v>16106.550487226301</v>
          </cell>
          <cell r="S21">
            <v>254322.11324438301</v>
          </cell>
          <cell r="T21">
            <v>50509.635730231297</v>
          </cell>
          <cell r="U21">
            <v>74641.499566911007</v>
          </cell>
          <cell r="V21">
            <v>66014.991324746195</v>
          </cell>
          <cell r="W21">
            <v>27499.794204137201</v>
          </cell>
          <cell r="X21">
            <v>35656.192418357801</v>
          </cell>
          <cell r="Y21">
            <v>6371.6551895900002</v>
          </cell>
          <cell r="Z21">
            <v>543577.80726642394</v>
          </cell>
        </row>
        <row r="24">
          <cell r="A24" t="str">
            <v>CONSTANT</v>
          </cell>
          <cell r="B24" t="str">
            <v>Industry</v>
          </cell>
          <cell r="D24">
            <v>1</v>
          </cell>
          <cell r="E24">
            <v>2</v>
          </cell>
          <cell r="F24">
            <v>3</v>
          </cell>
          <cell r="I24">
            <v>4</v>
          </cell>
          <cell r="K24">
            <v>6</v>
          </cell>
          <cell r="L24">
            <v>7</v>
          </cell>
          <cell r="M24">
            <v>8</v>
          </cell>
          <cell r="N24">
            <v>9</v>
          </cell>
          <cell r="O24">
            <v>10</v>
          </cell>
          <cell r="P24">
            <v>11</v>
          </cell>
          <cell r="Q24">
            <v>12</v>
          </cell>
          <cell r="R24">
            <v>5</v>
          </cell>
          <cell r="T24">
            <v>13</v>
          </cell>
          <cell r="U24">
            <v>14</v>
          </cell>
          <cell r="V24">
            <v>15</v>
          </cell>
          <cell r="W24">
            <v>16</v>
          </cell>
        </row>
        <row r="25">
          <cell r="A25">
            <v>2006</v>
          </cell>
          <cell r="B25" t="str">
            <v>I</v>
          </cell>
          <cell r="C25" t="str">
            <v>Agriculture</v>
          </cell>
          <cell r="D25" t="str">
            <v>Tanaman</v>
          </cell>
          <cell r="E25" t="str">
            <v>Pembalakan</v>
          </cell>
          <cell r="F25" t="str">
            <v>Perikanan</v>
          </cell>
          <cell r="I25" t="str">
            <v>Mining and
Quarrying</v>
          </cell>
          <cell r="J25" t="str">
            <v>Manufacturing</v>
          </cell>
          <cell r="K25" t="str">
            <v>Prosesan Makanan, Minuman dan Produk Tembakau</v>
          </cell>
          <cell r="L25" t="str">
            <v>Tekstil, Pakaian, Kulit dan Kasut</v>
          </cell>
          <cell r="M25" t="str">
            <v>Keluaran Kayu, Perabot, Produk Kertas, Percetakan dan Penerbitan</v>
          </cell>
          <cell r="N25" t="str">
            <v>Produk Petroleum, Bahan kimia, Getah dan Plastik</v>
          </cell>
          <cell r="O25" t="str">
            <v>Produk Mineral Bukan Logam, Logam Asli dan Produk Logam Yang Direka</v>
          </cell>
          <cell r="P25" t="str">
            <v>Elektrik dan Elektronik</v>
          </cell>
          <cell r="Q25" t="str">
            <v>Kelengkapan Pengangkutan dan Pembuatan Lain</v>
          </cell>
          <cell r="R25" t="str">
            <v>Construction</v>
          </cell>
          <cell r="S25" t="str">
            <v>Services</v>
          </cell>
          <cell r="T25" t="str">
            <v>Utiliti, Transport &amp; Communication</v>
          </cell>
          <cell r="U25" t="str">
            <v>WRT, Accomm &amp; Restaurant</v>
          </cell>
          <cell r="V25" t="str">
            <v>Finance &amp; Insurance, Real Estate &amp; Business Services</v>
          </cell>
          <cell r="W25" t="str">
            <v>Other Services</v>
          </cell>
          <cell r="X25" t="str">
            <v>Government Services</v>
          </cell>
          <cell r="Y25" t="str">
            <v>Plus :
Import Duties</v>
          </cell>
          <cell r="Z25" t="str">
            <v>GDP at
Purchasers' Prices</v>
          </cell>
        </row>
        <row r="26">
          <cell r="A26" t="str">
            <v>States</v>
          </cell>
          <cell r="B26" t="str">
            <v>Converter</v>
          </cell>
        </row>
        <row r="27">
          <cell r="A27" t="str">
            <v>Johor</v>
          </cell>
          <cell r="B27" t="str">
            <v>01</v>
          </cell>
          <cell r="C27">
            <v>6654.2396491146401</v>
          </cell>
          <cell r="D27">
            <v>5977.43668348548</v>
          </cell>
          <cell r="E27">
            <v>102.45171403581401</v>
          </cell>
          <cell r="F27">
            <v>574.351251593347</v>
          </cell>
          <cell r="I27">
            <v>48.2440928592018</v>
          </cell>
          <cell r="J27">
            <v>20066.005193343699</v>
          </cell>
          <cell r="K27">
            <v>1587.0553593141101</v>
          </cell>
          <cell r="L27">
            <v>1079.6354715331299</v>
          </cell>
          <cell r="M27">
            <v>1491.8417091542101</v>
          </cell>
          <cell r="N27">
            <v>3753.2871051659699</v>
          </cell>
          <cell r="O27">
            <v>2371.92938811051</v>
          </cell>
          <cell r="P27">
            <v>8364.2660230885595</v>
          </cell>
          <cell r="Q27">
            <v>1417.9901369772199</v>
          </cell>
          <cell r="R27">
            <v>1568.45996558397</v>
          </cell>
          <cell r="S27">
            <v>23481.829570811798</v>
          </cell>
          <cell r="T27">
            <v>5430.9591622893204</v>
          </cell>
          <cell r="U27">
            <v>5091.9409273339097</v>
          </cell>
          <cell r="V27">
            <v>6795.4771230062597</v>
          </cell>
          <cell r="W27">
            <v>2531.2759057048002</v>
          </cell>
          <cell r="X27">
            <v>3632.1764524775099</v>
          </cell>
          <cell r="Y27">
            <v>720.39271590590999</v>
          </cell>
          <cell r="Z27">
            <v>52539.171187619198</v>
          </cell>
        </row>
        <row r="28">
          <cell r="A28" t="str">
            <v>Kedah</v>
          </cell>
          <cell r="B28" t="str">
            <v>02</v>
          </cell>
          <cell r="C28">
            <v>2416.9332573101001</v>
          </cell>
          <cell r="D28">
            <v>2060.9680526072898</v>
          </cell>
          <cell r="E28">
            <v>80.483431624916705</v>
          </cell>
          <cell r="F28">
            <v>275.48177307788598</v>
          </cell>
          <cell r="I28">
            <v>16.5266256769922</v>
          </cell>
          <cell r="J28">
            <v>6984.3359707004201</v>
          </cell>
          <cell r="K28">
            <v>276.28719718090599</v>
          </cell>
          <cell r="L28">
            <v>69.637096233941406</v>
          </cell>
          <cell r="M28">
            <v>472.22697892102002</v>
          </cell>
          <cell r="N28">
            <v>1168.3168660113399</v>
          </cell>
          <cell r="O28">
            <v>1326.57567433551</v>
          </cell>
          <cell r="P28">
            <v>2784.3407263300001</v>
          </cell>
          <cell r="Q28">
            <v>886.95143168770198</v>
          </cell>
          <cell r="R28">
            <v>453.96999135908499</v>
          </cell>
          <cell r="S28">
            <v>9248.8233385255007</v>
          </cell>
          <cell r="T28">
            <v>1359.7214274135199</v>
          </cell>
          <cell r="U28">
            <v>2144.99827280614</v>
          </cell>
          <cell r="V28">
            <v>1764.2756371395401</v>
          </cell>
          <cell r="W28">
            <v>1652.1409922943201</v>
          </cell>
          <cell r="X28">
            <v>2327.6870088719702</v>
          </cell>
          <cell r="Y28">
            <v>134.45064089028699</v>
          </cell>
          <cell r="Z28">
            <v>19255.039824462401</v>
          </cell>
        </row>
        <row r="29">
          <cell r="A29" t="str">
            <v>Kelantan</v>
          </cell>
          <cell r="B29" t="str">
            <v>03</v>
          </cell>
          <cell r="C29">
            <v>2617.7804497956299</v>
          </cell>
          <cell r="D29">
            <v>1942.4817276997501</v>
          </cell>
          <cell r="E29">
            <v>416.49956725049998</v>
          </cell>
          <cell r="F29">
            <v>258.79915484537702</v>
          </cell>
          <cell r="I29">
            <v>14.4181754742871</v>
          </cell>
          <cell r="J29">
            <v>510.70083418754098</v>
          </cell>
          <cell r="K29">
            <v>138.341438523666</v>
          </cell>
          <cell r="L29">
            <v>28.742611609802001</v>
          </cell>
          <cell r="M29">
            <v>73.505500890016407</v>
          </cell>
          <cell r="N29">
            <v>68.319025944010207</v>
          </cell>
          <cell r="O29">
            <v>27.574781203743701</v>
          </cell>
          <cell r="P29">
            <v>166.28079755626999</v>
          </cell>
          <cell r="Q29">
            <v>7.9366784600321303</v>
          </cell>
          <cell r="R29">
            <v>169.46443534701299</v>
          </cell>
          <cell r="S29">
            <v>6335.7900702748702</v>
          </cell>
          <cell r="T29">
            <v>743.703512481487</v>
          </cell>
          <cell r="U29">
            <v>1681.2531728200699</v>
          </cell>
          <cell r="V29">
            <v>733.54320103359203</v>
          </cell>
          <cell r="W29">
            <v>1174.0590217900599</v>
          </cell>
          <cell r="X29">
            <v>2003.2311621496599</v>
          </cell>
          <cell r="Y29">
            <v>10.1210965389053</v>
          </cell>
          <cell r="Z29">
            <v>9658.2750616182493</v>
          </cell>
        </row>
        <row r="30">
          <cell r="A30" t="str">
            <v>Melaka</v>
          </cell>
          <cell r="B30" t="str">
            <v>04</v>
          </cell>
          <cell r="C30">
            <v>961.73329875419302</v>
          </cell>
          <cell r="D30">
            <v>946.90645762184204</v>
          </cell>
          <cell r="E30">
            <v>0.56006563844926804</v>
          </cell>
          <cell r="F30">
            <v>14.2667754939018</v>
          </cell>
          <cell r="I30">
            <v>7.2982247814966499</v>
          </cell>
          <cell r="J30">
            <v>8312.7953274922893</v>
          </cell>
          <cell r="K30">
            <v>279.76590521138502</v>
          </cell>
          <cell r="L30">
            <v>123.176742626142</v>
          </cell>
          <cell r="M30">
            <v>442.37175795455897</v>
          </cell>
          <cell r="N30">
            <v>3086.4389693970802</v>
          </cell>
          <cell r="O30">
            <v>544.35209201866803</v>
          </cell>
          <cell r="P30">
            <v>2439.4310327828998</v>
          </cell>
          <cell r="Q30">
            <v>1397.2588275015601</v>
          </cell>
          <cell r="R30">
            <v>314.481252041853</v>
          </cell>
          <cell r="S30">
            <v>6723.3246634145798</v>
          </cell>
          <cell r="T30">
            <v>1310.63766722995</v>
          </cell>
          <cell r="U30">
            <v>2030.95637384611</v>
          </cell>
          <cell r="V30">
            <v>1363.28402879383</v>
          </cell>
          <cell r="W30">
            <v>941.08484483895404</v>
          </cell>
          <cell r="X30">
            <v>1077.36174870574</v>
          </cell>
          <cell r="Y30">
            <v>13.5031970924452</v>
          </cell>
          <cell r="Z30">
            <v>16333.1359635769</v>
          </cell>
        </row>
        <row r="31">
          <cell r="A31" t="str">
            <v>Negeri Sembilan</v>
          </cell>
          <cell r="B31" t="str">
            <v>05</v>
          </cell>
          <cell r="C31">
            <v>1816.8817302615</v>
          </cell>
          <cell r="D31">
            <v>1755.0937258404799</v>
          </cell>
          <cell r="E31">
            <v>34.323036923676298</v>
          </cell>
          <cell r="F31">
            <v>27.4649674973491</v>
          </cell>
          <cell r="I31">
            <v>17.521266820900799</v>
          </cell>
          <cell r="J31">
            <v>11476.808555940101</v>
          </cell>
          <cell r="K31">
            <v>1046.3834184627799</v>
          </cell>
          <cell r="L31">
            <v>436.74818218174102</v>
          </cell>
          <cell r="M31">
            <v>350.543940464765</v>
          </cell>
          <cell r="N31">
            <v>2567.4890385008798</v>
          </cell>
          <cell r="O31">
            <v>727.23829080610096</v>
          </cell>
          <cell r="P31">
            <v>5219.1744241468195</v>
          </cell>
          <cell r="Q31">
            <v>1129.23126137699</v>
          </cell>
          <cell r="R31">
            <v>402.713166861057</v>
          </cell>
          <cell r="S31">
            <v>7770.8126822294198</v>
          </cell>
          <cell r="T31">
            <v>1942.77472567326</v>
          </cell>
          <cell r="U31">
            <v>1768.0648375599601</v>
          </cell>
          <cell r="V31">
            <v>1615.4923418825299</v>
          </cell>
          <cell r="W31">
            <v>1013.4833123183799</v>
          </cell>
          <cell r="X31">
            <v>1430.9974647952999</v>
          </cell>
          <cell r="Y31">
            <v>69.357214698448203</v>
          </cell>
          <cell r="Z31">
            <v>21554.094616811399</v>
          </cell>
        </row>
        <row r="32">
          <cell r="A32" t="str">
            <v>Pahang</v>
          </cell>
          <cell r="B32" t="str">
            <v>06</v>
          </cell>
          <cell r="C32">
            <v>5770.1410985738403</v>
          </cell>
          <cell r="D32">
            <v>4670.4509523632396</v>
          </cell>
          <cell r="E32">
            <v>601.50505578969899</v>
          </cell>
          <cell r="F32">
            <v>498.18509042089698</v>
          </cell>
          <cell r="I32">
            <v>80.273290052901302</v>
          </cell>
          <cell r="J32">
            <v>7110.56842070932</v>
          </cell>
          <cell r="K32">
            <v>705.05093354776295</v>
          </cell>
          <cell r="L32">
            <v>16.2012290888499</v>
          </cell>
          <cell r="M32">
            <v>575.46873181503702</v>
          </cell>
          <cell r="N32">
            <v>3388.2393176946598</v>
          </cell>
          <cell r="O32">
            <v>821.98883967955101</v>
          </cell>
          <cell r="P32">
            <v>156.633803980365</v>
          </cell>
          <cell r="Q32">
            <v>1446.9855649031001</v>
          </cell>
          <cell r="R32">
            <v>571.58063128502101</v>
          </cell>
          <cell r="S32">
            <v>11138.208615434</v>
          </cell>
          <cell r="T32">
            <v>1193.2923306241</v>
          </cell>
          <cell r="U32">
            <v>3344.69661445665</v>
          </cell>
          <cell r="V32">
            <v>1442.7687051277801</v>
          </cell>
          <cell r="W32">
            <v>2847.8550902402999</v>
          </cell>
          <cell r="X32">
            <v>2309.5958749852098</v>
          </cell>
          <cell r="Y32">
            <v>22.447246895454899</v>
          </cell>
          <cell r="Z32">
            <v>24693.219302950602</v>
          </cell>
        </row>
        <row r="33">
          <cell r="A33" t="str">
            <v>Pulau Pinang</v>
          </cell>
          <cell r="B33" t="str">
            <v>07</v>
          </cell>
          <cell r="C33">
            <v>700.37903219198802</v>
          </cell>
          <cell r="D33">
            <v>509.13645040512699</v>
          </cell>
          <cell r="E33">
            <v>0</v>
          </cell>
          <cell r="F33">
            <v>191.242581786861</v>
          </cell>
          <cell r="I33">
            <v>17.069804358913899</v>
          </cell>
          <cell r="J33">
            <v>24429.468358772901</v>
          </cell>
          <cell r="K33">
            <v>654.61044932812695</v>
          </cell>
          <cell r="L33">
            <v>612.56336167766096</v>
          </cell>
          <cell r="M33">
            <v>659.10544401958396</v>
          </cell>
          <cell r="N33">
            <v>1525.35515757352</v>
          </cell>
          <cell r="O33">
            <v>1448.2715015645299</v>
          </cell>
          <cell r="P33">
            <v>18169.729390371002</v>
          </cell>
          <cell r="Q33">
            <v>1359.8330542385499</v>
          </cell>
          <cell r="R33">
            <v>812.77198186290195</v>
          </cell>
          <cell r="S33">
            <v>17152.767881577001</v>
          </cell>
          <cell r="T33">
            <v>3594.64591975957</v>
          </cell>
          <cell r="U33">
            <v>4716.9243092330598</v>
          </cell>
          <cell r="V33">
            <v>4974.7578420442396</v>
          </cell>
          <cell r="W33">
            <v>1790.5109599922</v>
          </cell>
          <cell r="X33">
            <v>2075.9288505479299</v>
          </cell>
          <cell r="Y33">
            <v>288.17007924230597</v>
          </cell>
          <cell r="Z33">
            <v>43400.627138005999</v>
          </cell>
        </row>
        <row r="34">
          <cell r="A34" t="str">
            <v>Perak</v>
          </cell>
          <cell r="B34" t="str">
            <v>08</v>
          </cell>
          <cell r="C34">
            <v>4841.0016055975502</v>
          </cell>
          <cell r="D34">
            <v>3421.0083503465798</v>
          </cell>
          <cell r="E34">
            <v>437.91478096930803</v>
          </cell>
          <cell r="F34">
            <v>982.07847428165701</v>
          </cell>
          <cell r="I34">
            <v>96.861769646077704</v>
          </cell>
          <cell r="J34">
            <v>6254.8965298297999</v>
          </cell>
          <cell r="K34">
            <v>1097.4020779704699</v>
          </cell>
          <cell r="L34">
            <v>241.59735163935599</v>
          </cell>
          <cell r="M34">
            <v>280.87450900017001</v>
          </cell>
          <cell r="N34">
            <v>1450.6703072558901</v>
          </cell>
          <cell r="O34">
            <v>1237.64135666889</v>
          </cell>
          <cell r="P34">
            <v>1827.0408066418499</v>
          </cell>
          <cell r="Q34">
            <v>119.670120653178</v>
          </cell>
          <cell r="R34">
            <v>675.10509915070998</v>
          </cell>
          <cell r="S34">
            <v>17636.900254423301</v>
          </cell>
          <cell r="T34">
            <v>5560.2253040654696</v>
          </cell>
          <cell r="U34">
            <v>3586.6042339098699</v>
          </cell>
          <cell r="V34">
            <v>3145.8265380559301</v>
          </cell>
          <cell r="W34">
            <v>2325.5727982825902</v>
          </cell>
          <cell r="X34">
            <v>3018.6713801094002</v>
          </cell>
          <cell r="Y34">
            <v>53.537682655929402</v>
          </cell>
          <cell r="Z34">
            <v>29558.3029413033</v>
          </cell>
        </row>
        <row r="35">
          <cell r="A35" t="str">
            <v>Perlis</v>
          </cell>
          <cell r="B35" t="str">
            <v>09</v>
          </cell>
          <cell r="C35">
            <v>808.72593428289599</v>
          </cell>
          <cell r="D35">
            <v>259.95321692836001</v>
          </cell>
          <cell r="E35">
            <v>0</v>
          </cell>
          <cell r="F35">
            <v>548.77271735453598</v>
          </cell>
          <cell r="I35">
            <v>6.8446087585817601</v>
          </cell>
          <cell r="J35">
            <v>345.19007959309801</v>
          </cell>
          <cell r="K35">
            <v>49.105577399240801</v>
          </cell>
          <cell r="L35">
            <v>57.869775833981798</v>
          </cell>
          <cell r="M35">
            <v>10.7097310719837</v>
          </cell>
          <cell r="N35">
            <v>134.12184479401901</v>
          </cell>
          <cell r="O35">
            <v>91.561314600732601</v>
          </cell>
          <cell r="P35">
            <v>1.82183589313928</v>
          </cell>
          <cell r="Q35">
            <v>0</v>
          </cell>
          <cell r="R35">
            <v>100.551566370809</v>
          </cell>
          <cell r="S35">
            <v>1582.3990231601699</v>
          </cell>
          <cell r="T35">
            <v>577.20764750010005</v>
          </cell>
          <cell r="U35">
            <v>188.404257331791</v>
          </cell>
          <cell r="V35">
            <v>171.20532999452499</v>
          </cell>
          <cell r="W35">
            <v>212.591718700168</v>
          </cell>
          <cell r="X35">
            <v>432.99006963358198</v>
          </cell>
          <cell r="Y35">
            <v>101.23279260701401</v>
          </cell>
          <cell r="Z35">
            <v>2944.9440047725602</v>
          </cell>
        </row>
        <row r="36">
          <cell r="A36" t="str">
            <v>Selangor</v>
          </cell>
          <cell r="B36">
            <v>10</v>
          </cell>
          <cell r="C36">
            <v>2049.1856888432299</v>
          </cell>
          <cell r="D36">
            <v>1418.7881169792599</v>
          </cell>
          <cell r="E36">
            <v>21.357617395231301</v>
          </cell>
          <cell r="F36">
            <v>609.03995446874501</v>
          </cell>
          <cell r="I36">
            <v>115.923261490992</v>
          </cell>
          <cell r="J36">
            <v>42583.807815050401</v>
          </cell>
          <cell r="K36">
            <v>5756.4238309847797</v>
          </cell>
          <cell r="L36">
            <v>614.27157414379201</v>
          </cell>
          <cell r="M36">
            <v>2856.3799168124101</v>
          </cell>
          <cell r="N36">
            <v>5395.0294542236597</v>
          </cell>
          <cell r="O36">
            <v>4661.1959621419001</v>
          </cell>
          <cell r="P36">
            <v>12424.3394810104</v>
          </cell>
          <cell r="Q36">
            <v>10876.167595733399</v>
          </cell>
          <cell r="R36">
            <v>5028.2701061917796</v>
          </cell>
          <cell r="S36">
            <v>65860.627293376194</v>
          </cell>
          <cell r="T36">
            <v>17165.996852116899</v>
          </cell>
          <cell r="U36">
            <v>21832.576270203601</v>
          </cell>
          <cell r="V36">
            <v>15239.550775515099</v>
          </cell>
          <cell r="W36">
            <v>6011.4828157116899</v>
          </cell>
          <cell r="X36">
            <v>5611.0205798289599</v>
          </cell>
          <cell r="Y36">
            <v>3181.1442089161201</v>
          </cell>
          <cell r="Z36">
            <v>118818.958373869</v>
          </cell>
        </row>
        <row r="37">
          <cell r="A37" t="str">
            <v>Terengganu</v>
          </cell>
          <cell r="B37">
            <v>11</v>
          </cell>
          <cell r="C37">
            <v>1683.1505690450799</v>
          </cell>
          <cell r="D37">
            <v>1129.86941122743</v>
          </cell>
          <cell r="E37">
            <v>143.52582285294201</v>
          </cell>
          <cell r="F37">
            <v>409.75533496470302</v>
          </cell>
          <cell r="I37">
            <v>8.7208165317790698</v>
          </cell>
          <cell r="J37">
            <v>7204.11271890841</v>
          </cell>
          <cell r="K37">
            <v>109.900175749368</v>
          </cell>
          <cell r="L37">
            <v>38.718538882359503</v>
          </cell>
          <cell r="M37">
            <v>120.03498202535999</v>
          </cell>
          <cell r="N37">
            <v>6528.4075797325704</v>
          </cell>
          <cell r="O37">
            <v>339.52317352760701</v>
          </cell>
          <cell r="P37">
            <v>1.4653545058975499</v>
          </cell>
          <cell r="Q37">
            <v>66.062914485247902</v>
          </cell>
          <cell r="R37">
            <v>454.564489676601</v>
          </cell>
          <cell r="S37">
            <v>7506.7095052003197</v>
          </cell>
          <cell r="T37">
            <v>3085.6722565039299</v>
          </cell>
          <cell r="U37">
            <v>1228.0367088068199</v>
          </cell>
          <cell r="V37">
            <v>565.84594036372698</v>
          </cell>
          <cell r="W37">
            <v>781.99954839759596</v>
          </cell>
          <cell r="X37">
            <v>1845.1550511282401</v>
          </cell>
          <cell r="Y37">
            <v>9.9507637807276392</v>
          </cell>
          <cell r="Z37">
            <v>16867.2088631429</v>
          </cell>
        </row>
        <row r="38">
          <cell r="A38" t="str">
            <v>Sabah</v>
          </cell>
          <cell r="B38">
            <v>12</v>
          </cell>
          <cell r="C38">
            <v>9907.9170891016201</v>
          </cell>
          <cell r="D38">
            <v>6505.0982064938398</v>
          </cell>
          <cell r="E38">
            <v>2201.6043196693099</v>
          </cell>
          <cell r="F38">
            <v>1201.21456293847</v>
          </cell>
          <cell r="I38">
            <v>5305.0188119066497</v>
          </cell>
          <cell r="J38">
            <v>3307.5639633117398</v>
          </cell>
          <cell r="K38">
            <v>1889.13581074173</v>
          </cell>
          <cell r="L38">
            <v>24.127588758054799</v>
          </cell>
          <cell r="M38">
            <v>875.72966932760596</v>
          </cell>
          <cell r="N38">
            <v>149.62708489826301</v>
          </cell>
          <cell r="O38">
            <v>214.799905708566</v>
          </cell>
          <cell r="P38">
            <v>7.2733148875337399</v>
          </cell>
          <cell r="Q38">
            <v>146.870588989981</v>
          </cell>
          <cell r="R38">
            <v>1049.9768020543299</v>
          </cell>
          <cell r="S38">
            <v>14536.659166623</v>
          </cell>
          <cell r="T38">
            <v>2740.4160274405099</v>
          </cell>
          <cell r="U38">
            <v>4323.3190045830797</v>
          </cell>
          <cell r="V38">
            <v>2985.63191230641</v>
          </cell>
          <cell r="W38">
            <v>1459.17015657037</v>
          </cell>
          <cell r="X38">
            <v>3028.1220657225899</v>
          </cell>
          <cell r="Y38">
            <v>113.93748440474199</v>
          </cell>
          <cell r="Z38">
            <v>34221.073317401999</v>
          </cell>
        </row>
        <row r="39">
          <cell r="A39" t="str">
            <v>Sarawak</v>
          </cell>
          <cell r="B39">
            <v>13</v>
          </cell>
          <cell r="C39">
            <v>7199.0461539385096</v>
          </cell>
          <cell r="D39">
            <v>2809.2687090730301</v>
          </cell>
          <cell r="E39">
            <v>3857.7784715405</v>
          </cell>
          <cell r="F39">
            <v>531.99897332498699</v>
          </cell>
          <cell r="I39">
            <v>16135.5628417272</v>
          </cell>
          <cell r="J39">
            <v>17374.660156991398</v>
          </cell>
          <cell r="K39">
            <v>689.99300758824199</v>
          </cell>
          <cell r="L39">
            <v>18.856981073143999</v>
          </cell>
          <cell r="M39">
            <v>1992.7771856494801</v>
          </cell>
          <cell r="N39">
            <v>13294.2672517314</v>
          </cell>
          <cell r="O39">
            <v>519.52466204974598</v>
          </cell>
          <cell r="P39">
            <v>585.48442688070998</v>
          </cell>
          <cell r="Q39">
            <v>273.756642018695</v>
          </cell>
          <cell r="R39">
            <v>1387.0757866608401</v>
          </cell>
          <cell r="S39">
            <v>17981.701899829699</v>
          </cell>
          <cell r="T39">
            <v>4194.8712786423803</v>
          </cell>
          <cell r="U39">
            <v>4431.1308051959204</v>
          </cell>
          <cell r="V39">
            <v>4403.37435028035</v>
          </cell>
          <cell r="W39">
            <v>1969.7894143067099</v>
          </cell>
          <cell r="X39">
            <v>2982.53605140432</v>
          </cell>
          <cell r="Y39">
            <v>187.133438110855</v>
          </cell>
          <cell r="Z39">
            <v>60265.1802772585</v>
          </cell>
        </row>
        <row r="40">
          <cell r="A40" t="str">
            <v>WP Kuala Lumpur</v>
          </cell>
          <cell r="B40">
            <v>14</v>
          </cell>
          <cell r="C40">
            <v>1.70063142405226</v>
          </cell>
          <cell r="D40">
            <v>1.70063142405226</v>
          </cell>
          <cell r="E40">
            <v>0</v>
          </cell>
          <cell r="F40">
            <v>0</v>
          </cell>
          <cell r="I40">
            <v>23.872994104275399</v>
          </cell>
          <cell r="J40">
            <v>4024.4684763293899</v>
          </cell>
          <cell r="K40">
            <v>453.95250047359502</v>
          </cell>
          <cell r="L40">
            <v>223.80249625796401</v>
          </cell>
          <cell r="M40">
            <v>1148.2049337393801</v>
          </cell>
          <cell r="N40">
            <v>577.88508111527199</v>
          </cell>
          <cell r="O40">
            <v>511.31032182226397</v>
          </cell>
          <cell r="P40">
            <v>464.36602674966701</v>
          </cell>
          <cell r="Q40">
            <v>644.94711617124199</v>
          </cell>
          <cell r="R40">
            <v>3009.2664749812802</v>
          </cell>
          <cell r="S40">
            <v>64090.007640177297</v>
          </cell>
          <cell r="T40">
            <v>4428.1872575324196</v>
          </cell>
          <cell r="U40">
            <v>23061.162235989301</v>
          </cell>
          <cell r="V40">
            <v>25111.537298388201</v>
          </cell>
          <cell r="W40">
            <v>3505.66588895109</v>
          </cell>
          <cell r="X40">
            <v>7983.4549593162801</v>
          </cell>
          <cell r="Y40">
            <v>744.533168414785</v>
          </cell>
          <cell r="Z40">
            <v>71893.849385431007</v>
          </cell>
        </row>
        <row r="41">
          <cell r="A41" t="str">
            <v>WP Labuan</v>
          </cell>
          <cell r="B41">
            <v>15</v>
          </cell>
          <cell r="C41">
            <v>103.91787953249801</v>
          </cell>
          <cell r="D41">
            <v>4.9123802163404697</v>
          </cell>
          <cell r="E41">
            <v>0</v>
          </cell>
          <cell r="F41">
            <v>99.005499316157298</v>
          </cell>
          <cell r="I41">
            <v>0</v>
          </cell>
          <cell r="J41">
            <v>894.48269140067805</v>
          </cell>
          <cell r="K41">
            <v>32.070921759535203</v>
          </cell>
          <cell r="L41">
            <v>2.81236661394703</v>
          </cell>
          <cell r="M41">
            <v>3.2203052445276801</v>
          </cell>
          <cell r="N41">
            <v>531.60726643463101</v>
          </cell>
          <cell r="O41">
            <v>316.49947159849501</v>
          </cell>
          <cell r="P41">
            <v>0</v>
          </cell>
          <cell r="Q41">
            <v>8.2723597495418009</v>
          </cell>
          <cell r="R41">
            <v>23.7878027087405</v>
          </cell>
          <cell r="S41">
            <v>1508.1454902620301</v>
          </cell>
          <cell r="T41">
            <v>189.15208696111199</v>
          </cell>
          <cell r="U41">
            <v>177.25286846969701</v>
          </cell>
          <cell r="V41">
            <v>1031.7168973313801</v>
          </cell>
          <cell r="W41">
            <v>63.092041229435203</v>
          </cell>
          <cell r="X41">
            <v>46.931596270406601</v>
          </cell>
          <cell r="Y41">
            <v>20.861388581171902</v>
          </cell>
          <cell r="Z41">
            <v>2551.1952524851099</v>
          </cell>
        </row>
        <row r="42">
          <cell r="A42" t="str">
            <v>Supra1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I42">
            <v>49381.376278548603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49381.376278548603</v>
          </cell>
        </row>
        <row r="43">
          <cell r="A43" t="str">
            <v>MALAYSIA</v>
          </cell>
          <cell r="C43">
            <v>47532.734067767298</v>
          </cell>
          <cell r="D43">
            <v>33413.073072712097</v>
          </cell>
          <cell r="E43">
            <v>7898.0038836903404</v>
          </cell>
          <cell r="F43">
            <v>6221.6571113648797</v>
          </cell>
          <cell r="I43">
            <v>71275.532862738895</v>
          </cell>
          <cell r="J43">
            <v>160879.865092561</v>
          </cell>
          <cell r="K43">
            <v>14765.478604235699</v>
          </cell>
          <cell r="L43">
            <v>3588.7613681538701</v>
          </cell>
          <cell r="M43">
            <v>11352.995296090099</v>
          </cell>
          <cell r="N43">
            <v>43619.061350473203</v>
          </cell>
          <cell r="O43">
            <v>15159.986735836799</v>
          </cell>
          <cell r="P43">
            <v>52611.647444825103</v>
          </cell>
          <cell r="Q43">
            <v>19781.934292946498</v>
          </cell>
          <cell r="R43">
            <v>16022.039552136001</v>
          </cell>
          <cell r="S43">
            <v>272554.707095319</v>
          </cell>
          <cell r="T43">
            <v>53517.463456234102</v>
          </cell>
          <cell r="U43">
            <v>79607.320892545904</v>
          </cell>
          <cell r="V43">
            <v>71344.287921263298</v>
          </cell>
          <cell r="W43">
            <v>28279.774509328701</v>
          </cell>
          <cell r="X43">
            <v>39805.860315947102</v>
          </cell>
          <cell r="Y43">
            <v>5670.7731187351001</v>
          </cell>
          <cell r="Z43">
            <v>573935.651789258</v>
          </cell>
        </row>
        <row r="46">
          <cell r="A46" t="str">
            <v>CONSTANT</v>
          </cell>
          <cell r="B46" t="str">
            <v>Industry</v>
          </cell>
          <cell r="D46">
            <v>1</v>
          </cell>
          <cell r="E46">
            <v>2</v>
          </cell>
          <cell r="F46">
            <v>3</v>
          </cell>
          <cell r="I46">
            <v>4</v>
          </cell>
          <cell r="K46">
            <v>6</v>
          </cell>
          <cell r="L46">
            <v>7</v>
          </cell>
          <cell r="M46">
            <v>8</v>
          </cell>
          <cell r="N46">
            <v>9</v>
          </cell>
          <cell r="O46">
            <v>10</v>
          </cell>
          <cell r="P46">
            <v>11</v>
          </cell>
          <cell r="Q46">
            <v>12</v>
          </cell>
          <cell r="R46">
            <v>5</v>
          </cell>
          <cell r="T46">
            <v>13</v>
          </cell>
          <cell r="U46">
            <v>14</v>
          </cell>
          <cell r="V46">
            <v>15</v>
          </cell>
          <cell r="W46">
            <v>16</v>
          </cell>
        </row>
        <row r="47">
          <cell r="A47">
            <v>2007</v>
          </cell>
          <cell r="B47" t="str">
            <v>I</v>
          </cell>
          <cell r="C47" t="str">
            <v>Agriculture</v>
          </cell>
          <cell r="D47" t="str">
            <v>Tanaman</v>
          </cell>
          <cell r="E47" t="str">
            <v>Pembalakan</v>
          </cell>
          <cell r="F47" t="str">
            <v>Perikanan</v>
          </cell>
          <cell r="I47" t="str">
            <v>Mining and
Quarrying</v>
          </cell>
          <cell r="J47" t="str">
            <v>Manufacturing</v>
          </cell>
          <cell r="K47" t="str">
            <v>Prosesan Makanan, Minuman dan Produk Tembakau</v>
          </cell>
          <cell r="L47" t="str">
            <v>Tekstil, Pakaian, Kulit dan Kasut</v>
          </cell>
          <cell r="M47" t="str">
            <v>Keluaran Kayu, Perabot, Produk Kertas, Percetakan dan Penerbitan</v>
          </cell>
          <cell r="N47" t="str">
            <v>Produk Petroleum, Bahan kimia, Getah dan Plastik</v>
          </cell>
          <cell r="O47" t="str">
            <v>Produk Mineral Bukan Logam, Logam Asli dan Produk Logam Yang Direka</v>
          </cell>
          <cell r="P47" t="str">
            <v>Elektrik dan Elektronik</v>
          </cell>
          <cell r="Q47" t="str">
            <v>Kelengkapan Pengangkutan dan Pembuatan Lain</v>
          </cell>
          <cell r="R47" t="str">
            <v>Construction</v>
          </cell>
          <cell r="S47" t="str">
            <v>Services</v>
          </cell>
          <cell r="T47" t="str">
            <v>Utiliti, Transport &amp; Communication</v>
          </cell>
          <cell r="U47" t="str">
            <v>WRT, Accomm &amp; Restaurant</v>
          </cell>
          <cell r="V47" t="str">
            <v>Finance &amp; Insurance, Real Estate &amp; Business Services</v>
          </cell>
          <cell r="W47" t="str">
            <v>Other Services</v>
          </cell>
          <cell r="X47" t="str">
            <v>Government Services</v>
          </cell>
          <cell r="Y47" t="str">
            <v>Plus :
Import Duties</v>
          </cell>
          <cell r="Z47" t="str">
            <v>GDP at
Purchasers' Prices</v>
          </cell>
        </row>
        <row r="48">
          <cell r="A48" t="str">
            <v>States</v>
          </cell>
          <cell r="B48" t="str">
            <v>Converter</v>
          </cell>
        </row>
        <row r="49">
          <cell r="A49" t="str">
            <v>Johor</v>
          </cell>
          <cell r="B49" t="str">
            <v>01</v>
          </cell>
          <cell r="C49">
            <v>6349.3657705242103</v>
          </cell>
          <cell r="D49">
            <v>5808.2699370519003</v>
          </cell>
          <cell r="E49">
            <v>79.0792125512952</v>
          </cell>
          <cell r="F49">
            <v>462.016620921016</v>
          </cell>
          <cell r="I49">
            <v>50.308114023991401</v>
          </cell>
          <cell r="J49">
            <v>20662.955740858899</v>
          </cell>
          <cell r="K49">
            <v>1756.72876883768</v>
          </cell>
          <cell r="L49">
            <v>988.853119106073</v>
          </cell>
          <cell r="M49">
            <v>1698.78094702049</v>
          </cell>
          <cell r="N49">
            <v>3430.0560311125801</v>
          </cell>
          <cell r="O49">
            <v>2602.9705222851899</v>
          </cell>
          <cell r="P49">
            <v>8115.1828990002996</v>
          </cell>
          <cell r="Q49">
            <v>2070.3834534965899</v>
          </cell>
          <cell r="R49">
            <v>1578.3579918855301</v>
          </cell>
          <cell r="S49">
            <v>25304.853962464898</v>
          </cell>
          <cell r="T49">
            <v>5839.4454546452498</v>
          </cell>
          <cell r="U49">
            <v>5811.8755763071604</v>
          </cell>
          <cell r="V49">
            <v>7251.4063081114</v>
          </cell>
          <cell r="W49">
            <v>2598.36899031545</v>
          </cell>
          <cell r="X49">
            <v>3803.75763308568</v>
          </cell>
          <cell r="Y49">
            <v>739.59222796745803</v>
          </cell>
          <cell r="Z49">
            <v>54685.433807724999</v>
          </cell>
        </row>
        <row r="50">
          <cell r="A50" t="str">
            <v>Kedah</v>
          </cell>
          <cell r="B50" t="str">
            <v>02</v>
          </cell>
          <cell r="C50">
            <v>2681.6603907225199</v>
          </cell>
          <cell r="D50">
            <v>2281.3547506852001</v>
          </cell>
          <cell r="E50">
            <v>79.154656509836201</v>
          </cell>
          <cell r="F50">
            <v>321.15098352748799</v>
          </cell>
          <cell r="I50">
            <v>18.048528269871898</v>
          </cell>
          <cell r="J50">
            <v>7717.7993422172503</v>
          </cell>
          <cell r="K50">
            <v>252.925225481008</v>
          </cell>
          <cell r="L50">
            <v>118.930796638589</v>
          </cell>
          <cell r="M50">
            <v>485.85067829856001</v>
          </cell>
          <cell r="N50">
            <v>1496.75131325198</v>
          </cell>
          <cell r="O50">
            <v>1922.74280889636</v>
          </cell>
          <cell r="P50">
            <v>2349.8292298206802</v>
          </cell>
          <cell r="Q50">
            <v>1090.76928983007</v>
          </cell>
          <cell r="R50">
            <v>521.15096311709794</v>
          </cell>
          <cell r="S50">
            <v>9968.1473960035892</v>
          </cell>
          <cell r="T50">
            <v>1465.2200967916699</v>
          </cell>
          <cell r="U50">
            <v>2500.0247093693201</v>
          </cell>
          <cell r="V50">
            <v>1870.7963414210999</v>
          </cell>
          <cell r="W50">
            <v>1688.8790381625899</v>
          </cell>
          <cell r="X50">
            <v>2443.22721025891</v>
          </cell>
          <cell r="Y50">
            <v>126.538108157175</v>
          </cell>
          <cell r="Z50">
            <v>21033.3447284875</v>
          </cell>
        </row>
        <row r="51">
          <cell r="A51" t="str">
            <v>Kelantan</v>
          </cell>
          <cell r="B51" t="str">
            <v>03</v>
          </cell>
          <cell r="C51">
            <v>2988.7129664602498</v>
          </cell>
          <cell r="D51">
            <v>2097.8035475390798</v>
          </cell>
          <cell r="E51">
            <v>572.17552894220898</v>
          </cell>
          <cell r="F51">
            <v>318.73388997897001</v>
          </cell>
          <cell r="I51">
            <v>15.710270641353601</v>
          </cell>
          <cell r="J51">
            <v>537.90648847254704</v>
          </cell>
          <cell r="K51">
            <v>96.399194471998797</v>
          </cell>
          <cell r="L51">
            <v>46.681899118575501</v>
          </cell>
          <cell r="M51">
            <v>78.934399314953197</v>
          </cell>
          <cell r="N51">
            <v>83.535215787313703</v>
          </cell>
          <cell r="O51">
            <v>69.699584234307693</v>
          </cell>
          <cell r="P51">
            <v>156.971996648622</v>
          </cell>
          <cell r="Q51">
            <v>5.6841988967758397</v>
          </cell>
          <cell r="R51">
            <v>159.05485305821901</v>
          </cell>
          <cell r="S51">
            <v>6766.5601079339303</v>
          </cell>
          <cell r="T51">
            <v>786.65685698242498</v>
          </cell>
          <cell r="U51">
            <v>1883.1208029351501</v>
          </cell>
          <cell r="V51">
            <v>786.64393343559505</v>
          </cell>
          <cell r="W51">
            <v>1204.0097242068</v>
          </cell>
          <cell r="X51">
            <v>2106.1287903739599</v>
          </cell>
          <cell r="Y51">
            <v>14.4581579747896</v>
          </cell>
          <cell r="Z51">
            <v>10482.4028445411</v>
          </cell>
        </row>
        <row r="52">
          <cell r="A52" t="str">
            <v>Melaka</v>
          </cell>
          <cell r="B52" t="str">
            <v>04</v>
          </cell>
          <cell r="C52">
            <v>1049.9837590642601</v>
          </cell>
          <cell r="D52">
            <v>1036.4500888858199</v>
          </cell>
          <cell r="E52">
            <v>0.58264125883405904</v>
          </cell>
          <cell r="F52">
            <v>12.9510289196058</v>
          </cell>
          <cell r="I52">
            <v>7.98779466684553</v>
          </cell>
          <cell r="J52">
            <v>8495.9522896870403</v>
          </cell>
          <cell r="K52">
            <v>265.28598560224799</v>
          </cell>
          <cell r="L52">
            <v>93.947205754062097</v>
          </cell>
          <cell r="M52">
            <v>401.35151395285902</v>
          </cell>
          <cell r="N52">
            <v>3658.3887184694499</v>
          </cell>
          <cell r="O52">
            <v>546.88640353950905</v>
          </cell>
          <cell r="P52">
            <v>2514.1167378508499</v>
          </cell>
          <cell r="Q52">
            <v>1015.97572451806</v>
          </cell>
          <cell r="R52">
            <v>486.11974578698698</v>
          </cell>
          <cell r="S52">
            <v>7350.2047891623797</v>
          </cell>
          <cell r="T52">
            <v>1371.85733650064</v>
          </cell>
          <cell r="U52">
            <v>2351.0636468129901</v>
          </cell>
          <cell r="V52">
            <v>1496.3650172185701</v>
          </cell>
          <cell r="W52">
            <v>1007.31359768512</v>
          </cell>
          <cell r="X52">
            <v>1123.60519094505</v>
          </cell>
          <cell r="Y52">
            <v>31.9292935891485</v>
          </cell>
          <cell r="Z52">
            <v>17422.177671956699</v>
          </cell>
        </row>
        <row r="53">
          <cell r="A53" t="str">
            <v>Negeri Sembilan</v>
          </cell>
          <cell r="B53" t="str">
            <v>05</v>
          </cell>
          <cell r="C53">
            <v>1770.6233661952101</v>
          </cell>
          <cell r="D53">
            <v>1702.80162306191</v>
          </cell>
          <cell r="E53">
            <v>41.518276393251803</v>
          </cell>
          <cell r="F53">
            <v>26.303466740056901</v>
          </cell>
          <cell r="I53">
            <v>19.103149644530198</v>
          </cell>
          <cell r="J53">
            <v>11876.644437962301</v>
          </cell>
          <cell r="K53">
            <v>1118.78312439362</v>
          </cell>
          <cell r="L53">
            <v>406.62483738666202</v>
          </cell>
          <cell r="M53">
            <v>291.25893633818401</v>
          </cell>
          <cell r="N53">
            <v>3281.3416445077401</v>
          </cell>
          <cell r="O53">
            <v>686.51747334415302</v>
          </cell>
          <cell r="P53">
            <v>5160.4372561523696</v>
          </cell>
          <cell r="Q53">
            <v>931.68116583958601</v>
          </cell>
          <cell r="R53">
            <v>436.29066325689598</v>
          </cell>
          <cell r="S53">
            <v>8498.4753985162897</v>
          </cell>
          <cell r="T53">
            <v>2047.1081753559299</v>
          </cell>
          <cell r="U53">
            <v>2033.4067647075999</v>
          </cell>
          <cell r="V53">
            <v>1784.82670661518</v>
          </cell>
          <cell r="W53">
            <v>1138.59781318774</v>
          </cell>
          <cell r="X53">
            <v>1494.5359386498501</v>
          </cell>
          <cell r="Y53">
            <v>78.836902799825495</v>
          </cell>
          <cell r="Z53">
            <v>22679.973918375101</v>
          </cell>
        </row>
        <row r="54">
          <cell r="A54" t="str">
            <v>Pahang</v>
          </cell>
          <cell r="B54" t="str">
            <v>06</v>
          </cell>
          <cell r="C54">
            <v>5207.54037658779</v>
          </cell>
          <cell r="D54">
            <v>4368.3243974929601</v>
          </cell>
          <cell r="E54">
            <v>400.01817065452002</v>
          </cell>
          <cell r="F54">
            <v>439.19780844030601</v>
          </cell>
          <cell r="I54">
            <v>110.407340119764</v>
          </cell>
          <cell r="J54">
            <v>7052.7335097852501</v>
          </cell>
          <cell r="K54">
            <v>793.67946193545697</v>
          </cell>
          <cell r="L54">
            <v>13.2098045795034</v>
          </cell>
          <cell r="M54">
            <v>511.57602066974903</v>
          </cell>
          <cell r="N54">
            <v>3542.19593617597</v>
          </cell>
          <cell r="O54">
            <v>870.32067885000401</v>
          </cell>
          <cell r="P54">
            <v>93.829584834300505</v>
          </cell>
          <cell r="Q54">
            <v>1227.92202274027</v>
          </cell>
          <cell r="R54">
            <v>575.74558463116296</v>
          </cell>
          <cell r="S54">
            <v>12236.1682959067</v>
          </cell>
          <cell r="T54">
            <v>1281.8832281131999</v>
          </cell>
          <cell r="U54">
            <v>3866.03114623686</v>
          </cell>
          <cell r="V54">
            <v>1604.46618497587</v>
          </cell>
          <cell r="W54">
            <v>3077.50138415018</v>
          </cell>
          <cell r="X54">
            <v>2406.2863524306299</v>
          </cell>
          <cell r="Y54">
            <v>23.630568770153999</v>
          </cell>
          <cell r="Z54">
            <v>25206.225675800899</v>
          </cell>
        </row>
        <row r="55">
          <cell r="A55" t="str">
            <v>Pulau Pinang</v>
          </cell>
          <cell r="B55" t="str">
            <v>07</v>
          </cell>
          <cell r="C55">
            <v>721.068295417321</v>
          </cell>
          <cell r="D55">
            <v>528.12971383671402</v>
          </cell>
          <cell r="E55">
            <v>0</v>
          </cell>
          <cell r="F55">
            <v>192.93858158060701</v>
          </cell>
          <cell r="I55">
            <v>18.698428464636802</v>
          </cell>
          <cell r="J55">
            <v>25374.425811071502</v>
          </cell>
          <cell r="K55">
            <v>725.79384748207804</v>
          </cell>
          <cell r="L55">
            <v>464.03104921610401</v>
          </cell>
          <cell r="M55">
            <v>690.11560317322505</v>
          </cell>
          <cell r="N55">
            <v>1425.81977742506</v>
          </cell>
          <cell r="O55">
            <v>1800.06727154696</v>
          </cell>
          <cell r="P55">
            <v>18771.124317587</v>
          </cell>
          <cell r="Q55">
            <v>1497.4739446410399</v>
          </cell>
          <cell r="R55">
            <v>923.972218119172</v>
          </cell>
          <cell r="S55">
            <v>18924.920131515799</v>
          </cell>
          <cell r="T55">
            <v>3973.0755685437698</v>
          </cell>
          <cell r="U55">
            <v>5392.7054314427696</v>
          </cell>
          <cell r="V55">
            <v>5508.7005816316196</v>
          </cell>
          <cell r="W55">
            <v>1911.5996518095899</v>
          </cell>
          <cell r="X55">
            <v>2138.83889808807</v>
          </cell>
          <cell r="Y55">
            <v>262.77374224584599</v>
          </cell>
          <cell r="Z55">
            <v>46225.858626834299</v>
          </cell>
        </row>
        <row r="56">
          <cell r="A56" t="str">
            <v>Perak</v>
          </cell>
          <cell r="B56" t="str">
            <v>08</v>
          </cell>
          <cell r="C56">
            <v>5003.4977094698897</v>
          </cell>
          <cell r="D56">
            <v>3577.4709326095599</v>
          </cell>
          <cell r="E56">
            <v>382.87724616087002</v>
          </cell>
          <cell r="F56">
            <v>1043.14953069946</v>
          </cell>
          <cell r="I56">
            <v>105.414134490443</v>
          </cell>
          <cell r="J56">
            <v>6342.8197348897502</v>
          </cell>
          <cell r="K56">
            <v>1120.9841164311499</v>
          </cell>
          <cell r="L56">
            <v>199.42829060343499</v>
          </cell>
          <cell r="M56">
            <v>361.40863547805401</v>
          </cell>
          <cell r="N56">
            <v>1406.8212619763201</v>
          </cell>
          <cell r="O56">
            <v>1246.3615341428499</v>
          </cell>
          <cell r="P56">
            <v>1810.5647554305899</v>
          </cell>
          <cell r="Q56">
            <v>197.25114082734001</v>
          </cell>
          <cell r="R56">
            <v>555.25395563238396</v>
          </cell>
          <cell r="S56">
            <v>19017.035418304898</v>
          </cell>
          <cell r="T56">
            <v>5697.3911822560704</v>
          </cell>
          <cell r="U56">
            <v>4166.3452481063896</v>
          </cell>
          <cell r="V56">
            <v>3485.6780340405498</v>
          </cell>
          <cell r="W56">
            <v>2500.7837572722001</v>
          </cell>
          <cell r="X56">
            <v>3166.83719662971</v>
          </cell>
          <cell r="Y56">
            <v>24.3253411075065</v>
          </cell>
          <cell r="Z56">
            <v>31048.346293894901</v>
          </cell>
        </row>
        <row r="57">
          <cell r="A57" t="str">
            <v>Perlis</v>
          </cell>
          <cell r="B57" t="str">
            <v>09</v>
          </cell>
          <cell r="C57">
            <v>931.79704357876005</v>
          </cell>
          <cell r="D57">
            <v>248.23547787447899</v>
          </cell>
          <cell r="E57">
            <v>0</v>
          </cell>
          <cell r="F57">
            <v>683.56156570428095</v>
          </cell>
          <cell r="I57">
            <v>7.4425580879539597</v>
          </cell>
          <cell r="J57">
            <v>323.54139109524999</v>
          </cell>
          <cell r="K57">
            <v>66.078185598306703</v>
          </cell>
          <cell r="L57">
            <v>54.4519823296705</v>
          </cell>
          <cell r="M57">
            <v>2.9248195937792199</v>
          </cell>
          <cell r="N57">
            <v>101.233212222342</v>
          </cell>
          <cell r="O57">
            <v>98.320881505098797</v>
          </cell>
          <cell r="P57">
            <v>0.49688848380050199</v>
          </cell>
          <cell r="Q57">
            <v>3.5421362252201397E-2</v>
          </cell>
          <cell r="R57">
            <v>100.16881163801</v>
          </cell>
          <cell r="S57">
            <v>1700.29697532553</v>
          </cell>
          <cell r="T57">
            <v>604.087228728686</v>
          </cell>
          <cell r="U57">
            <v>226.621894294848</v>
          </cell>
          <cell r="V57">
            <v>194.98952736590999</v>
          </cell>
          <cell r="W57">
            <v>229.415892507992</v>
          </cell>
          <cell r="X57">
            <v>445.18243242809399</v>
          </cell>
          <cell r="Y57">
            <v>93.609572609995396</v>
          </cell>
          <cell r="Z57">
            <v>3156.8563523355001</v>
          </cell>
        </row>
        <row r="58">
          <cell r="A58" t="str">
            <v>Selangor</v>
          </cell>
          <cell r="B58">
            <v>10</v>
          </cell>
          <cell r="C58">
            <v>1926.0780961645701</v>
          </cell>
          <cell r="D58">
            <v>1398.0401864160799</v>
          </cell>
          <cell r="E58">
            <v>16.198665220584299</v>
          </cell>
          <cell r="F58">
            <v>511.83924452790802</v>
          </cell>
          <cell r="I58">
            <v>120.5394268836</v>
          </cell>
          <cell r="J58">
            <v>42879.553169723098</v>
          </cell>
          <cell r="K58">
            <v>6111.6100244311201</v>
          </cell>
          <cell r="L58">
            <v>391.82056836067602</v>
          </cell>
          <cell r="M58">
            <v>3468.01000850225</v>
          </cell>
          <cell r="N58">
            <v>4981.8207564943596</v>
          </cell>
          <cell r="O58">
            <v>5479.2930119938301</v>
          </cell>
          <cell r="P58">
            <v>12587.810554621499</v>
          </cell>
          <cell r="Q58">
            <v>9859.1882453193593</v>
          </cell>
          <cell r="R58">
            <v>5962.5217317796596</v>
          </cell>
          <cell r="S58">
            <v>74001.307601711698</v>
          </cell>
          <cell r="T58">
            <v>18524.120851202999</v>
          </cell>
          <cell r="U58">
            <v>24902.310037468</v>
          </cell>
          <cell r="V58">
            <v>18393.353533098099</v>
          </cell>
          <cell r="W58">
            <v>6368.1460691981501</v>
          </cell>
          <cell r="X58">
            <v>5813.3771107443699</v>
          </cell>
          <cell r="Y58">
            <v>3278.9835681526201</v>
          </cell>
          <cell r="Z58">
            <v>128168.983594415</v>
          </cell>
        </row>
        <row r="59">
          <cell r="A59" t="str">
            <v>Terengganu</v>
          </cell>
          <cell r="B59">
            <v>11</v>
          </cell>
          <cell r="C59">
            <v>1632.03023518903</v>
          </cell>
          <cell r="D59">
            <v>1213.60403151183</v>
          </cell>
          <cell r="E59">
            <v>115.89749741553899</v>
          </cell>
          <cell r="F59">
            <v>302.52870626165799</v>
          </cell>
          <cell r="I59">
            <v>8.4853156375849998</v>
          </cell>
          <cell r="J59">
            <v>7757.7226199588704</v>
          </cell>
          <cell r="K59">
            <v>88.477375724607299</v>
          </cell>
          <cell r="L59">
            <v>30.998203227151102</v>
          </cell>
          <cell r="M59">
            <v>159.00427529570399</v>
          </cell>
          <cell r="N59">
            <v>6889.1668489984704</v>
          </cell>
          <cell r="O59">
            <v>518.66213133559404</v>
          </cell>
          <cell r="P59">
            <v>2.1352792242413798</v>
          </cell>
          <cell r="Q59">
            <v>69.2785061531022</v>
          </cell>
          <cell r="R59">
            <v>603.41107275533398</v>
          </cell>
          <cell r="S59">
            <v>8102.3395455419704</v>
          </cell>
          <cell r="T59">
            <v>3243.2024056691098</v>
          </cell>
          <cell r="U59">
            <v>1394.7085072134</v>
          </cell>
          <cell r="V59">
            <v>694.77328642060502</v>
          </cell>
          <cell r="W59">
            <v>811.97478768015003</v>
          </cell>
          <cell r="X59">
            <v>1957.6805585587099</v>
          </cell>
          <cell r="Y59">
            <v>18.347235427577601</v>
          </cell>
          <cell r="Z59">
            <v>18122.336024510401</v>
          </cell>
        </row>
        <row r="60">
          <cell r="A60" t="str">
            <v>Sabah</v>
          </cell>
          <cell r="B60">
            <v>12</v>
          </cell>
          <cell r="C60">
            <v>10473.6851868717</v>
          </cell>
          <cell r="D60">
            <v>6649.4434108846299</v>
          </cell>
          <cell r="E60">
            <v>2350.7109363234599</v>
          </cell>
          <cell r="F60">
            <v>1473.5308396635801</v>
          </cell>
          <cell r="I60">
            <v>4337.8093032542602</v>
          </cell>
          <cell r="J60">
            <v>3333.3739198400399</v>
          </cell>
          <cell r="K60">
            <v>1798.1778391012499</v>
          </cell>
          <cell r="L60">
            <v>25.6433466475467</v>
          </cell>
          <cell r="M60">
            <v>951.56155341564397</v>
          </cell>
          <cell r="N60">
            <v>135.53863364202101</v>
          </cell>
          <cell r="O60">
            <v>271.05142728774501</v>
          </cell>
          <cell r="P60">
            <v>5.4930951319208701</v>
          </cell>
          <cell r="Q60">
            <v>145.908024613919</v>
          </cell>
          <cell r="R60">
            <v>840.29687091461801</v>
          </cell>
          <cell r="S60">
            <v>16185.047988680901</v>
          </cell>
          <cell r="T60">
            <v>2960.43603328276</v>
          </cell>
          <cell r="U60">
            <v>4960.1351085597598</v>
          </cell>
          <cell r="V60">
            <v>3615.4442009204899</v>
          </cell>
          <cell r="W60">
            <v>1512.9524147253101</v>
          </cell>
          <cell r="X60">
            <v>3136.08023119257</v>
          </cell>
          <cell r="Y60">
            <v>147.46786560562299</v>
          </cell>
          <cell r="Z60">
            <v>35317.681135167099</v>
          </cell>
        </row>
        <row r="61">
          <cell r="A61" t="str">
            <v>Sarawak</v>
          </cell>
          <cell r="B61">
            <v>13</v>
          </cell>
          <cell r="C61">
            <v>7345.8647333568897</v>
          </cell>
          <cell r="D61">
            <v>3002.2261686759002</v>
          </cell>
          <cell r="E61">
            <v>3887.7395540604298</v>
          </cell>
          <cell r="F61">
            <v>455.89901062055998</v>
          </cell>
          <cell r="I61">
            <v>17638.187917930001</v>
          </cell>
          <cell r="J61">
            <v>18773.714830696699</v>
          </cell>
          <cell r="K61">
            <v>546.06391167258596</v>
          </cell>
          <cell r="L61">
            <v>18.795457030879</v>
          </cell>
          <cell r="M61">
            <v>2067.6013768422699</v>
          </cell>
          <cell r="N61">
            <v>14494.2306334652</v>
          </cell>
          <cell r="O61">
            <v>512.61185664636503</v>
          </cell>
          <cell r="P61">
            <v>561.256735586579</v>
          </cell>
          <cell r="Q61">
            <v>573.15485945285502</v>
          </cell>
          <cell r="R61">
            <v>1622.8423701986801</v>
          </cell>
          <cell r="S61">
            <v>19659.2988161182</v>
          </cell>
          <cell r="T61">
            <v>4623.3250709520198</v>
          </cell>
          <cell r="U61">
            <v>5117.2655804817005</v>
          </cell>
          <cell r="V61">
            <v>4783.3485571312603</v>
          </cell>
          <cell r="W61">
            <v>2046.85884014463</v>
          </cell>
          <cell r="X61">
            <v>3088.50076740861</v>
          </cell>
          <cell r="Y61">
            <v>243.33206775263201</v>
          </cell>
          <cell r="Z61">
            <v>65283.2407360531</v>
          </cell>
        </row>
        <row r="62">
          <cell r="A62" t="str">
            <v>WP Kuala Lumpur</v>
          </cell>
          <cell r="B62">
            <v>14</v>
          </cell>
          <cell r="C62">
            <v>2.10811167021367</v>
          </cell>
          <cell r="D62">
            <v>2.10811167021367</v>
          </cell>
          <cell r="E62">
            <v>0</v>
          </cell>
          <cell r="F62">
            <v>0</v>
          </cell>
          <cell r="I62">
            <v>26.115905406038401</v>
          </cell>
          <cell r="J62">
            <v>3910.5714731828598</v>
          </cell>
          <cell r="K62">
            <v>386.20834435930999</v>
          </cell>
          <cell r="L62">
            <v>405.675185998367</v>
          </cell>
          <cell r="M62">
            <v>1120.099688883</v>
          </cell>
          <cell r="N62">
            <v>488.72544545218102</v>
          </cell>
          <cell r="O62">
            <v>579.28053505736602</v>
          </cell>
          <cell r="P62">
            <v>403.047947818924</v>
          </cell>
          <cell r="Q62">
            <v>527.53432561371005</v>
          </cell>
          <cell r="R62">
            <v>3007.1003220847301</v>
          </cell>
          <cell r="S62">
            <v>70519.619051935195</v>
          </cell>
          <cell r="T62">
            <v>4793.4802553273303</v>
          </cell>
          <cell r="U62">
            <v>26592.6088788696</v>
          </cell>
          <cell r="V62">
            <v>27016.7380854943</v>
          </cell>
          <cell r="W62">
            <v>3798.2641140737701</v>
          </cell>
          <cell r="X62">
            <v>8318.5277181701003</v>
          </cell>
          <cell r="Y62">
            <v>836.53238728178405</v>
          </cell>
          <cell r="Z62">
            <v>78302.047251560798</v>
          </cell>
        </row>
        <row r="63">
          <cell r="A63" t="str">
            <v>WP Labuan</v>
          </cell>
          <cell r="B63">
            <v>15</v>
          </cell>
          <cell r="C63">
            <v>103.865070873119</v>
          </cell>
          <cell r="D63">
            <v>6.7124170983965996</v>
          </cell>
          <cell r="E63">
            <v>0</v>
          </cell>
          <cell r="F63">
            <v>97.152653774722395</v>
          </cell>
          <cell r="I63">
            <v>0</v>
          </cell>
          <cell r="J63">
            <v>839.74064273709098</v>
          </cell>
          <cell r="K63">
            <v>22.786079043617999</v>
          </cell>
          <cell r="L63">
            <v>2.3822621176249501</v>
          </cell>
          <cell r="M63">
            <v>1.6646989143698101</v>
          </cell>
          <cell r="N63">
            <v>386.54407577023301</v>
          </cell>
          <cell r="O63">
            <v>413.81621392384602</v>
          </cell>
          <cell r="P63">
            <v>0</v>
          </cell>
          <cell r="Q63">
            <v>12.547312967399</v>
          </cell>
          <cell r="R63">
            <v>18.286791709978299</v>
          </cell>
          <cell r="S63">
            <v>1699.0669193485401</v>
          </cell>
          <cell r="T63">
            <v>191.114127334313</v>
          </cell>
          <cell r="U63">
            <v>206.74804917637601</v>
          </cell>
          <cell r="V63">
            <v>1185.6698268964899</v>
          </cell>
          <cell r="W63">
            <v>63.861886646380597</v>
          </cell>
          <cell r="X63">
            <v>51.673029294981802</v>
          </cell>
          <cell r="Y63">
            <v>17.074881227044699</v>
          </cell>
          <cell r="Z63">
            <v>2678.0343058957801</v>
          </cell>
        </row>
        <row r="64">
          <cell r="A64" t="str">
            <v>Supra1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I64">
            <v>50274.226086704599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50274.226086704599</v>
          </cell>
        </row>
        <row r="65">
          <cell r="A65" t="str">
            <v>MALAYSIA</v>
          </cell>
          <cell r="C65">
            <v>48187.881112145697</v>
          </cell>
          <cell r="D65">
            <v>33920.9747952947</v>
          </cell>
          <cell r="E65">
            <v>7925.9523854908302</v>
          </cell>
          <cell r="F65">
            <v>6340.9539313602199</v>
          </cell>
          <cell r="I65">
            <v>72758.484274225499</v>
          </cell>
          <cell r="J65">
            <v>165879.45540217799</v>
          </cell>
          <cell r="K65">
            <v>15149.981484566</v>
          </cell>
          <cell r="L65">
            <v>3261.4740081149198</v>
          </cell>
          <cell r="M65">
            <v>12290.1431556931</v>
          </cell>
          <cell r="N65">
            <v>45802.169504751197</v>
          </cell>
          <cell r="O65">
            <v>17618.602334589199</v>
          </cell>
          <cell r="P65">
            <v>52532.297278191698</v>
          </cell>
          <cell r="Q65">
            <v>19224.7876362723</v>
          </cell>
          <cell r="R65">
            <v>17390.5739465685</v>
          </cell>
          <cell r="S65">
            <v>299933.34239847102</v>
          </cell>
          <cell r="T65">
            <v>57402.403871686198</v>
          </cell>
          <cell r="U65">
            <v>91404.971381981901</v>
          </cell>
          <cell r="V65">
            <v>79673.200124777097</v>
          </cell>
          <cell r="W65">
            <v>29958.5279617661</v>
          </cell>
          <cell r="X65">
            <v>41494.2390582593</v>
          </cell>
          <cell r="Y65">
            <v>5937.4319206691798</v>
          </cell>
          <cell r="Z65">
            <v>610087.16905425803</v>
          </cell>
        </row>
        <row r="68">
          <cell r="A68" t="str">
            <v>CONSTANT</v>
          </cell>
          <cell r="B68" t="str">
            <v>Industry</v>
          </cell>
          <cell r="D68">
            <v>1</v>
          </cell>
          <cell r="E68">
            <v>2</v>
          </cell>
          <cell r="F68">
            <v>3</v>
          </cell>
          <cell r="I68">
            <v>4</v>
          </cell>
          <cell r="K68">
            <v>6</v>
          </cell>
          <cell r="L68">
            <v>7</v>
          </cell>
          <cell r="M68">
            <v>8</v>
          </cell>
          <cell r="N68">
            <v>9</v>
          </cell>
          <cell r="O68">
            <v>10</v>
          </cell>
          <cell r="P68">
            <v>11</v>
          </cell>
          <cell r="Q68">
            <v>12</v>
          </cell>
          <cell r="R68">
            <v>5</v>
          </cell>
          <cell r="T68">
            <v>13</v>
          </cell>
          <cell r="U68">
            <v>14</v>
          </cell>
          <cell r="V68">
            <v>15</v>
          </cell>
          <cell r="W68">
            <v>16</v>
          </cell>
        </row>
        <row r="69">
          <cell r="A69">
            <v>2008</v>
          </cell>
          <cell r="B69" t="str">
            <v>I</v>
          </cell>
          <cell r="C69" t="str">
            <v>Agriculture</v>
          </cell>
          <cell r="D69" t="str">
            <v>Tanaman</v>
          </cell>
          <cell r="E69" t="str">
            <v>Pembalakan</v>
          </cell>
          <cell r="F69" t="str">
            <v>Perikanan</v>
          </cell>
          <cell r="I69" t="str">
            <v>Mining and
Quarrying</v>
          </cell>
          <cell r="J69" t="str">
            <v>Manufacturing</v>
          </cell>
          <cell r="K69" t="str">
            <v>Prosesan Makanan, Minuman dan Produk Tembakau</v>
          </cell>
          <cell r="L69" t="str">
            <v>Tekstil, Pakaian, Kulit dan Kasut</v>
          </cell>
          <cell r="M69" t="str">
            <v>Keluaran Kayu, Perabot, Produk Kertas, Percetakan dan Penerbitan</v>
          </cell>
          <cell r="N69" t="str">
            <v>Produk Petroleum, Bahan kimia, Getah dan Plastik</v>
          </cell>
          <cell r="O69" t="str">
            <v>Produk Mineral Bukan Logam, Logam Asli dan Produk Logam Yang Direka</v>
          </cell>
          <cell r="P69" t="str">
            <v>Elektrik dan Elektronik</v>
          </cell>
          <cell r="Q69" t="str">
            <v>Kelengkapan Pengangkutan dan Pembuatan Lain</v>
          </cell>
          <cell r="R69" t="str">
            <v>Construction</v>
          </cell>
          <cell r="S69" t="str">
            <v>Services</v>
          </cell>
          <cell r="T69" t="str">
            <v>Utiliti, Transport &amp; Communication</v>
          </cell>
          <cell r="U69" t="str">
            <v>WRT, Accomm &amp; Restaurant</v>
          </cell>
          <cell r="V69" t="str">
            <v>Finance &amp; Insurance, Real Estate &amp; Business Services</v>
          </cell>
          <cell r="W69" t="str">
            <v>Other Services</v>
          </cell>
          <cell r="X69" t="str">
            <v>Government Services</v>
          </cell>
          <cell r="Y69" t="str">
            <v>Plus :
Import Duties</v>
          </cell>
          <cell r="Z69" t="str">
            <v>GDP at
Purchasers' Prices</v>
          </cell>
        </row>
        <row r="70">
          <cell r="A70" t="str">
            <v>States</v>
          </cell>
          <cell r="B70" t="str">
            <v>Converter</v>
          </cell>
        </row>
        <row r="71">
          <cell r="A71" t="str">
            <v>Johor</v>
          </cell>
          <cell r="B71" t="str">
            <v>01</v>
          </cell>
          <cell r="C71">
            <v>7170.5642833848297</v>
          </cell>
          <cell r="D71">
            <v>6552.3323969553603</v>
          </cell>
          <cell r="E71">
            <v>53.570652274507502</v>
          </cell>
          <cell r="F71">
            <v>564.66123415495804</v>
          </cell>
          <cell r="I71">
            <v>53.974312406284497</v>
          </cell>
          <cell r="J71">
            <v>20027.698931422499</v>
          </cell>
          <cell r="K71">
            <v>2237.44821476371</v>
          </cell>
          <cell r="L71">
            <v>886.10036568846795</v>
          </cell>
          <cell r="M71">
            <v>1629.6346386585401</v>
          </cell>
          <cell r="N71">
            <v>3795.0370578501402</v>
          </cell>
          <cell r="O71">
            <v>2785.61796350646</v>
          </cell>
          <cell r="P71">
            <v>6962.8762218903703</v>
          </cell>
          <cell r="Q71">
            <v>1730.9844690647899</v>
          </cell>
          <cell r="R71">
            <v>1597.09857176644</v>
          </cell>
          <cell r="S71">
            <v>27296.435615271399</v>
          </cell>
          <cell r="T71">
            <v>6090.7424245899101</v>
          </cell>
          <cell r="U71">
            <v>6594.7816774399598</v>
          </cell>
          <cell r="V71">
            <v>7868.2839034950102</v>
          </cell>
          <cell r="W71">
            <v>2685.0853995655002</v>
          </cell>
          <cell r="X71">
            <v>4057.54221018098</v>
          </cell>
          <cell r="Y71">
            <v>844.05037865614395</v>
          </cell>
          <cell r="Z71">
            <v>56989.822092907503</v>
          </cell>
        </row>
        <row r="72">
          <cell r="A72" t="str">
            <v>Kedah</v>
          </cell>
          <cell r="B72" t="str">
            <v>02</v>
          </cell>
          <cell r="C72">
            <v>2748.1771608968802</v>
          </cell>
          <cell r="D72">
            <v>2288.3694176890999</v>
          </cell>
          <cell r="E72">
            <v>111.010602879665</v>
          </cell>
          <cell r="F72">
            <v>348.797140328117</v>
          </cell>
          <cell r="I72">
            <v>18.239695550862301</v>
          </cell>
          <cell r="J72">
            <v>6957.01496376864</v>
          </cell>
          <cell r="K72">
            <v>312.23867581872599</v>
          </cell>
          <cell r="L72">
            <v>58.534298160208799</v>
          </cell>
          <cell r="M72">
            <v>433.20309421368199</v>
          </cell>
          <cell r="N72">
            <v>1355.4752458636899</v>
          </cell>
          <cell r="O72">
            <v>2010.05922817587</v>
          </cell>
          <cell r="P72">
            <v>1883.5947183666101</v>
          </cell>
          <cell r="Q72">
            <v>903.90970316987</v>
          </cell>
          <cell r="R72">
            <v>571.38911527631399</v>
          </cell>
          <cell r="S72">
            <v>10774.2800166954</v>
          </cell>
          <cell r="T72">
            <v>1586.08816408142</v>
          </cell>
          <cell r="U72">
            <v>2801.87031589756</v>
          </cell>
          <cell r="V72">
            <v>2035.2337212831801</v>
          </cell>
          <cell r="W72">
            <v>1798.1172809443001</v>
          </cell>
          <cell r="X72">
            <v>2552.9705344889198</v>
          </cell>
          <cell r="Y72">
            <v>139.64890039374501</v>
          </cell>
          <cell r="Z72">
            <v>21208.749852581801</v>
          </cell>
        </row>
        <row r="73">
          <cell r="A73" t="str">
            <v>Kelantan</v>
          </cell>
          <cell r="B73" t="str">
            <v>03</v>
          </cell>
          <cell r="C73">
            <v>3027.6310674799702</v>
          </cell>
          <cell r="D73">
            <v>2152.0116431654001</v>
          </cell>
          <cell r="E73">
            <v>606.16328206114895</v>
          </cell>
          <cell r="F73">
            <v>269.45614225342302</v>
          </cell>
          <cell r="I73">
            <v>15.925022656613001</v>
          </cell>
          <cell r="J73">
            <v>572.15677675997199</v>
          </cell>
          <cell r="K73">
            <v>99.081637376973802</v>
          </cell>
          <cell r="L73">
            <v>51.710970220077101</v>
          </cell>
          <cell r="M73">
            <v>72.546847023653996</v>
          </cell>
          <cell r="N73">
            <v>83.620713062007098</v>
          </cell>
          <cell r="O73">
            <v>54.650643089896597</v>
          </cell>
          <cell r="P73">
            <v>201.49060798824399</v>
          </cell>
          <cell r="Q73">
            <v>9.0553579991195896</v>
          </cell>
          <cell r="R73">
            <v>175.86575138221801</v>
          </cell>
          <cell r="S73">
            <v>7393.6547099700801</v>
          </cell>
          <cell r="T73">
            <v>824.08031562158999</v>
          </cell>
          <cell r="U73">
            <v>2057.9749224587299</v>
          </cell>
          <cell r="V73">
            <v>920.86422992535597</v>
          </cell>
          <cell r="W73">
            <v>1262.6577309111999</v>
          </cell>
          <cell r="X73">
            <v>2328.0775110531999</v>
          </cell>
          <cell r="Y73">
            <v>18.0995391250277</v>
          </cell>
          <cell r="Z73">
            <v>11203.3328673739</v>
          </cell>
        </row>
        <row r="74">
          <cell r="A74" t="str">
            <v>Melaka</v>
          </cell>
          <cell r="B74" t="str">
            <v>04</v>
          </cell>
          <cell r="C74">
            <v>1252.3213332514199</v>
          </cell>
          <cell r="D74">
            <v>1225.31767718993</v>
          </cell>
          <cell r="E74">
            <v>0.27325933110072698</v>
          </cell>
          <cell r="F74">
            <v>26.730396730389899</v>
          </cell>
          <cell r="I74">
            <v>8.1132989453658606</v>
          </cell>
          <cell r="J74">
            <v>8527.0481185479202</v>
          </cell>
          <cell r="K74">
            <v>342.85015923026702</v>
          </cell>
          <cell r="L74">
            <v>189.85552542873799</v>
          </cell>
          <cell r="M74">
            <v>401.68897417256602</v>
          </cell>
          <cell r="N74">
            <v>3249.9228676149</v>
          </cell>
          <cell r="O74">
            <v>594.37140616983504</v>
          </cell>
          <cell r="P74">
            <v>2223.9017940836602</v>
          </cell>
          <cell r="Q74">
            <v>1524.45739184795</v>
          </cell>
          <cell r="R74">
            <v>523.57995395986302</v>
          </cell>
          <cell r="S74">
            <v>7927.08095236587</v>
          </cell>
          <cell r="T74">
            <v>1453.1112885344901</v>
          </cell>
          <cell r="U74">
            <v>2669.98556973717</v>
          </cell>
          <cell r="V74">
            <v>1568.19399157097</v>
          </cell>
          <cell r="W74">
            <v>1051.7554282571</v>
          </cell>
          <cell r="X74">
            <v>1184.03467426615</v>
          </cell>
          <cell r="Y74">
            <v>11.4618260640027</v>
          </cell>
          <cell r="Z74">
            <v>18249.605483134401</v>
          </cell>
        </row>
        <row r="75">
          <cell r="A75" t="str">
            <v>Negeri Sembilan</v>
          </cell>
          <cell r="B75" t="str">
            <v>05</v>
          </cell>
          <cell r="C75">
            <v>1832.08891157927</v>
          </cell>
          <cell r="D75">
            <v>1773.65348057865</v>
          </cell>
          <cell r="E75">
            <v>31.470822994454402</v>
          </cell>
          <cell r="F75">
            <v>26.964608006166099</v>
          </cell>
          <cell r="I75">
            <v>19.239437471789</v>
          </cell>
          <cell r="J75">
            <v>12037.523484368199</v>
          </cell>
          <cell r="K75">
            <v>1157.1717543028701</v>
          </cell>
          <cell r="L75">
            <v>468.15762514419498</v>
          </cell>
          <cell r="M75">
            <v>321.67196918713699</v>
          </cell>
          <cell r="N75">
            <v>2993.8336955334898</v>
          </cell>
          <cell r="O75">
            <v>934.14198202758598</v>
          </cell>
          <cell r="P75">
            <v>5126.0242008203104</v>
          </cell>
          <cell r="Q75">
            <v>1036.5222573526401</v>
          </cell>
          <cell r="R75">
            <v>495.027490900494</v>
          </cell>
          <cell r="S75">
            <v>9154.7227376740193</v>
          </cell>
          <cell r="T75">
            <v>2141.9358079268</v>
          </cell>
          <cell r="U75">
            <v>2308.7027253908</v>
          </cell>
          <cell r="V75">
            <v>1927.19666318128</v>
          </cell>
          <cell r="W75">
            <v>1202.93770936334</v>
          </cell>
          <cell r="X75">
            <v>1573.9498318117901</v>
          </cell>
          <cell r="Y75">
            <v>117.980859251675</v>
          </cell>
          <cell r="Z75">
            <v>23656.582921245499</v>
          </cell>
        </row>
        <row r="76">
          <cell r="A76" t="str">
            <v>Pahang</v>
          </cell>
          <cell r="B76" t="str">
            <v>06</v>
          </cell>
          <cell r="C76">
            <v>5455.0762771085901</v>
          </cell>
          <cell r="D76">
            <v>4452.4266430297102</v>
          </cell>
          <cell r="E76">
            <v>470.116956441659</v>
          </cell>
          <cell r="F76">
            <v>532.53267763721999</v>
          </cell>
          <cell r="I76">
            <v>100.36584932021999</v>
          </cell>
          <cell r="J76">
            <v>7210.2004057692702</v>
          </cell>
          <cell r="K76">
            <v>769.87151506442399</v>
          </cell>
          <cell r="L76">
            <v>12.385865540607201</v>
          </cell>
          <cell r="M76">
            <v>413.97902222490598</v>
          </cell>
          <cell r="N76">
            <v>3068.0492317742501</v>
          </cell>
          <cell r="O76">
            <v>769.63818148399798</v>
          </cell>
          <cell r="P76">
            <v>51.3753888189731</v>
          </cell>
          <cell r="Q76">
            <v>2124.9012008621198</v>
          </cell>
          <cell r="R76">
            <v>661.57161300783503</v>
          </cell>
          <cell r="S76">
            <v>12973.6076465391</v>
          </cell>
          <cell r="T76">
            <v>1378.1853080583901</v>
          </cell>
          <cell r="U76">
            <v>4148.2442956492296</v>
          </cell>
          <cell r="V76">
            <v>1753.4240565396999</v>
          </cell>
          <cell r="W76">
            <v>3208.2121272485101</v>
          </cell>
          <cell r="X76">
            <v>2485.5418590432901</v>
          </cell>
          <cell r="Y76">
            <v>63.757302087708602</v>
          </cell>
          <cell r="Z76">
            <v>26464.579093832799</v>
          </cell>
        </row>
        <row r="77">
          <cell r="A77" t="str">
            <v>Pulau Pinang</v>
          </cell>
          <cell r="B77" t="str">
            <v>07</v>
          </cell>
          <cell r="C77">
            <v>749.94035118466797</v>
          </cell>
          <cell r="D77">
            <v>526.21122120474399</v>
          </cell>
          <cell r="E77">
            <v>0</v>
          </cell>
          <cell r="F77">
            <v>223.72912997992401</v>
          </cell>
          <cell r="I77">
            <v>18.986404553479499</v>
          </cell>
          <cell r="J77">
            <v>26348.444882624201</v>
          </cell>
          <cell r="K77">
            <v>689.29693633182296</v>
          </cell>
          <cell r="L77">
            <v>490.58533614708301</v>
          </cell>
          <cell r="M77">
            <v>767.56532285628998</v>
          </cell>
          <cell r="N77">
            <v>1888.14782222227</v>
          </cell>
          <cell r="O77">
            <v>1809.1693963134801</v>
          </cell>
          <cell r="P77">
            <v>19072.286939373898</v>
          </cell>
          <cell r="Q77">
            <v>1631.39312937931</v>
          </cell>
          <cell r="R77">
            <v>1004.94153188345</v>
          </cell>
          <cell r="S77">
            <v>20266.906143440901</v>
          </cell>
          <cell r="T77">
            <v>4211.9582272429398</v>
          </cell>
          <cell r="U77">
            <v>5915.1172258340403</v>
          </cell>
          <cell r="V77">
            <v>5883.18430518072</v>
          </cell>
          <cell r="W77">
            <v>2013.78632840968</v>
          </cell>
          <cell r="X77">
            <v>2242.8600567734702</v>
          </cell>
          <cell r="Y77">
            <v>359.64911542058502</v>
          </cell>
          <cell r="Z77">
            <v>48748.868429107199</v>
          </cell>
        </row>
        <row r="78">
          <cell r="A78" t="str">
            <v>Perak</v>
          </cell>
          <cell r="B78" t="str">
            <v>08</v>
          </cell>
          <cell r="C78">
            <v>5067.8059180852897</v>
          </cell>
          <cell r="D78">
            <v>3719.44414090086</v>
          </cell>
          <cell r="E78">
            <v>368.25569428126801</v>
          </cell>
          <cell r="F78">
            <v>980.10608290315702</v>
          </cell>
          <cell r="I78">
            <v>103.184457255374</v>
          </cell>
          <cell r="J78">
            <v>6605.2252252100297</v>
          </cell>
          <cell r="K78">
            <v>869.57174628031896</v>
          </cell>
          <cell r="L78">
            <v>197.240495601915</v>
          </cell>
          <cell r="M78">
            <v>312.94982545181699</v>
          </cell>
          <cell r="N78">
            <v>1474.0761624444301</v>
          </cell>
          <cell r="O78">
            <v>1534.8566587800401</v>
          </cell>
          <cell r="P78">
            <v>1699.8833316723999</v>
          </cell>
          <cell r="Q78">
            <v>516.64700497911201</v>
          </cell>
          <cell r="R78">
            <v>582.50096026431402</v>
          </cell>
          <cell r="S78">
            <v>20679.2256318416</v>
          </cell>
          <cell r="T78">
            <v>5833.6995245607004</v>
          </cell>
          <cell r="U78">
            <v>4823.5297935970402</v>
          </cell>
          <cell r="V78">
            <v>3897.9275608838998</v>
          </cell>
          <cell r="W78">
            <v>2642.6796385010898</v>
          </cell>
          <cell r="X78">
            <v>3481.38911429888</v>
          </cell>
          <cell r="Y78">
            <v>21.596787120596598</v>
          </cell>
          <cell r="Z78">
            <v>33059.5389797772</v>
          </cell>
        </row>
        <row r="79">
          <cell r="A79" t="str">
            <v>Perlis</v>
          </cell>
          <cell r="B79" t="str">
            <v>09</v>
          </cell>
          <cell r="C79">
            <v>935.57928140876095</v>
          </cell>
          <cell r="D79">
            <v>268.76405732769098</v>
          </cell>
          <cell r="E79">
            <v>0</v>
          </cell>
          <cell r="F79">
            <v>666.81522408107003</v>
          </cell>
          <cell r="I79">
            <v>7.8015227651921801</v>
          </cell>
          <cell r="J79">
            <v>349.32019348366998</v>
          </cell>
          <cell r="K79">
            <v>54.502227089057698</v>
          </cell>
          <cell r="L79">
            <v>51.629230750296998</v>
          </cell>
          <cell r="M79">
            <v>4.1927671943535598</v>
          </cell>
          <cell r="N79">
            <v>95.164894575306803</v>
          </cell>
          <cell r="O79">
            <v>142.89041771363799</v>
          </cell>
          <cell r="P79">
            <v>0.41720944774469298</v>
          </cell>
          <cell r="Q79">
            <v>0.52344671327310199</v>
          </cell>
          <cell r="R79">
            <v>101.26540747310899</v>
          </cell>
          <cell r="S79">
            <v>1789.43683170176</v>
          </cell>
          <cell r="T79">
            <v>618.26873703333501</v>
          </cell>
          <cell r="U79">
            <v>250.42582661869599</v>
          </cell>
          <cell r="V79">
            <v>229.64700012768901</v>
          </cell>
          <cell r="W79">
            <v>238.11756091022201</v>
          </cell>
          <cell r="X79">
            <v>452.97770701181599</v>
          </cell>
          <cell r="Y79">
            <v>66.343859851239401</v>
          </cell>
          <cell r="Z79">
            <v>3249.74709668373</v>
          </cell>
        </row>
        <row r="80">
          <cell r="A80" t="str">
            <v>Selangor</v>
          </cell>
          <cell r="B80">
            <v>10</v>
          </cell>
          <cell r="C80">
            <v>2306.4004204636199</v>
          </cell>
          <cell r="D80">
            <v>1636.27720951693</v>
          </cell>
          <cell r="E80">
            <v>13.6682036104921</v>
          </cell>
          <cell r="F80">
            <v>656.45500733619497</v>
          </cell>
          <cell r="I80">
            <v>121.688062496567</v>
          </cell>
          <cell r="J80">
            <v>44795.331237077102</v>
          </cell>
          <cell r="K80">
            <v>6715.4856658059798</v>
          </cell>
          <cell r="L80">
            <v>528.29252835263401</v>
          </cell>
          <cell r="M80">
            <v>3810.00459350437</v>
          </cell>
          <cell r="N80">
            <v>5878.6944612834995</v>
          </cell>
          <cell r="O80">
            <v>5875.0931975616904</v>
          </cell>
          <cell r="P80">
            <v>11039.3291554592</v>
          </cell>
          <cell r="Q80">
            <v>10948.4316351097</v>
          </cell>
          <cell r="R80">
            <v>6243.9686026801</v>
          </cell>
          <cell r="S80">
            <v>81917.655086211103</v>
          </cell>
          <cell r="T80">
            <v>19834.486867533</v>
          </cell>
          <cell r="U80">
            <v>27732.002140549001</v>
          </cell>
          <cell r="V80">
            <v>21135.3151207962</v>
          </cell>
          <cell r="W80">
            <v>6917.3595796658901</v>
          </cell>
          <cell r="X80">
            <v>6298.4913776670401</v>
          </cell>
          <cell r="Y80">
            <v>4492.0200225018598</v>
          </cell>
          <cell r="Z80">
            <v>139877.06343143</v>
          </cell>
        </row>
        <row r="81">
          <cell r="A81" t="str">
            <v>Terengganu</v>
          </cell>
          <cell r="B81">
            <v>11</v>
          </cell>
          <cell r="C81">
            <v>1868.7466500673299</v>
          </cell>
          <cell r="D81">
            <v>1376.63104168482</v>
          </cell>
          <cell r="E81">
            <v>123.549504003599</v>
          </cell>
          <cell r="F81">
            <v>368.56610437891601</v>
          </cell>
          <cell r="I81">
            <v>9.5909415136728509</v>
          </cell>
          <cell r="J81">
            <v>7568.4216460510097</v>
          </cell>
          <cell r="K81">
            <v>60.844329089771499</v>
          </cell>
          <cell r="L81">
            <v>30.1785211503163</v>
          </cell>
          <cell r="M81">
            <v>108.103254450601</v>
          </cell>
          <cell r="N81">
            <v>6666.2671079688998</v>
          </cell>
          <cell r="O81">
            <v>590.64019872650704</v>
          </cell>
          <cell r="P81">
            <v>2.89261597011456</v>
          </cell>
          <cell r="Q81">
            <v>109.49561869479101</v>
          </cell>
          <cell r="R81">
            <v>571.792479817051</v>
          </cell>
          <cell r="S81">
            <v>8459.2870635188992</v>
          </cell>
          <cell r="T81">
            <v>3335.1416614582399</v>
          </cell>
          <cell r="U81">
            <v>1527.3126581572801</v>
          </cell>
          <cell r="V81">
            <v>753.40514713643597</v>
          </cell>
          <cell r="W81">
            <v>853.55315647359896</v>
          </cell>
          <cell r="X81">
            <v>1989.8744402933401</v>
          </cell>
          <cell r="Y81">
            <v>22.352791701644001</v>
          </cell>
          <cell r="Z81">
            <v>18500.191572669599</v>
          </cell>
        </row>
        <row r="82">
          <cell r="A82" t="str">
            <v>Sabah</v>
          </cell>
          <cell r="B82">
            <v>12</v>
          </cell>
          <cell r="C82">
            <v>10094.902381182599</v>
          </cell>
          <cell r="D82">
            <v>6662.8019414520804</v>
          </cell>
          <cell r="E82">
            <v>1916.47704071711</v>
          </cell>
          <cell r="F82">
            <v>1515.6233990134201</v>
          </cell>
          <cell r="I82">
            <v>8037.0394100663098</v>
          </cell>
          <cell r="J82">
            <v>3412.1274698001698</v>
          </cell>
          <cell r="K82">
            <v>1951.46261811467</v>
          </cell>
          <cell r="L82">
            <v>30.8890325568645</v>
          </cell>
          <cell r="M82">
            <v>896.60369368980196</v>
          </cell>
          <cell r="N82">
            <v>130.35469092791101</v>
          </cell>
          <cell r="O82">
            <v>264.13360365970101</v>
          </cell>
          <cell r="P82">
            <v>7.1228420514294299</v>
          </cell>
          <cell r="Q82">
            <v>131.56098879979601</v>
          </cell>
          <cell r="R82">
            <v>823.31542778865503</v>
          </cell>
          <cell r="S82">
            <v>16548.3369776412</v>
          </cell>
          <cell r="T82">
            <v>3155.34217557493</v>
          </cell>
          <cell r="U82">
            <v>5386.8789916800997</v>
          </cell>
          <cell r="V82">
            <v>3170.1727072173899</v>
          </cell>
          <cell r="W82">
            <v>1600.27552420761</v>
          </cell>
          <cell r="X82">
            <v>3235.66757896117</v>
          </cell>
          <cell r="Y82">
            <v>198.26699960755701</v>
          </cell>
          <cell r="Z82">
            <v>39113.988666086501</v>
          </cell>
        </row>
        <row r="83">
          <cell r="A83" t="str">
            <v>Sarawak</v>
          </cell>
          <cell r="B83">
            <v>13</v>
          </cell>
          <cell r="C83">
            <v>7415.2679328992299</v>
          </cell>
          <cell r="D83">
            <v>3152.3724412413499</v>
          </cell>
          <cell r="E83">
            <v>3831.8281290446598</v>
          </cell>
          <cell r="F83">
            <v>431.06736261321799</v>
          </cell>
          <cell r="I83">
            <v>16465.054567110299</v>
          </cell>
          <cell r="J83">
            <v>18472.101260906202</v>
          </cell>
          <cell r="K83">
            <v>587.73011486882899</v>
          </cell>
          <cell r="L83">
            <v>20.5740816912508</v>
          </cell>
          <cell r="M83">
            <v>1478.17446056941</v>
          </cell>
          <cell r="N83">
            <v>14918.7790363242</v>
          </cell>
          <cell r="O83">
            <v>462.07136159612202</v>
          </cell>
          <cell r="P83">
            <v>489.41684695457099</v>
          </cell>
          <cell r="Q83">
            <v>515.35535890174697</v>
          </cell>
          <cell r="R83">
            <v>1584.5546063460699</v>
          </cell>
          <cell r="S83">
            <v>21221.6999350355</v>
          </cell>
          <cell r="T83">
            <v>4928.2390888015098</v>
          </cell>
          <cell r="U83">
            <v>5752.67169501841</v>
          </cell>
          <cell r="V83">
            <v>5260.6696718154899</v>
          </cell>
          <cell r="W83">
            <v>2131.7620709674802</v>
          </cell>
          <cell r="X83">
            <v>3148.3574084326401</v>
          </cell>
          <cell r="Y83">
            <v>311.57940890856401</v>
          </cell>
          <cell r="Z83">
            <v>65470.257711205901</v>
          </cell>
        </row>
        <row r="84">
          <cell r="A84" t="str">
            <v>WP Kuala Lumpur</v>
          </cell>
          <cell r="B84">
            <v>14</v>
          </cell>
          <cell r="C84">
            <v>1.8243439513005599</v>
          </cell>
          <cell r="D84">
            <v>1.8243439513005599</v>
          </cell>
          <cell r="E84">
            <v>0</v>
          </cell>
          <cell r="F84">
            <v>0</v>
          </cell>
          <cell r="I84">
            <v>26.4050261874564</v>
          </cell>
          <cell r="J84">
            <v>3672.1549682251498</v>
          </cell>
          <cell r="K84">
            <v>432.68358955642702</v>
          </cell>
          <cell r="L84">
            <v>296.30800336994702</v>
          </cell>
          <cell r="M84">
            <v>1036.5487339948099</v>
          </cell>
          <cell r="N84">
            <v>589.69570351422101</v>
          </cell>
          <cell r="O84">
            <v>501.07118610173001</v>
          </cell>
          <cell r="P84">
            <v>241.79047869049501</v>
          </cell>
          <cell r="Q84">
            <v>574.05727299752505</v>
          </cell>
          <cell r="R84">
            <v>3193.9793919204899</v>
          </cell>
          <cell r="S84">
            <v>77689.654913025704</v>
          </cell>
          <cell r="T84">
            <v>5215.9939333560897</v>
          </cell>
          <cell r="U84">
            <v>29153.1803434828</v>
          </cell>
          <cell r="V84">
            <v>29696.389046616001</v>
          </cell>
          <cell r="W84">
            <v>4092.2781887101501</v>
          </cell>
          <cell r="X84">
            <v>9531.8134008606503</v>
          </cell>
          <cell r="Y84">
            <v>829.82722957740998</v>
          </cell>
          <cell r="Z84">
            <v>85413.845872887498</v>
          </cell>
        </row>
        <row r="85">
          <cell r="A85" t="str">
            <v>WP Labuan</v>
          </cell>
          <cell r="B85">
            <v>15</v>
          </cell>
          <cell r="C85">
            <v>109.50032694180101</v>
          </cell>
          <cell r="D85">
            <v>9.0733866410139097</v>
          </cell>
          <cell r="E85">
            <v>0</v>
          </cell>
          <cell r="F85">
            <v>100.426940300787</v>
          </cell>
          <cell r="I85">
            <v>0</v>
          </cell>
          <cell r="J85">
            <v>593.17885993159598</v>
          </cell>
          <cell r="K85">
            <v>23.962238160576899</v>
          </cell>
          <cell r="L85">
            <v>2.4967399763865399</v>
          </cell>
          <cell r="M85">
            <v>1.50252930750069</v>
          </cell>
          <cell r="N85">
            <v>298.46286538655602</v>
          </cell>
          <cell r="O85">
            <v>256.38808224051598</v>
          </cell>
          <cell r="P85">
            <v>0</v>
          </cell>
          <cell r="Q85">
            <v>10.366404860059401</v>
          </cell>
          <cell r="R85">
            <v>20.509544214180899</v>
          </cell>
          <cell r="S85">
            <v>1619.7325058092599</v>
          </cell>
          <cell r="T85">
            <v>208.12885045006999</v>
          </cell>
          <cell r="U85">
            <v>220.514676171806</v>
          </cell>
          <cell r="V85">
            <v>1057.60027749454</v>
          </cell>
          <cell r="W85">
            <v>64.388805102398393</v>
          </cell>
          <cell r="X85">
            <v>69.099896590450001</v>
          </cell>
          <cell r="Y85">
            <v>26.174126121139601</v>
          </cell>
          <cell r="Z85">
            <v>2369.0953630179802</v>
          </cell>
        </row>
        <row r="86">
          <cell r="A86" t="str">
            <v>Supra1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I86">
            <v>45989.894528632904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45989.894528632904</v>
          </cell>
        </row>
        <row r="87">
          <cell r="A87" t="str">
            <v>MALAYSIA</v>
          </cell>
          <cell r="C87">
            <v>50035.826639885599</v>
          </cell>
          <cell r="D87">
            <v>35797.511042528997</v>
          </cell>
          <cell r="E87">
            <v>7526.3841476396701</v>
          </cell>
          <cell r="F87">
            <v>6711.9314497169698</v>
          </cell>
          <cell r="I87">
            <v>70995.502536932399</v>
          </cell>
          <cell r="J87">
            <v>167147.94842394601</v>
          </cell>
          <cell r="K87">
            <v>16304.201421854401</v>
          </cell>
          <cell r="L87">
            <v>3314.93861977899</v>
          </cell>
          <cell r="M87">
            <v>11688.369726499401</v>
          </cell>
          <cell r="N87">
            <v>46485.581556345802</v>
          </cell>
          <cell r="O87">
            <v>18584.7935071471</v>
          </cell>
          <cell r="P87">
            <v>49002.402351588098</v>
          </cell>
          <cell r="Q87">
            <v>21767.661240731799</v>
          </cell>
          <cell r="R87">
            <v>18151.3604486806</v>
          </cell>
          <cell r="S87">
            <v>325711.716766742</v>
          </cell>
          <cell r="T87">
            <v>60815.402374823403</v>
          </cell>
          <cell r="U87">
            <v>101343.192857683</v>
          </cell>
          <cell r="V87">
            <v>87157.507403263895</v>
          </cell>
          <cell r="W87">
            <v>31762.9665292381</v>
          </cell>
          <cell r="X87">
            <v>44632.647601733799</v>
          </cell>
          <cell r="Y87">
            <v>7522.8091463889004</v>
          </cell>
          <cell r="Z87">
            <v>639565.16396257502</v>
          </cell>
        </row>
        <row r="90">
          <cell r="A90" t="str">
            <v>CONSTANT</v>
          </cell>
          <cell r="B90" t="str">
            <v>Industry</v>
          </cell>
          <cell r="D90">
            <v>1</v>
          </cell>
          <cell r="E90">
            <v>2</v>
          </cell>
          <cell r="F90">
            <v>3</v>
          </cell>
          <cell r="I90">
            <v>4</v>
          </cell>
          <cell r="K90">
            <v>6</v>
          </cell>
          <cell r="L90">
            <v>7</v>
          </cell>
          <cell r="M90">
            <v>8</v>
          </cell>
          <cell r="N90">
            <v>9</v>
          </cell>
          <cell r="O90">
            <v>10</v>
          </cell>
          <cell r="P90">
            <v>11</v>
          </cell>
          <cell r="Q90">
            <v>12</v>
          </cell>
          <cell r="R90">
            <v>5</v>
          </cell>
          <cell r="T90">
            <v>13</v>
          </cell>
          <cell r="U90">
            <v>14</v>
          </cell>
          <cell r="V90">
            <v>15</v>
          </cell>
          <cell r="W90">
            <v>16</v>
          </cell>
        </row>
        <row r="91">
          <cell r="A91">
            <v>2009</v>
          </cell>
          <cell r="B91" t="str">
            <v>I</v>
          </cell>
          <cell r="C91" t="str">
            <v>Agriculture</v>
          </cell>
          <cell r="D91" t="str">
            <v>Tanaman</v>
          </cell>
          <cell r="E91" t="str">
            <v>Pembalakan</v>
          </cell>
          <cell r="F91" t="str">
            <v>Perikanan</v>
          </cell>
          <cell r="I91" t="str">
            <v>Mining and
Quarrying</v>
          </cell>
          <cell r="J91" t="str">
            <v>Manufacturing</v>
          </cell>
          <cell r="K91" t="str">
            <v>Prosesan Makanan, Minuman dan Produk Tembakau</v>
          </cell>
          <cell r="L91" t="str">
            <v>Tekstil, Pakaian, Kulit dan Kasut</v>
          </cell>
          <cell r="M91" t="str">
            <v>Keluaran Kayu, Perabot, Produk Kertas, Percetakan dan Penerbitan</v>
          </cell>
          <cell r="N91" t="str">
            <v>Produk Petroleum, Bahan kimia, Getah dan Plastik</v>
          </cell>
          <cell r="O91" t="str">
            <v>Produk Mineral Bukan Logam, Logam Asli dan Produk Logam Yang Direka</v>
          </cell>
          <cell r="P91" t="str">
            <v>Elektrik dan Elektronik</v>
          </cell>
          <cell r="Q91" t="str">
            <v>Kelengkapan Pengangkutan dan Pembuatan Lain</v>
          </cell>
          <cell r="R91" t="str">
            <v>Construction</v>
          </cell>
          <cell r="S91" t="str">
            <v>Services</v>
          </cell>
          <cell r="T91" t="str">
            <v>Utiliti, Transport &amp; Communication</v>
          </cell>
          <cell r="U91" t="str">
            <v>WRT, Accomm &amp; Restaurant</v>
          </cell>
          <cell r="V91" t="str">
            <v>Finance &amp; Insurance, Real Estate &amp; Business Services</v>
          </cell>
          <cell r="W91" t="str">
            <v>Other Services</v>
          </cell>
          <cell r="X91" t="str">
            <v>Government Services</v>
          </cell>
          <cell r="Y91" t="str">
            <v>Plus :
Import Duties</v>
          </cell>
          <cell r="Z91" t="str">
            <v>GDP at
Purchasers' Prices</v>
          </cell>
        </row>
        <row r="92">
          <cell r="A92" t="str">
            <v>States</v>
          </cell>
          <cell r="B92" t="str">
            <v>Converter</v>
          </cell>
        </row>
        <row r="93">
          <cell r="A93" t="str">
            <v>Johor</v>
          </cell>
          <cell r="B93" t="str">
            <v>01</v>
          </cell>
          <cell r="C93">
            <v>7448.2393672682201</v>
          </cell>
          <cell r="D93">
            <v>6847.5819260768603</v>
          </cell>
          <cell r="E93">
            <v>43.148358243858802</v>
          </cell>
          <cell r="F93">
            <v>557.50908294750695</v>
          </cell>
          <cell r="I93">
            <v>59.342094682436503</v>
          </cell>
          <cell r="J93">
            <v>17649.556571429999</v>
          </cell>
          <cell r="K93">
            <v>2196.4159051557499</v>
          </cell>
          <cell r="L93">
            <v>691.51393536519902</v>
          </cell>
          <cell r="M93">
            <v>1559.7683565330301</v>
          </cell>
          <cell r="N93">
            <v>3946.1300152973099</v>
          </cell>
          <cell r="O93">
            <v>2493.6886518238498</v>
          </cell>
          <cell r="P93">
            <v>5311.1443811066201</v>
          </cell>
          <cell r="Q93">
            <v>1450.89532614825</v>
          </cell>
          <cell r="R93">
            <v>1816.64880833851</v>
          </cell>
          <cell r="S93">
            <v>27526.586490464801</v>
          </cell>
          <cell r="T93">
            <v>6167.6168495386601</v>
          </cell>
          <cell r="U93">
            <v>6632.5592981160198</v>
          </cell>
          <cell r="V93">
            <v>7738.6868869909704</v>
          </cell>
          <cell r="W93">
            <v>2764.9668714607701</v>
          </cell>
          <cell r="X93">
            <v>4222.7565843583598</v>
          </cell>
          <cell r="Y93">
            <v>767.47506695744096</v>
          </cell>
          <cell r="Z93">
            <v>55267.848399141403</v>
          </cell>
        </row>
        <row r="94">
          <cell r="A94" t="str">
            <v>Kedah</v>
          </cell>
          <cell r="B94" t="str">
            <v>02</v>
          </cell>
          <cell r="C94">
            <v>2758.2466806103798</v>
          </cell>
          <cell r="D94">
            <v>2251.4234052946399</v>
          </cell>
          <cell r="E94">
            <v>104.165916289599</v>
          </cell>
          <cell r="F94">
            <v>402.65735902614199</v>
          </cell>
          <cell r="I94">
            <v>18.631589802193599</v>
          </cell>
          <cell r="J94">
            <v>6416.4595205222204</v>
          </cell>
          <cell r="K94">
            <v>373.18348412210599</v>
          </cell>
          <cell r="L94">
            <v>40.195309863188797</v>
          </cell>
          <cell r="M94">
            <v>420.14065608985402</v>
          </cell>
          <cell r="N94">
            <v>1228.0792978196801</v>
          </cell>
          <cell r="O94">
            <v>1995.4499576558001</v>
          </cell>
          <cell r="P94">
            <v>1413.8721194346299</v>
          </cell>
          <cell r="Q94">
            <v>945.53869553696495</v>
          </cell>
          <cell r="R94">
            <v>537.85453019238503</v>
          </cell>
          <cell r="S94">
            <v>11219.4476437249</v>
          </cell>
          <cell r="T94">
            <v>1645.6856669840099</v>
          </cell>
          <cell r="U94">
            <v>2905.2059907768898</v>
          </cell>
          <cell r="V94">
            <v>2160.5122537944899</v>
          </cell>
          <cell r="W94">
            <v>1867.4952127220899</v>
          </cell>
          <cell r="X94">
            <v>2640.54851944743</v>
          </cell>
          <cell r="Y94">
            <v>141.57557088106299</v>
          </cell>
          <cell r="Z94">
            <v>21092.215535733201</v>
          </cell>
        </row>
        <row r="95">
          <cell r="A95" t="str">
            <v>Kelantan</v>
          </cell>
          <cell r="B95" t="str">
            <v>03</v>
          </cell>
          <cell r="C95">
            <v>2941.22276221126</v>
          </cell>
          <cell r="D95">
            <v>2115.0946784125699</v>
          </cell>
          <cell r="E95">
            <v>566.63856621470404</v>
          </cell>
          <cell r="F95">
            <v>259.48951758398402</v>
          </cell>
          <cell r="I95">
            <v>15.5417131500511</v>
          </cell>
          <cell r="J95">
            <v>570.19132221257803</v>
          </cell>
          <cell r="K95">
            <v>95.063509363671599</v>
          </cell>
          <cell r="L95">
            <v>36.909770915918301</v>
          </cell>
          <cell r="M95">
            <v>82.378781758752595</v>
          </cell>
          <cell r="N95">
            <v>116.89805089305101</v>
          </cell>
          <cell r="O95">
            <v>53.048505274004</v>
          </cell>
          <cell r="P95">
            <v>184.40779175180299</v>
          </cell>
          <cell r="Q95">
            <v>1.4849122553777401</v>
          </cell>
          <cell r="R95">
            <v>194.69024914371201</v>
          </cell>
          <cell r="S95">
            <v>7691.6052078932298</v>
          </cell>
          <cell r="T95">
            <v>853.71938564774598</v>
          </cell>
          <cell r="U95">
            <v>2163.9913890348798</v>
          </cell>
          <cell r="V95">
            <v>923.363792555136</v>
          </cell>
          <cell r="W95">
            <v>1312.97958660467</v>
          </cell>
          <cell r="X95">
            <v>2437.5510540507998</v>
          </cell>
          <cell r="Y95">
            <v>22.333543688409499</v>
          </cell>
          <cell r="Z95">
            <v>11435.5847982992</v>
          </cell>
        </row>
        <row r="96">
          <cell r="A96" t="str">
            <v>Melaka</v>
          </cell>
          <cell r="B96" t="str">
            <v>04</v>
          </cell>
          <cell r="C96">
            <v>1450.4260346342901</v>
          </cell>
          <cell r="D96">
            <v>1388.6747278498301</v>
          </cell>
          <cell r="E96">
            <v>0.28009801921627803</v>
          </cell>
          <cell r="F96">
            <v>61.471208765242203</v>
          </cell>
          <cell r="I96">
            <v>8.1987127144183596</v>
          </cell>
          <cell r="J96">
            <v>7991.90725017554</v>
          </cell>
          <cell r="K96">
            <v>414.25856716021002</v>
          </cell>
          <cell r="L96">
            <v>398.89885533485898</v>
          </cell>
          <cell r="M96">
            <v>344.32798449330801</v>
          </cell>
          <cell r="N96">
            <v>3186.5854198623801</v>
          </cell>
          <cell r="O96">
            <v>453.648174284481</v>
          </cell>
          <cell r="P96">
            <v>1937.16833414899</v>
          </cell>
          <cell r="Q96">
            <v>1257.01991489131</v>
          </cell>
          <cell r="R96">
            <v>552.77123224812306</v>
          </cell>
          <cell r="S96">
            <v>8439.3870313320203</v>
          </cell>
          <cell r="T96">
            <v>1502.9839705316399</v>
          </cell>
          <cell r="U96">
            <v>2965.2681929628302</v>
          </cell>
          <cell r="V96">
            <v>1680.8466576718299</v>
          </cell>
          <cell r="W96">
            <v>1088.14308542496</v>
          </cell>
          <cell r="X96">
            <v>1202.1451247407699</v>
          </cell>
          <cell r="Y96">
            <v>29.250242803987099</v>
          </cell>
          <cell r="Z96">
            <v>18471.940503908401</v>
          </cell>
        </row>
        <row r="97">
          <cell r="A97" t="str">
            <v>Negeri Sembilan</v>
          </cell>
          <cell r="B97" t="str">
            <v>05</v>
          </cell>
          <cell r="C97">
            <v>1940.9740480425501</v>
          </cell>
          <cell r="D97">
            <v>1848.1125391855401</v>
          </cell>
          <cell r="E97">
            <v>43.860180059602001</v>
          </cell>
          <cell r="F97">
            <v>49.001328797404199</v>
          </cell>
          <cell r="I97">
            <v>19.709346359609601</v>
          </cell>
          <cell r="J97">
            <v>11754.5614493828</v>
          </cell>
          <cell r="K97">
            <v>1183.6487267144</v>
          </cell>
          <cell r="L97">
            <v>199.59867464977199</v>
          </cell>
          <cell r="M97">
            <v>419.81542116238597</v>
          </cell>
          <cell r="N97">
            <v>2865.7049015280199</v>
          </cell>
          <cell r="O97">
            <v>775.054410338558</v>
          </cell>
          <cell r="P97">
            <v>5252.2287881359098</v>
          </cell>
          <cell r="Q97">
            <v>1058.51052685373</v>
          </cell>
          <cell r="R97">
            <v>540.01245793723899</v>
          </cell>
          <cell r="S97">
            <v>9448.1363606929608</v>
          </cell>
          <cell r="T97">
            <v>2177.59084282803</v>
          </cell>
          <cell r="U97">
            <v>2427.9733948401599</v>
          </cell>
          <cell r="V97">
            <v>1950.7443660906799</v>
          </cell>
          <cell r="W97">
            <v>1302.6649209969901</v>
          </cell>
          <cell r="X97">
            <v>1589.16283593711</v>
          </cell>
          <cell r="Y97">
            <v>101.036055844161</v>
          </cell>
          <cell r="Z97">
            <v>23804.4297182593</v>
          </cell>
        </row>
        <row r="98">
          <cell r="A98" t="str">
            <v>Pahang</v>
          </cell>
          <cell r="B98" t="str">
            <v>06</v>
          </cell>
          <cell r="C98">
            <v>5448.7557613188101</v>
          </cell>
          <cell r="D98">
            <v>4351.7341587302499</v>
          </cell>
          <cell r="E98">
            <v>516.04939006706502</v>
          </cell>
          <cell r="F98">
            <v>580.97221252150405</v>
          </cell>
          <cell r="I98">
            <v>120.520991408657</v>
          </cell>
          <cell r="J98">
            <v>6693.1528010757602</v>
          </cell>
          <cell r="K98">
            <v>905.54943457192701</v>
          </cell>
          <cell r="L98">
            <v>18.6839133639496</v>
          </cell>
          <cell r="M98">
            <v>616.37562339827502</v>
          </cell>
          <cell r="N98">
            <v>2356.3451647142901</v>
          </cell>
          <cell r="O98">
            <v>766.944488352029</v>
          </cell>
          <cell r="P98">
            <v>72.607403193855205</v>
          </cell>
          <cell r="Q98">
            <v>1956.64677348143</v>
          </cell>
          <cell r="R98">
            <v>695.712970014495</v>
          </cell>
          <cell r="S98">
            <v>13162.5095935134</v>
          </cell>
          <cell r="T98">
            <v>1378.18486041099</v>
          </cell>
          <cell r="U98">
            <v>4180.2363868887896</v>
          </cell>
          <cell r="V98">
            <v>1803.1656065488</v>
          </cell>
          <cell r="W98">
            <v>3279.35485286429</v>
          </cell>
          <cell r="X98">
            <v>2521.5678868005102</v>
          </cell>
          <cell r="Y98">
            <v>81.981542456041296</v>
          </cell>
          <cell r="Z98">
            <v>26202.633659787101</v>
          </cell>
        </row>
        <row r="99">
          <cell r="A99" t="str">
            <v>Pulau Pinang</v>
          </cell>
          <cell r="B99" t="str">
            <v>07</v>
          </cell>
          <cell r="C99">
            <v>760.45823108994296</v>
          </cell>
          <cell r="D99">
            <v>556.40464337404705</v>
          </cell>
          <cell r="E99">
            <v>0</v>
          </cell>
          <cell r="F99">
            <v>204.05358771589499</v>
          </cell>
          <cell r="I99">
            <v>19.213514991072799</v>
          </cell>
          <cell r="J99">
            <v>21239.073100997601</v>
          </cell>
          <cell r="K99">
            <v>982.92422091185301</v>
          </cell>
          <cell r="L99">
            <v>552.75623813298603</v>
          </cell>
          <cell r="M99">
            <v>774.48276590116996</v>
          </cell>
          <cell r="N99">
            <v>2095.2872914520299</v>
          </cell>
          <cell r="O99">
            <v>1691.35688069411</v>
          </cell>
          <cell r="P99">
            <v>13864.7852074903</v>
          </cell>
          <cell r="Q99">
            <v>1277.4804964151599</v>
          </cell>
          <cell r="R99">
            <v>982.067989201606</v>
          </cell>
          <cell r="S99">
            <v>20242.238702797898</v>
          </cell>
          <cell r="T99">
            <v>4235.4657328392104</v>
          </cell>
          <cell r="U99">
            <v>5735.73402479367</v>
          </cell>
          <cell r="V99">
            <v>5912.4537506202996</v>
          </cell>
          <cell r="W99">
            <v>2094.26034232861</v>
          </cell>
          <cell r="X99">
            <v>2264.3248522161002</v>
          </cell>
          <cell r="Y99">
            <v>382.67817457429697</v>
          </cell>
          <cell r="Z99">
            <v>43625.729713652399</v>
          </cell>
        </row>
        <row r="100">
          <cell r="A100" t="str">
            <v>Perak</v>
          </cell>
          <cell r="B100" t="str">
            <v>08</v>
          </cell>
          <cell r="C100">
            <v>5195.6453420371299</v>
          </cell>
          <cell r="D100">
            <v>3694.3496667969598</v>
          </cell>
          <cell r="E100">
            <v>320.29585199149301</v>
          </cell>
          <cell r="F100">
            <v>1180.9998232486701</v>
          </cell>
          <cell r="I100">
            <v>101.748443876794</v>
          </cell>
          <cell r="J100">
            <v>5799.8650797147502</v>
          </cell>
          <cell r="K100">
            <v>1022.7663468441</v>
          </cell>
          <cell r="L100">
            <v>203.66761974537599</v>
          </cell>
          <cell r="M100">
            <v>314.384749109903</v>
          </cell>
          <cell r="N100">
            <v>1186.8438698376499</v>
          </cell>
          <cell r="O100">
            <v>1285.4189208999401</v>
          </cell>
          <cell r="P100">
            <v>1466.70218889477</v>
          </cell>
          <cell r="Q100">
            <v>320.08138438301199</v>
          </cell>
          <cell r="R100">
            <v>643.07315093760405</v>
          </cell>
          <cell r="S100">
            <v>20942.200305656399</v>
          </cell>
          <cell r="T100">
            <v>5950.0209451234296</v>
          </cell>
          <cell r="U100">
            <v>4779.4408546935301</v>
          </cell>
          <cell r="V100">
            <v>3914.2929824284602</v>
          </cell>
          <cell r="W100">
            <v>2746.7080411910101</v>
          </cell>
          <cell r="X100">
            <v>3551.7374822199299</v>
          </cell>
          <cell r="Y100">
            <v>17.204002111897999</v>
          </cell>
          <cell r="Z100">
            <v>32699.736324334499</v>
          </cell>
        </row>
        <row r="101">
          <cell r="A101" t="str">
            <v>Perlis</v>
          </cell>
          <cell r="B101" t="str">
            <v>09</v>
          </cell>
          <cell r="C101">
            <v>855.94136300638695</v>
          </cell>
          <cell r="D101">
            <v>237.171898706826</v>
          </cell>
          <cell r="E101">
            <v>0</v>
          </cell>
          <cell r="F101">
            <v>618.76946429956104</v>
          </cell>
          <cell r="I101">
            <v>6.3613021227580102</v>
          </cell>
          <cell r="J101">
            <v>290.33726582942302</v>
          </cell>
          <cell r="K101">
            <v>46.3800290816353</v>
          </cell>
          <cell r="L101">
            <v>43.969966531878001</v>
          </cell>
          <cell r="M101">
            <v>2.2695514934505399</v>
          </cell>
          <cell r="N101">
            <v>57.303193483204801</v>
          </cell>
          <cell r="O101">
            <v>136.519930080736</v>
          </cell>
          <cell r="P101">
            <v>0.40585250788745098</v>
          </cell>
          <cell r="Q101">
            <v>3.4887426506302899</v>
          </cell>
          <cell r="R101">
            <v>92.266488889557607</v>
          </cell>
          <cell r="S101">
            <v>1840.83119998098</v>
          </cell>
          <cell r="T101">
            <v>634.20499143323195</v>
          </cell>
          <cell r="U101">
            <v>260.214491841322</v>
          </cell>
          <cell r="V101">
            <v>237.30316809444801</v>
          </cell>
          <cell r="W101">
            <v>245.17411016459801</v>
          </cell>
          <cell r="X101">
            <v>463.93443844737999</v>
          </cell>
          <cell r="Y101">
            <v>80.567988496580298</v>
          </cell>
          <cell r="Z101">
            <v>3166.3056083256902</v>
          </cell>
        </row>
        <row r="102">
          <cell r="A102" t="str">
            <v>Selangor</v>
          </cell>
          <cell r="B102">
            <v>10</v>
          </cell>
          <cell r="C102">
            <v>2518.6829196444201</v>
          </cell>
          <cell r="D102">
            <v>1690.37124293447</v>
          </cell>
          <cell r="E102">
            <v>5.71291207858948</v>
          </cell>
          <cell r="F102">
            <v>822.598764631368</v>
          </cell>
          <cell r="I102">
            <v>124.907911414483</v>
          </cell>
          <cell r="J102">
            <v>41857.923252740497</v>
          </cell>
          <cell r="K102">
            <v>7204.2984131473404</v>
          </cell>
          <cell r="L102">
            <v>453.55278926993498</v>
          </cell>
          <cell r="M102">
            <v>2784.0545540461799</v>
          </cell>
          <cell r="N102">
            <v>6205.9585366351703</v>
          </cell>
          <cell r="O102">
            <v>5379.3328661184596</v>
          </cell>
          <cell r="P102">
            <v>9321.4292031808709</v>
          </cell>
          <cell r="Q102">
            <v>10509.296890342601</v>
          </cell>
          <cell r="R102">
            <v>6585.2738869667801</v>
          </cell>
          <cell r="S102">
            <v>84233.245537549796</v>
          </cell>
          <cell r="T102">
            <v>20143.435683380401</v>
          </cell>
          <cell r="U102">
            <v>28412.062509855899</v>
          </cell>
          <cell r="V102">
            <v>22090.140213677802</v>
          </cell>
          <cell r="W102">
            <v>7155.4523885788403</v>
          </cell>
          <cell r="X102">
            <v>6432.1547420568904</v>
          </cell>
          <cell r="Y102">
            <v>3916.8641011417799</v>
          </cell>
          <cell r="Z102">
            <v>139236.89760945801</v>
          </cell>
        </row>
        <row r="103">
          <cell r="A103" t="str">
            <v>Terengganu</v>
          </cell>
          <cell r="B103">
            <v>11</v>
          </cell>
          <cell r="C103">
            <v>1497.0701462888401</v>
          </cell>
          <cell r="D103">
            <v>1088.2326195303001</v>
          </cell>
          <cell r="E103">
            <v>101.185068411603</v>
          </cell>
          <cell r="F103">
            <v>307.65245834693502</v>
          </cell>
          <cell r="I103">
            <v>11.287569132204499</v>
          </cell>
          <cell r="J103">
            <v>6917.5455478694603</v>
          </cell>
          <cell r="K103">
            <v>57.516524271048397</v>
          </cell>
          <cell r="L103">
            <v>30.8147495503298</v>
          </cell>
          <cell r="M103">
            <v>142.70023551107101</v>
          </cell>
          <cell r="N103">
            <v>6234.0091445171101</v>
          </cell>
          <cell r="O103">
            <v>358.68135768466402</v>
          </cell>
          <cell r="P103">
            <v>3.1956744783733702</v>
          </cell>
          <cell r="Q103">
            <v>90.627861856870794</v>
          </cell>
          <cell r="R103">
            <v>609.96531941738499</v>
          </cell>
          <cell r="S103">
            <v>8672.0307115899905</v>
          </cell>
          <cell r="T103">
            <v>3383.2885527660301</v>
          </cell>
          <cell r="U103">
            <v>1563.96626004773</v>
          </cell>
          <cell r="V103">
            <v>800.41282468834902</v>
          </cell>
          <cell r="W103">
            <v>878.11901118975902</v>
          </cell>
          <cell r="X103">
            <v>2046.2440628981101</v>
          </cell>
          <cell r="Y103">
            <v>12.123481342461901</v>
          </cell>
          <cell r="Z103">
            <v>17720.0227756403</v>
          </cell>
        </row>
        <row r="104">
          <cell r="A104" t="str">
            <v>Sabah</v>
          </cell>
          <cell r="B104">
            <v>12</v>
          </cell>
          <cell r="C104">
            <v>9713.3903443599993</v>
          </cell>
          <cell r="D104">
            <v>6299.8769264508601</v>
          </cell>
          <cell r="E104">
            <v>1805.28959081471</v>
          </cell>
          <cell r="F104">
            <v>1608.2238270944299</v>
          </cell>
          <cell r="I104">
            <v>9635.4945723087403</v>
          </cell>
          <cell r="J104">
            <v>3148.9112203916402</v>
          </cell>
          <cell r="K104">
            <v>1783.56777271338</v>
          </cell>
          <cell r="L104">
            <v>29.323852780804099</v>
          </cell>
          <cell r="M104">
            <v>773.095703826815</v>
          </cell>
          <cell r="N104">
            <v>156.429635270712</v>
          </cell>
          <cell r="O104">
            <v>273.98302829756199</v>
          </cell>
          <cell r="P104">
            <v>9.4266812413817203</v>
          </cell>
          <cell r="Q104">
            <v>123.08454626098801</v>
          </cell>
          <cell r="R104">
            <v>879.89427674993897</v>
          </cell>
          <cell r="S104">
            <v>17371.0956016374</v>
          </cell>
          <cell r="T104">
            <v>3176.2043169885301</v>
          </cell>
          <cell r="U104">
            <v>5770.4508168054499</v>
          </cell>
          <cell r="V104">
            <v>3399.47309710118</v>
          </cell>
          <cell r="W104">
            <v>1661.0586756467401</v>
          </cell>
          <cell r="X104">
            <v>3363.9086950955302</v>
          </cell>
          <cell r="Y104">
            <v>237.35617513626599</v>
          </cell>
          <cell r="Z104">
            <v>40986.142190584003</v>
          </cell>
        </row>
        <row r="105">
          <cell r="A105" t="str">
            <v>Sarawak</v>
          </cell>
          <cell r="B105">
            <v>13</v>
          </cell>
          <cell r="C105">
            <v>7423.3487811591403</v>
          </cell>
          <cell r="D105">
            <v>3376.2084165532101</v>
          </cell>
          <cell r="E105">
            <v>3633.6436039553801</v>
          </cell>
          <cell r="F105">
            <v>413.49676065054899</v>
          </cell>
          <cell r="I105">
            <v>15190.385219756899</v>
          </cell>
          <cell r="J105">
            <v>17489.664096002802</v>
          </cell>
          <cell r="K105">
            <v>649.61627832822603</v>
          </cell>
          <cell r="L105">
            <v>21.123538334001999</v>
          </cell>
          <cell r="M105">
            <v>1276.5601104841201</v>
          </cell>
          <cell r="N105">
            <v>14389.2906008469</v>
          </cell>
          <cell r="O105">
            <v>439.63487483453298</v>
          </cell>
          <cell r="P105">
            <v>404.06632266829098</v>
          </cell>
          <cell r="Q105">
            <v>309.37237050676998</v>
          </cell>
          <cell r="R105">
            <v>1707.6051549998101</v>
          </cell>
          <cell r="S105">
            <v>22073.6282723236</v>
          </cell>
          <cell r="T105">
            <v>4917.1430889086996</v>
          </cell>
          <cell r="U105">
            <v>6025.7961815075096</v>
          </cell>
          <cell r="V105">
            <v>5548.3319813805902</v>
          </cell>
          <cell r="W105">
            <v>2212.4021524638401</v>
          </cell>
          <cell r="X105">
            <v>3369.95486806297</v>
          </cell>
          <cell r="Y105">
            <v>288.34661091429598</v>
          </cell>
          <cell r="Z105">
            <v>64172.978135156503</v>
          </cell>
        </row>
        <row r="106">
          <cell r="A106" t="str">
            <v>WP Kuala Lumpur</v>
          </cell>
          <cell r="B106">
            <v>14</v>
          </cell>
          <cell r="C106">
            <v>1.49048293648672</v>
          </cell>
          <cell r="D106">
            <v>1.49048293648672</v>
          </cell>
          <cell r="E106">
            <v>0</v>
          </cell>
          <cell r="F106">
            <v>0</v>
          </cell>
          <cell r="I106">
            <v>27.061636691734002</v>
          </cell>
          <cell r="J106">
            <v>3762.5971418345698</v>
          </cell>
          <cell r="K106">
            <v>384.790527493941</v>
          </cell>
          <cell r="L106">
            <v>287.14052843379199</v>
          </cell>
          <cell r="M106">
            <v>614.59519662953596</v>
          </cell>
          <cell r="N106">
            <v>598.36941794115398</v>
          </cell>
          <cell r="O106">
            <v>755.03083305177302</v>
          </cell>
          <cell r="P106">
            <v>349.22450122459799</v>
          </cell>
          <cell r="Q106">
            <v>773.44613705977497</v>
          </cell>
          <cell r="R106">
            <v>3412.78006618976</v>
          </cell>
          <cell r="S106">
            <v>80428.112303750298</v>
          </cell>
          <cell r="T106">
            <v>5361.8248620208497</v>
          </cell>
          <cell r="U106">
            <v>29395.334292616801</v>
          </cell>
          <cell r="V106">
            <v>31416.748948139099</v>
          </cell>
          <cell r="W106">
            <v>4289.2037761325801</v>
          </cell>
          <cell r="X106">
            <v>9965.0004248409896</v>
          </cell>
          <cell r="Y106">
            <v>856.04858875953198</v>
          </cell>
          <cell r="Z106">
            <v>88488.090220162398</v>
          </cell>
        </row>
        <row r="107">
          <cell r="A107" t="str">
            <v>WP Labuan</v>
          </cell>
          <cell r="B107">
            <v>15</v>
          </cell>
          <cell r="C107">
            <v>109.15187498592</v>
          </cell>
          <cell r="D107">
            <v>6.9926628621778297</v>
          </cell>
          <cell r="E107">
            <v>0</v>
          </cell>
          <cell r="F107">
            <v>102.15921212374199</v>
          </cell>
          <cell r="I107">
            <v>0</v>
          </cell>
          <cell r="J107">
            <v>568.44061893037701</v>
          </cell>
          <cell r="K107">
            <v>23.036492580242101</v>
          </cell>
          <cell r="L107">
            <v>2.46637843430236</v>
          </cell>
          <cell r="M107">
            <v>1.8981935009655799</v>
          </cell>
          <cell r="N107">
            <v>276.98159076014099</v>
          </cell>
          <cell r="O107">
            <v>241.801718201141</v>
          </cell>
          <cell r="P107">
            <v>1.7960584604948</v>
          </cell>
          <cell r="Q107">
            <v>20.460186993089799</v>
          </cell>
          <cell r="R107">
            <v>19.3396332659709</v>
          </cell>
          <cell r="S107">
            <v>1735.4823394617099</v>
          </cell>
          <cell r="T107">
            <v>201.91644918304399</v>
          </cell>
          <cell r="U107">
            <v>226.15958548261401</v>
          </cell>
          <cell r="V107">
            <v>1167.0320576837501</v>
          </cell>
          <cell r="W107">
            <v>66.765818284342203</v>
          </cell>
          <cell r="X107">
            <v>73.608428827962797</v>
          </cell>
          <cell r="Y107">
            <v>53.848551887076397</v>
          </cell>
          <cell r="Z107">
            <v>2486.26301853105</v>
          </cell>
        </row>
        <row r="108">
          <cell r="A108" t="str">
            <v>Supra1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I108">
            <v>41027.965029888001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41027.965029888001</v>
          </cell>
        </row>
        <row r="109">
          <cell r="A109" t="str">
            <v>MALAYSIA</v>
          </cell>
          <cell r="C109">
            <v>50063.044139593803</v>
          </cell>
          <cell r="D109">
            <v>35753.719995694999</v>
          </cell>
          <cell r="E109">
            <v>7140.26953614582</v>
          </cell>
          <cell r="F109">
            <v>7169.0546077529298</v>
          </cell>
          <cell r="I109">
            <v>66386.369648300097</v>
          </cell>
          <cell r="J109">
            <v>152150.18623910999</v>
          </cell>
          <cell r="K109">
            <v>17323.016232459799</v>
          </cell>
          <cell r="L109">
            <v>3010.6161207062901</v>
          </cell>
          <cell r="M109">
            <v>10126.847883938801</v>
          </cell>
          <cell r="N109">
            <v>44900.216130858797</v>
          </cell>
          <cell r="O109">
            <v>17099.5945975916</v>
          </cell>
          <cell r="P109">
            <v>39592.460507918797</v>
          </cell>
          <cell r="Q109">
            <v>20097.434765635899</v>
          </cell>
          <cell r="R109">
            <v>19269.9562144929</v>
          </cell>
          <cell r="S109">
            <v>335026.53730236902</v>
          </cell>
          <cell r="T109">
            <v>61729.286198584501</v>
          </cell>
          <cell r="U109">
            <v>103444.39367026401</v>
          </cell>
          <cell r="V109">
            <v>90743.508587465898</v>
          </cell>
          <cell r="W109">
            <v>32964.748846054099</v>
          </cell>
          <cell r="X109">
            <v>46144.600000000901</v>
          </cell>
          <cell r="Y109">
            <v>6988.6896969952904</v>
          </cell>
          <cell r="Z109">
            <v>629884.78324086103</v>
          </cell>
        </row>
        <row r="112">
          <cell r="A112" t="str">
            <v>CONSTANT</v>
          </cell>
          <cell r="B112" t="str">
            <v>Industry</v>
          </cell>
          <cell r="D112">
            <v>1</v>
          </cell>
          <cell r="E112">
            <v>2</v>
          </cell>
          <cell r="F112">
            <v>3</v>
          </cell>
          <cell r="I112">
            <v>4</v>
          </cell>
          <cell r="K112">
            <v>6</v>
          </cell>
          <cell r="L112">
            <v>7</v>
          </cell>
          <cell r="M112">
            <v>8</v>
          </cell>
          <cell r="N112">
            <v>9</v>
          </cell>
          <cell r="O112">
            <v>10</v>
          </cell>
          <cell r="P112">
            <v>11</v>
          </cell>
          <cell r="Q112">
            <v>12</v>
          </cell>
          <cell r="R112">
            <v>5</v>
          </cell>
          <cell r="T112">
            <v>13</v>
          </cell>
          <cell r="U112">
            <v>14</v>
          </cell>
          <cell r="V112">
            <v>15</v>
          </cell>
          <cell r="W112">
            <v>16</v>
          </cell>
        </row>
        <row r="113">
          <cell r="A113">
            <v>2010</v>
          </cell>
          <cell r="B113" t="str">
            <v>I</v>
          </cell>
          <cell r="C113" t="str">
            <v>Agriculture</v>
          </cell>
          <cell r="D113" t="str">
            <v>Tanaman</v>
          </cell>
          <cell r="E113" t="str">
            <v>Pembalakan</v>
          </cell>
          <cell r="F113" t="str">
            <v>Perikanan</v>
          </cell>
          <cell r="I113" t="str">
            <v>Mining and
Quarrying</v>
          </cell>
          <cell r="J113" t="str">
            <v>Manufacturing</v>
          </cell>
          <cell r="K113" t="str">
            <v>Prosesan Makanan, Minuman dan Produk Tembakau</v>
          </cell>
          <cell r="L113" t="str">
            <v>Tekstil, Pakaian, Kulit dan Kasut</v>
          </cell>
          <cell r="M113" t="str">
            <v>Keluaran Kayu, Perabot, Produk Kertas, Percetakan dan Penerbitan</v>
          </cell>
          <cell r="N113" t="str">
            <v>Produk Petroleum, Bahan kimia, Getah dan Plastik</v>
          </cell>
          <cell r="O113" t="str">
            <v>Produk Mineral Bukan Logam, Logam Asli dan Produk Logam Yang Direka</v>
          </cell>
          <cell r="P113" t="str">
            <v>Elektrik dan Elektronik</v>
          </cell>
          <cell r="Q113" t="str">
            <v>Kelengkapan Pengangkutan dan Pembuatan Lain</v>
          </cell>
          <cell r="R113" t="str">
            <v>Construction</v>
          </cell>
          <cell r="S113" t="str">
            <v>Services</v>
          </cell>
          <cell r="T113" t="str">
            <v>Utiliti, Transport &amp; Communication</v>
          </cell>
          <cell r="U113" t="str">
            <v>WRT, Accomm &amp; Restaurant</v>
          </cell>
          <cell r="V113" t="str">
            <v>Finance &amp; Insurance, Real Estate &amp; Business Services</v>
          </cell>
          <cell r="W113" t="str">
            <v>Other Services</v>
          </cell>
          <cell r="X113" t="str">
            <v>Government Services</v>
          </cell>
          <cell r="Y113" t="str">
            <v>Plus :
Import Duties</v>
          </cell>
          <cell r="Z113" t="str">
            <v>GDP at
Purchasers' Prices</v>
          </cell>
        </row>
        <row r="114">
          <cell r="A114" t="str">
            <v>States</v>
          </cell>
          <cell r="B114" t="str">
            <v>Converter</v>
          </cell>
        </row>
        <row r="115">
          <cell r="A115" t="str">
            <v>Johor</v>
          </cell>
          <cell r="B115" t="str">
            <v>01</v>
          </cell>
          <cell r="C115">
            <v>7598.3543408902397</v>
          </cell>
          <cell r="D115">
            <v>6885.6648870220697</v>
          </cell>
          <cell r="E115">
            <v>43.823814344275902</v>
          </cell>
          <cell r="F115">
            <v>668.86563952388894</v>
          </cell>
          <cell r="I115">
            <v>68.259644021538804</v>
          </cell>
          <cell r="J115">
            <v>21037.313603969102</v>
          </cell>
          <cell r="K115">
            <v>2187.2292613146801</v>
          </cell>
          <cell r="L115">
            <v>782.93802206389603</v>
          </cell>
          <cell r="M115">
            <v>1747.60399801933</v>
          </cell>
          <cell r="N115">
            <v>4433.0014906127099</v>
          </cell>
          <cell r="O115">
            <v>2959.6749816146098</v>
          </cell>
          <cell r="P115">
            <v>6941.3134983836399</v>
          </cell>
          <cell r="Q115">
            <v>1985.55235196027</v>
          </cell>
          <cell r="R115">
            <v>2045.38296810252</v>
          </cell>
          <cell r="S115">
            <v>29236.170725071999</v>
          </cell>
          <cell r="T115">
            <v>6750.9132856328797</v>
          </cell>
          <cell r="U115">
            <v>7180.5102023690997</v>
          </cell>
          <cell r="V115">
            <v>8074.0493215517099</v>
          </cell>
          <cell r="W115">
            <v>2904.8927319689701</v>
          </cell>
          <cell r="X115">
            <v>4325.8051835493197</v>
          </cell>
          <cell r="Y115">
            <v>693.70557827933703</v>
          </cell>
          <cell r="Z115">
            <v>60679.186860334798</v>
          </cell>
        </row>
        <row r="116">
          <cell r="A116" t="str">
            <v>Kedah</v>
          </cell>
          <cell r="B116" t="str">
            <v>02</v>
          </cell>
          <cell r="C116">
            <v>2733.6853254788998</v>
          </cell>
          <cell r="D116">
            <v>2308.3442133418998</v>
          </cell>
          <cell r="E116">
            <v>106.97883406489299</v>
          </cell>
          <cell r="F116">
            <v>318.36227807210599</v>
          </cell>
          <cell r="I116">
            <v>18.8280174413953</v>
          </cell>
          <cell r="J116">
            <v>6638.3881956961504</v>
          </cell>
          <cell r="K116">
            <v>368.07677588906398</v>
          </cell>
          <cell r="L116">
            <v>79.920685607240998</v>
          </cell>
          <cell r="M116">
            <v>421.50205793573798</v>
          </cell>
          <cell r="N116">
            <v>1226.4484563983999</v>
          </cell>
          <cell r="O116">
            <v>2054.4917254218699</v>
          </cell>
          <cell r="P116">
            <v>1504.7518518571701</v>
          </cell>
          <cell r="Q116">
            <v>983.19664258666205</v>
          </cell>
          <cell r="R116">
            <v>541.14547700276</v>
          </cell>
          <cell r="S116">
            <v>11936.442698701499</v>
          </cell>
          <cell r="T116">
            <v>1778.81390395945</v>
          </cell>
          <cell r="U116">
            <v>3163.5617114593601</v>
          </cell>
          <cell r="V116">
            <v>2279.1921108864599</v>
          </cell>
          <cell r="W116">
            <v>1926.04713569193</v>
          </cell>
          <cell r="X116">
            <v>2788.8278367043399</v>
          </cell>
          <cell r="Y116">
            <v>129.724135599721</v>
          </cell>
          <cell r="Z116">
            <v>21998.213849920499</v>
          </cell>
        </row>
        <row r="117">
          <cell r="A117" t="str">
            <v>Kelantan</v>
          </cell>
          <cell r="B117" t="str">
            <v>03</v>
          </cell>
          <cell r="C117">
            <v>3071.0633660276799</v>
          </cell>
          <cell r="D117">
            <v>2107.22436031492</v>
          </cell>
          <cell r="E117">
            <v>677.61362545535803</v>
          </cell>
          <cell r="F117">
            <v>286.22538025740499</v>
          </cell>
          <cell r="I117">
            <v>16.4378560717517</v>
          </cell>
          <cell r="J117">
            <v>690.81245984655595</v>
          </cell>
          <cell r="K117">
            <v>112.532619967388</v>
          </cell>
          <cell r="L117">
            <v>35.7228602577026</v>
          </cell>
          <cell r="M117">
            <v>89.073919865818695</v>
          </cell>
          <cell r="N117">
            <v>104.74641691462701</v>
          </cell>
          <cell r="O117">
            <v>71.385453074973398</v>
          </cell>
          <cell r="P117">
            <v>270.27664391315801</v>
          </cell>
          <cell r="Q117">
            <v>7.0745458528880798</v>
          </cell>
          <cell r="R117">
            <v>207.32611766380199</v>
          </cell>
          <cell r="S117">
            <v>7984.6164700812596</v>
          </cell>
          <cell r="T117">
            <v>935.50644685774705</v>
          </cell>
          <cell r="U117">
            <v>2199.32428096787</v>
          </cell>
          <cell r="V117">
            <v>992.01616868978499</v>
          </cell>
          <cell r="W117">
            <v>1356.6305514989001</v>
          </cell>
          <cell r="X117">
            <v>2501.13902206696</v>
          </cell>
          <cell r="Y117">
            <v>20.899161344310301</v>
          </cell>
          <cell r="Z117">
            <v>11991.1554310354</v>
          </cell>
        </row>
        <row r="118">
          <cell r="A118" t="str">
            <v>Melaka</v>
          </cell>
          <cell r="B118" t="str">
            <v>04</v>
          </cell>
          <cell r="C118">
            <v>1794.48560733984</v>
          </cell>
          <cell r="D118">
            <v>1764.4620477127301</v>
          </cell>
          <cell r="E118">
            <v>0.31645724155756999</v>
          </cell>
          <cell r="F118">
            <v>29.707102385548001</v>
          </cell>
          <cell r="I118">
            <v>8.2353402428863607</v>
          </cell>
          <cell r="J118">
            <v>8440.5084099046398</v>
          </cell>
          <cell r="K118">
            <v>367.85516788304602</v>
          </cell>
          <cell r="L118">
            <v>326.50618006210198</v>
          </cell>
          <cell r="M118">
            <v>303.160804991139</v>
          </cell>
          <cell r="N118">
            <v>3390.00490527082</v>
          </cell>
          <cell r="O118">
            <v>536.70441442619801</v>
          </cell>
          <cell r="P118">
            <v>2175.3453643369098</v>
          </cell>
          <cell r="Q118">
            <v>1340.9315729344301</v>
          </cell>
          <cell r="R118">
            <v>569.91112597647498</v>
          </cell>
          <cell r="S118">
            <v>8868.4123399378295</v>
          </cell>
          <cell r="T118">
            <v>1618.0934367930899</v>
          </cell>
          <cell r="U118">
            <v>3040.1483285732702</v>
          </cell>
          <cell r="V118">
            <v>1814.16879793615</v>
          </cell>
          <cell r="W118">
            <v>1130.94667073967</v>
          </cell>
          <cell r="X118">
            <v>1265.0551058956601</v>
          </cell>
          <cell r="Y118">
            <v>7.8042403562103599</v>
          </cell>
          <cell r="Z118">
            <v>19689.3570637579</v>
          </cell>
        </row>
        <row r="119">
          <cell r="A119" t="str">
            <v>Negeri Sembilan</v>
          </cell>
          <cell r="B119" t="str">
            <v>05</v>
          </cell>
          <cell r="C119">
            <v>2015.9306547180799</v>
          </cell>
          <cell r="D119">
            <v>1930.33247837055</v>
          </cell>
          <cell r="E119">
            <v>48.214528414990703</v>
          </cell>
          <cell r="F119">
            <v>37.3836479325401</v>
          </cell>
          <cell r="I119">
            <v>20.531206444456998</v>
          </cell>
          <cell r="J119">
            <v>12289.029198689799</v>
          </cell>
          <cell r="K119">
            <v>1265.4247888038401</v>
          </cell>
          <cell r="L119">
            <v>169.811946399276</v>
          </cell>
          <cell r="M119">
            <v>413.12574398847102</v>
          </cell>
          <cell r="N119">
            <v>3438.3800519340998</v>
          </cell>
          <cell r="O119">
            <v>934.058282358876</v>
          </cell>
          <cell r="P119">
            <v>5029.5214315784297</v>
          </cell>
          <cell r="Q119">
            <v>1038.7069536268</v>
          </cell>
          <cell r="R119">
            <v>583.15016914262105</v>
          </cell>
          <cell r="S119">
            <v>10039.968852706999</v>
          </cell>
          <cell r="T119">
            <v>2380.09261256539</v>
          </cell>
          <cell r="U119">
            <v>2618.9256670966502</v>
          </cell>
          <cell r="V119">
            <v>2048.7909989050199</v>
          </cell>
          <cell r="W119">
            <v>1376.27261475061</v>
          </cell>
          <cell r="X119">
            <v>1615.8869593893801</v>
          </cell>
          <cell r="Y119">
            <v>228.799916956543</v>
          </cell>
          <cell r="Z119">
            <v>25177.409998658499</v>
          </cell>
        </row>
        <row r="120">
          <cell r="A120" t="str">
            <v>Pahang</v>
          </cell>
          <cell r="B120" t="str">
            <v>06</v>
          </cell>
          <cell r="C120">
            <v>5672.8495426607196</v>
          </cell>
          <cell r="D120">
            <v>4511.6503307216099</v>
          </cell>
          <cell r="E120">
            <v>529.44191823602398</v>
          </cell>
          <cell r="F120">
            <v>631.75729370308704</v>
          </cell>
          <cell r="I120">
            <v>178.566419495975</v>
          </cell>
          <cell r="J120">
            <v>6899.3228196329201</v>
          </cell>
          <cell r="K120">
            <v>925.49422077744396</v>
          </cell>
          <cell r="L120">
            <v>21.3974917177141</v>
          </cell>
          <cell r="M120">
            <v>659.90788050961805</v>
          </cell>
          <cell r="N120">
            <v>3062.4981567292598</v>
          </cell>
          <cell r="O120">
            <v>671.98675060911796</v>
          </cell>
          <cell r="P120">
            <v>106.82078047637</v>
          </cell>
          <cell r="Q120">
            <v>1451.2175388133901</v>
          </cell>
          <cell r="R120">
            <v>782.11758540868504</v>
          </cell>
          <cell r="S120">
            <v>13941.070831927</v>
          </cell>
          <cell r="T120">
            <v>1477.06391407244</v>
          </cell>
          <cell r="U120">
            <v>4534.5843284699504</v>
          </cell>
          <cell r="V120">
            <v>1906.0234107915401</v>
          </cell>
          <cell r="W120">
            <v>3422.8515809365499</v>
          </cell>
          <cell r="X120">
            <v>2600.5475976564999</v>
          </cell>
          <cell r="Y120">
            <v>10.4708739581983</v>
          </cell>
          <cell r="Z120">
            <v>27484.398073083499</v>
          </cell>
        </row>
        <row r="121">
          <cell r="A121" t="str">
            <v>Pulau Pinang</v>
          </cell>
          <cell r="B121" t="str">
            <v>07</v>
          </cell>
          <cell r="C121">
            <v>888.99094852272901</v>
          </cell>
          <cell r="D121">
            <v>651.22159236704397</v>
          </cell>
          <cell r="E121">
            <v>0</v>
          </cell>
          <cell r="F121">
            <v>237.76935615568499</v>
          </cell>
          <cell r="I121">
            <v>19.1246938869308</v>
          </cell>
          <cell r="J121">
            <v>24263.659327634199</v>
          </cell>
          <cell r="K121">
            <v>1041.08277393871</v>
          </cell>
          <cell r="L121">
            <v>534.89790830765605</v>
          </cell>
          <cell r="M121">
            <v>906.37835707932197</v>
          </cell>
          <cell r="N121">
            <v>2696.4460690588899</v>
          </cell>
          <cell r="O121">
            <v>2163.8530109986</v>
          </cell>
          <cell r="P121">
            <v>15140.1465095285</v>
          </cell>
          <cell r="Q121">
            <v>1780.85469872253</v>
          </cell>
          <cell r="R121">
            <v>1021.91977091495</v>
          </cell>
          <cell r="S121">
            <v>21688.303059001199</v>
          </cell>
          <cell r="T121">
            <v>4570.3375136091699</v>
          </cell>
          <cell r="U121">
            <v>6218.3805585190403</v>
          </cell>
          <cell r="V121">
            <v>6402.6290576771098</v>
          </cell>
          <cell r="W121">
            <v>2201.0409483533199</v>
          </cell>
          <cell r="X121">
            <v>2295.91498084252</v>
          </cell>
          <cell r="Y121">
            <v>279.09817634319398</v>
          </cell>
          <cell r="Z121">
            <v>48161.095976303201</v>
          </cell>
        </row>
        <row r="122">
          <cell r="A122" t="str">
            <v>Perak</v>
          </cell>
          <cell r="B122" t="str">
            <v>08</v>
          </cell>
          <cell r="C122">
            <v>5241.3585679134603</v>
          </cell>
          <cell r="D122">
            <v>3490.3978906095599</v>
          </cell>
          <cell r="E122">
            <v>397.45434840437503</v>
          </cell>
          <cell r="F122">
            <v>1353.50632889952</v>
          </cell>
          <cell r="I122">
            <v>111.552905846865</v>
          </cell>
          <cell r="J122">
            <v>6549.0848263154103</v>
          </cell>
          <cell r="K122">
            <v>1037.5191619500999</v>
          </cell>
          <cell r="L122">
            <v>187.95000729593201</v>
          </cell>
          <cell r="M122">
            <v>331.45052802276899</v>
          </cell>
          <cell r="N122">
            <v>1294.74421541383</v>
          </cell>
          <cell r="O122">
            <v>1620.3543362374301</v>
          </cell>
          <cell r="P122">
            <v>1611.9499042448001</v>
          </cell>
          <cell r="Q122">
            <v>465.11667315054001</v>
          </cell>
          <cell r="R122">
            <v>717.19374778978397</v>
          </cell>
          <cell r="S122">
            <v>21941.387676528699</v>
          </cell>
          <cell r="T122">
            <v>6444.7229043016596</v>
          </cell>
          <cell r="U122">
            <v>5194.1865508002802</v>
          </cell>
          <cell r="V122">
            <v>3897.0308124437602</v>
          </cell>
          <cell r="W122">
            <v>2753.62435652473</v>
          </cell>
          <cell r="X122">
            <v>3651.8230524583</v>
          </cell>
          <cell r="Y122">
            <v>15.391061046690901</v>
          </cell>
          <cell r="Z122">
            <v>34575.968785440899</v>
          </cell>
        </row>
        <row r="123">
          <cell r="A123" t="str">
            <v>Perlis</v>
          </cell>
          <cell r="B123" t="str">
            <v>09</v>
          </cell>
          <cell r="C123">
            <v>890.253977413808</v>
          </cell>
          <cell r="D123">
            <v>250.038227188164</v>
          </cell>
          <cell r="E123">
            <v>0</v>
          </cell>
          <cell r="F123">
            <v>640.215750225644</v>
          </cell>
          <cell r="I123">
            <v>6.3552696173596797</v>
          </cell>
          <cell r="J123">
            <v>302.11336558226998</v>
          </cell>
          <cell r="K123">
            <v>52.451226974228597</v>
          </cell>
          <cell r="L123">
            <v>41.430334462900099</v>
          </cell>
          <cell r="M123">
            <v>5.1199116479700102</v>
          </cell>
          <cell r="N123">
            <v>61.248855934673102</v>
          </cell>
          <cell r="O123">
            <v>138.71952423795801</v>
          </cell>
          <cell r="P123">
            <v>0.56475732443658899</v>
          </cell>
          <cell r="Q123">
            <v>2.5787550001031798</v>
          </cell>
          <cell r="R123">
            <v>108.664065708869</v>
          </cell>
          <cell r="S123">
            <v>1937.3440641202401</v>
          </cell>
          <cell r="T123">
            <v>677.02078287461802</v>
          </cell>
          <cell r="U123">
            <v>282.88980003650198</v>
          </cell>
          <cell r="V123">
            <v>253.67699812060499</v>
          </cell>
          <cell r="W123">
            <v>256.31133519920502</v>
          </cell>
          <cell r="X123">
            <v>467.44514788931002</v>
          </cell>
          <cell r="Y123">
            <v>73.299611950522902</v>
          </cell>
          <cell r="Z123">
            <v>3318.03035439307</v>
          </cell>
        </row>
        <row r="124">
          <cell r="A124" t="str">
            <v>Selangor</v>
          </cell>
          <cell r="B124">
            <v>10</v>
          </cell>
          <cell r="C124">
            <v>2706.54572787396</v>
          </cell>
          <cell r="D124">
            <v>1778.1379792200801</v>
          </cell>
          <cell r="E124">
            <v>3.4337174438734501</v>
          </cell>
          <cell r="F124">
            <v>924.97403121000798</v>
          </cell>
          <cell r="I124">
            <v>127.244240156123</v>
          </cell>
          <cell r="J124">
            <v>50189.2496835778</v>
          </cell>
          <cell r="K124">
            <v>7955.0931080243399</v>
          </cell>
          <cell r="L124">
            <v>531.41727182738396</v>
          </cell>
          <cell r="M124">
            <v>2995.0687524483401</v>
          </cell>
          <cell r="N124">
            <v>7040.3779359457303</v>
          </cell>
          <cell r="O124">
            <v>6453.92059306993</v>
          </cell>
          <cell r="P124">
            <v>12092.630973113301</v>
          </cell>
          <cell r="Q124">
            <v>13120.741049148801</v>
          </cell>
          <cell r="R124">
            <v>7248.0361555894597</v>
          </cell>
          <cell r="S124">
            <v>90799.867556183905</v>
          </cell>
          <cell r="T124">
            <v>21753.1414275928</v>
          </cell>
          <cell r="U124">
            <v>29898.888005700599</v>
          </cell>
          <cell r="V124">
            <v>24579.777021532798</v>
          </cell>
          <cell r="W124">
            <v>7542.24113877529</v>
          </cell>
          <cell r="X124">
            <v>7025.81996258247</v>
          </cell>
          <cell r="Y124">
            <v>4667.9359911748797</v>
          </cell>
          <cell r="Z124">
            <v>155738.879354556</v>
          </cell>
        </row>
        <row r="125">
          <cell r="A125" t="str">
            <v>Terengganu</v>
          </cell>
          <cell r="B125">
            <v>11</v>
          </cell>
          <cell r="C125">
            <v>1502.42703928226</v>
          </cell>
          <cell r="D125">
            <v>1145.04075419776</v>
          </cell>
          <cell r="E125">
            <v>108.922814844762</v>
          </cell>
          <cell r="F125">
            <v>248.463470239733</v>
          </cell>
          <cell r="I125">
            <v>14.3354558514615</v>
          </cell>
          <cell r="J125">
            <v>7214.7000354725296</v>
          </cell>
          <cell r="K125">
            <v>66.728878161678693</v>
          </cell>
          <cell r="L125">
            <v>44.048798066171003</v>
          </cell>
          <cell r="M125">
            <v>101.77840981852199</v>
          </cell>
          <cell r="N125">
            <v>6596.5370587211601</v>
          </cell>
          <cell r="O125">
            <v>338.26986463669903</v>
          </cell>
          <cell r="P125">
            <v>2.3404493387629799</v>
          </cell>
          <cell r="Q125">
            <v>64.996576729532705</v>
          </cell>
          <cell r="R125">
            <v>648.48607448725102</v>
          </cell>
          <cell r="S125">
            <v>9093.8914214729393</v>
          </cell>
          <cell r="T125">
            <v>3627.3338756503599</v>
          </cell>
          <cell r="U125">
            <v>1653.0362401719699</v>
          </cell>
          <cell r="V125">
            <v>837.27481127513101</v>
          </cell>
          <cell r="W125">
            <v>888.09695694086497</v>
          </cell>
          <cell r="X125">
            <v>2088.14953743461</v>
          </cell>
          <cell r="Y125">
            <v>13.4239951153119</v>
          </cell>
          <cell r="Z125">
            <v>18487.264021681702</v>
          </cell>
        </row>
        <row r="126">
          <cell r="A126" t="str">
            <v>Sabah</v>
          </cell>
          <cell r="B126">
            <v>12</v>
          </cell>
          <cell r="C126">
            <v>9333.0021421278598</v>
          </cell>
          <cell r="D126">
            <v>6100.7278202973503</v>
          </cell>
          <cell r="E126">
            <v>1494.15173959661</v>
          </cell>
          <cell r="F126">
            <v>1738.1225822338999</v>
          </cell>
          <cell r="I126">
            <v>9981.4576113374696</v>
          </cell>
          <cell r="J126">
            <v>3296.1000083382501</v>
          </cell>
          <cell r="K126">
            <v>1779.1503845996899</v>
          </cell>
          <cell r="L126">
            <v>35.183050821935502</v>
          </cell>
          <cell r="M126">
            <v>825.74608328706199</v>
          </cell>
          <cell r="N126">
            <v>164.51613490018701</v>
          </cell>
          <cell r="O126">
            <v>329.33465262169199</v>
          </cell>
          <cell r="P126">
            <v>9.6836285176547197</v>
          </cell>
          <cell r="Q126">
            <v>152.486073590019</v>
          </cell>
          <cell r="R126">
            <v>1048.32131495573</v>
          </cell>
          <cell r="S126">
            <v>18249.0380787022</v>
          </cell>
          <cell r="T126">
            <v>3461.1455486172499</v>
          </cell>
          <cell r="U126">
            <v>6027.3226036168899</v>
          </cell>
          <cell r="V126">
            <v>3661.9798489268401</v>
          </cell>
          <cell r="W126">
            <v>1705.5620623341599</v>
          </cell>
          <cell r="X126">
            <v>3393.02801520702</v>
          </cell>
          <cell r="Y126">
            <v>193.38277115297299</v>
          </cell>
          <cell r="Z126">
            <v>42101.301926614397</v>
          </cell>
        </row>
        <row r="127">
          <cell r="A127" t="str">
            <v>Sarawak</v>
          </cell>
          <cell r="B127">
            <v>13</v>
          </cell>
          <cell r="C127">
            <v>7694.6268346018496</v>
          </cell>
          <cell r="D127">
            <v>3743.7971310764401</v>
          </cell>
          <cell r="E127">
            <v>3512.6235058080101</v>
          </cell>
          <cell r="F127">
            <v>438.20619771739302</v>
          </cell>
          <cell r="I127">
            <v>15757.0015301638</v>
          </cell>
          <cell r="J127">
            <v>18116.8093202567</v>
          </cell>
          <cell r="K127">
            <v>663.697594744968</v>
          </cell>
          <cell r="L127">
            <v>15.0311885489606</v>
          </cell>
          <cell r="M127">
            <v>1502.3919041398201</v>
          </cell>
          <cell r="N127">
            <v>14580.9532505529</v>
          </cell>
          <cell r="O127">
            <v>466.14674304866998</v>
          </cell>
          <cell r="P127">
            <v>520.84665857406503</v>
          </cell>
          <cell r="Q127">
            <v>367.74198064728199</v>
          </cell>
          <cell r="R127">
            <v>1877.0483570021199</v>
          </cell>
          <cell r="S127">
            <v>23200.6558210517</v>
          </cell>
          <cell r="T127">
            <v>5246.0543498770203</v>
          </cell>
          <cell r="U127">
            <v>6280.5784683472802</v>
          </cell>
          <cell r="V127">
            <v>5981.4911503486201</v>
          </cell>
          <cell r="W127">
            <v>2294.15121074228</v>
          </cell>
          <cell r="X127">
            <v>3398.3806417365499</v>
          </cell>
          <cell r="Y127">
            <v>301.068958955516</v>
          </cell>
          <cell r="Z127">
            <v>66947.210822031702</v>
          </cell>
        </row>
        <row r="128">
          <cell r="A128" t="str">
            <v>WP Kuala Lumpur</v>
          </cell>
          <cell r="B128">
            <v>14</v>
          </cell>
          <cell r="C128">
            <v>1.17572172328511</v>
          </cell>
          <cell r="D128">
            <v>1.17572172328511</v>
          </cell>
          <cell r="E128">
            <v>0</v>
          </cell>
          <cell r="F128">
            <v>0</v>
          </cell>
          <cell r="I128">
            <v>27.291962033823101</v>
          </cell>
          <cell r="J128">
            <v>3757.3330725698902</v>
          </cell>
          <cell r="K128">
            <v>435.95852116711302</v>
          </cell>
          <cell r="L128">
            <v>311.82545341745299</v>
          </cell>
          <cell r="M128">
            <v>558.86987045419903</v>
          </cell>
          <cell r="N128">
            <v>562.95918164167699</v>
          </cell>
          <cell r="O128">
            <v>615.833407859423</v>
          </cell>
          <cell r="P128">
            <v>565.42640847014002</v>
          </cell>
          <cell r="Q128">
            <v>706.46022955988599</v>
          </cell>
          <cell r="R128">
            <v>4039.3162243751299</v>
          </cell>
          <cell r="S128">
            <v>88999.185666447098</v>
          </cell>
          <cell r="T128">
            <v>5859.4981354623997</v>
          </cell>
          <cell r="U128">
            <v>33263.711150495801</v>
          </cell>
          <cell r="V128">
            <v>33928.255428053999</v>
          </cell>
          <cell r="W128">
            <v>4586.0170306022601</v>
          </cell>
          <cell r="X128">
            <v>11361.703921832601</v>
          </cell>
          <cell r="Y128">
            <v>1005.54682827907</v>
          </cell>
          <cell r="Z128">
            <v>97829.849475428302</v>
          </cell>
        </row>
        <row r="129">
          <cell r="A129" t="str">
            <v>WP Labuan</v>
          </cell>
          <cell r="B129">
            <v>15</v>
          </cell>
          <cell r="C129">
            <v>117.835512878771</v>
          </cell>
          <cell r="D129">
            <v>7.4245397112611</v>
          </cell>
          <cell r="E129">
            <v>0</v>
          </cell>
          <cell r="F129">
            <v>110.41097316750999</v>
          </cell>
          <cell r="I129">
            <v>0</v>
          </cell>
          <cell r="J129">
            <v>576.19529319268997</v>
          </cell>
          <cell r="K129">
            <v>11.6146768482245</v>
          </cell>
          <cell r="L129">
            <v>2.75964839768156</v>
          </cell>
          <cell r="M129">
            <v>1.41659429612576</v>
          </cell>
          <cell r="N129">
            <v>257.48306212891299</v>
          </cell>
          <cell r="O129">
            <v>273.525809078002</v>
          </cell>
          <cell r="P129">
            <v>1.0281257709365199</v>
          </cell>
          <cell r="Q129">
            <v>28.367376672806301</v>
          </cell>
          <cell r="R129">
            <v>20.557724287622801</v>
          </cell>
          <cell r="S129">
            <v>1912.81908981113</v>
          </cell>
          <cell r="T129">
            <v>202.44696601929701</v>
          </cell>
          <cell r="U129">
            <v>240.06121027596001</v>
          </cell>
          <cell r="V129">
            <v>1313.4462330045201</v>
          </cell>
          <cell r="W129">
            <v>68.710276306096105</v>
          </cell>
          <cell r="X129">
            <v>88.154404205260093</v>
          </cell>
          <cell r="Y129">
            <v>19.052607394355999</v>
          </cell>
          <cell r="Z129">
            <v>2646.4602275645698</v>
          </cell>
        </row>
        <row r="130">
          <cell r="A130" t="str">
            <v>Supra1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I130">
            <v>39827.220356516496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39827.220356516496</v>
          </cell>
        </row>
        <row r="131">
          <cell r="A131" t="str">
            <v>MALAYSIA</v>
          </cell>
          <cell r="C131">
            <v>51262.585309453403</v>
          </cell>
          <cell r="D131">
            <v>36675.639973874699</v>
          </cell>
          <cell r="E131">
            <v>6922.9753038547296</v>
          </cell>
          <cell r="F131">
            <v>7663.9700317239704</v>
          </cell>
          <cell r="I131">
            <v>66182.442509128305</v>
          </cell>
          <cell r="J131">
            <v>170260.619620679</v>
          </cell>
          <cell r="K131">
            <v>18269.909161044499</v>
          </cell>
          <cell r="L131">
            <v>3120.84084725401</v>
          </cell>
          <cell r="M131">
            <v>10862.594816504199</v>
          </cell>
          <cell r="N131">
            <v>48910.345242157899</v>
          </cell>
          <cell r="O131">
            <v>19628.259549294002</v>
          </cell>
          <cell r="P131">
            <v>45972.646985428299</v>
          </cell>
          <cell r="Q131">
            <v>23496.023018995998</v>
          </cell>
          <cell r="R131">
            <v>21458.576878407799</v>
          </cell>
          <cell r="S131">
            <v>359829.17435174598</v>
          </cell>
          <cell r="T131">
            <v>66782.185103885597</v>
          </cell>
          <cell r="U131">
            <v>111796.109106901</v>
          </cell>
          <cell r="V131">
            <v>97969.802170144001</v>
          </cell>
          <cell r="W131">
            <v>34413.396601364802</v>
          </cell>
          <cell r="X131">
            <v>48867.681369450802</v>
          </cell>
          <cell r="Y131">
            <v>7659.6039079068296</v>
          </cell>
          <cell r="Z131">
            <v>676653.00257732102</v>
          </cell>
        </row>
        <row r="134">
          <cell r="A134" t="str">
            <v>CONSTANT</v>
          </cell>
          <cell r="B134" t="str">
            <v>Industry</v>
          </cell>
          <cell r="D134">
            <v>1</v>
          </cell>
          <cell r="E134">
            <v>2</v>
          </cell>
          <cell r="F134">
            <v>3</v>
          </cell>
          <cell r="I134">
            <v>4</v>
          </cell>
          <cell r="K134">
            <v>6</v>
          </cell>
          <cell r="L134">
            <v>7</v>
          </cell>
          <cell r="M134">
            <v>8</v>
          </cell>
          <cell r="N134">
            <v>9</v>
          </cell>
          <cell r="O134">
            <v>10</v>
          </cell>
          <cell r="P134">
            <v>11</v>
          </cell>
          <cell r="Q134">
            <v>12</v>
          </cell>
          <cell r="R134">
            <v>5</v>
          </cell>
          <cell r="T134">
            <v>13</v>
          </cell>
          <cell r="U134">
            <v>14</v>
          </cell>
          <cell r="V134">
            <v>15</v>
          </cell>
          <cell r="W134">
            <v>16</v>
          </cell>
        </row>
        <row r="135">
          <cell r="A135">
            <v>2011</v>
          </cell>
          <cell r="B135" t="str">
            <v>I</v>
          </cell>
          <cell r="C135" t="str">
            <v>Agriculture</v>
          </cell>
          <cell r="D135" t="str">
            <v>Tanaman</v>
          </cell>
          <cell r="E135" t="str">
            <v>Pembalakan</v>
          </cell>
          <cell r="F135" t="str">
            <v>Perikanan</v>
          </cell>
          <cell r="I135" t="str">
            <v>Mining and
Quarrying</v>
          </cell>
          <cell r="J135" t="str">
            <v>Manufacturing</v>
          </cell>
          <cell r="K135" t="str">
            <v>Prosesan Makanan, Minuman dan Produk Tembakau</v>
          </cell>
          <cell r="L135" t="str">
            <v>Tekstil, Pakaian, Kulit dan Kasut</v>
          </cell>
          <cell r="M135" t="str">
            <v>Keluaran Kayu, Perabot, Produk Kertas, Percetakan dan Penerbitan</v>
          </cell>
          <cell r="N135" t="str">
            <v>Produk Petroleum, Bahan kimia, Getah dan Plastik</v>
          </cell>
          <cell r="O135" t="str">
            <v>Produk Mineral Bukan Logam, Logam Asli dan Produk Logam Yang Direka</v>
          </cell>
          <cell r="P135" t="str">
            <v>Elektrik dan Elektronik</v>
          </cell>
          <cell r="Q135" t="str">
            <v>Kelengkapan Pengangkutan dan Pembuatan Lain</v>
          </cell>
          <cell r="R135" t="str">
            <v>Construction</v>
          </cell>
          <cell r="S135" t="str">
            <v>Services</v>
          </cell>
          <cell r="T135" t="str">
            <v>Utiliti, Transport &amp; Communication</v>
          </cell>
          <cell r="U135" t="str">
            <v>WRT, Accomm &amp; Restaurant</v>
          </cell>
          <cell r="V135" t="str">
            <v>Finance &amp; Insurance, Real Estate &amp; Business Services</v>
          </cell>
          <cell r="W135" t="str">
            <v>Other Services</v>
          </cell>
          <cell r="X135" t="str">
            <v>Government Services</v>
          </cell>
          <cell r="Y135" t="str">
            <v>Plus :
Import Duties</v>
          </cell>
          <cell r="Z135" t="str">
            <v>GDP at
Purchasers' Prices</v>
          </cell>
        </row>
        <row r="136">
          <cell r="A136" t="str">
            <v>States</v>
          </cell>
          <cell r="B136" t="str">
            <v>Converter</v>
          </cell>
        </row>
        <row r="137">
          <cell r="A137" t="str">
            <v>Johor</v>
          </cell>
          <cell r="B137" t="str">
            <v>01</v>
          </cell>
          <cell r="C137">
            <v>8134.6770207458503</v>
          </cell>
          <cell r="D137">
            <v>7422.0715582305802</v>
          </cell>
          <cell r="E137">
            <v>47.762779025678199</v>
          </cell>
          <cell r="F137">
            <v>664.84268348959301</v>
          </cell>
          <cell r="I137">
            <v>70.624621916013794</v>
          </cell>
          <cell r="J137">
            <v>21994.898483521501</v>
          </cell>
          <cell r="K137">
            <v>2410.6855618292698</v>
          </cell>
          <cell r="L137">
            <v>871.84644902889499</v>
          </cell>
          <cell r="M137">
            <v>1782.4639099186099</v>
          </cell>
          <cell r="N137">
            <v>5230.0964648468298</v>
          </cell>
          <cell r="O137">
            <v>3302.5548771064</v>
          </cell>
          <cell r="P137">
            <v>6458.0726612356502</v>
          </cell>
          <cell r="Q137">
            <v>1939.1785595558499</v>
          </cell>
          <cell r="R137">
            <v>2029.3071001792</v>
          </cell>
          <cell r="S137">
            <v>31642.340433222402</v>
          </cell>
          <cell r="T137">
            <v>7296.5972343024996</v>
          </cell>
          <cell r="U137">
            <v>7682.37373900291</v>
          </cell>
          <cell r="V137">
            <v>8629.8666459142405</v>
          </cell>
          <cell r="W137">
            <v>3096.7312974633601</v>
          </cell>
          <cell r="X137">
            <v>4936.7715165394102</v>
          </cell>
          <cell r="Y137">
            <v>719.74007920346901</v>
          </cell>
          <cell r="Z137">
            <v>64591.587738788403</v>
          </cell>
        </row>
        <row r="138">
          <cell r="A138" t="str">
            <v>Kedah</v>
          </cell>
          <cell r="B138" t="str">
            <v>02</v>
          </cell>
          <cell r="C138">
            <v>2960.6632872735699</v>
          </cell>
          <cell r="D138">
            <v>2540.7729817119698</v>
          </cell>
          <cell r="E138">
            <v>117.22210580143999</v>
          </cell>
          <cell r="F138">
            <v>302.66819976016399</v>
          </cell>
          <cell r="I138">
            <v>20.032884294642901</v>
          </cell>
          <cell r="J138">
            <v>7352.0687446499696</v>
          </cell>
          <cell r="K138">
            <v>383.350799132188</v>
          </cell>
          <cell r="L138">
            <v>81.717323357246499</v>
          </cell>
          <cell r="M138">
            <v>440.09319389067099</v>
          </cell>
          <cell r="N138">
            <v>1412.68923948528</v>
          </cell>
          <cell r="O138">
            <v>2261.31833975989</v>
          </cell>
          <cell r="P138">
            <v>1487.0281647716699</v>
          </cell>
          <cell r="Q138">
            <v>1285.87168425303</v>
          </cell>
          <cell r="R138">
            <v>544.91931712892699</v>
          </cell>
          <cell r="S138">
            <v>12829.536155953399</v>
          </cell>
          <cell r="T138">
            <v>1918.0622325428001</v>
          </cell>
          <cell r="U138">
            <v>3317.3555159477801</v>
          </cell>
          <cell r="V138">
            <v>2490.2016389007299</v>
          </cell>
          <cell r="W138">
            <v>2009.5826020151301</v>
          </cell>
          <cell r="X138">
            <v>3094.3341665469802</v>
          </cell>
          <cell r="Y138">
            <v>129.48746996672901</v>
          </cell>
          <cell r="Z138">
            <v>23836.707859267299</v>
          </cell>
        </row>
        <row r="139">
          <cell r="A139" t="str">
            <v>Kelantan</v>
          </cell>
          <cell r="B139" t="str">
            <v>03</v>
          </cell>
          <cell r="C139">
            <v>3250.3931440866399</v>
          </cell>
          <cell r="D139">
            <v>2307.48252030412</v>
          </cell>
          <cell r="E139">
            <v>686.82311431359699</v>
          </cell>
          <cell r="F139">
            <v>256.08750946892599</v>
          </cell>
          <cell r="I139">
            <v>17.555017875334102</v>
          </cell>
          <cell r="J139">
            <v>720.02379042973098</v>
          </cell>
          <cell r="K139">
            <v>120.480108489873</v>
          </cell>
          <cell r="L139">
            <v>33.115332635042897</v>
          </cell>
          <cell r="M139">
            <v>86.254756643894197</v>
          </cell>
          <cell r="N139">
            <v>125.631643864236</v>
          </cell>
          <cell r="O139">
            <v>81.481969197679106</v>
          </cell>
          <cell r="P139">
            <v>265.79753286347898</v>
          </cell>
          <cell r="Q139">
            <v>7.26244673552634</v>
          </cell>
          <cell r="R139">
            <v>205.35856253309299</v>
          </cell>
          <cell r="S139">
            <v>8563.4068646215401</v>
          </cell>
          <cell r="T139">
            <v>1008.9559015075901</v>
          </cell>
          <cell r="U139">
            <v>2303.81195694282</v>
          </cell>
          <cell r="V139">
            <v>1043.9061010979001</v>
          </cell>
          <cell r="W139">
            <v>1410.4768872443699</v>
          </cell>
          <cell r="X139">
            <v>2796.25601782887</v>
          </cell>
          <cell r="Y139">
            <v>23.1335746334703</v>
          </cell>
          <cell r="Z139">
            <v>12779.8709541798</v>
          </cell>
        </row>
        <row r="140">
          <cell r="A140" t="str">
            <v>Melaka</v>
          </cell>
          <cell r="B140" t="str">
            <v>04</v>
          </cell>
          <cell r="C140">
            <v>1904.4398963829201</v>
          </cell>
          <cell r="D140">
            <v>1875.3104448702099</v>
          </cell>
          <cell r="E140">
            <v>0.34854431854738999</v>
          </cell>
          <cell r="F140">
            <v>28.7809071941657</v>
          </cell>
          <cell r="I140">
            <v>8.7133632236388596</v>
          </cell>
          <cell r="J140">
            <v>8526.6092260537007</v>
          </cell>
          <cell r="K140">
            <v>404.35623405683498</v>
          </cell>
          <cell r="L140">
            <v>371.82640156334901</v>
          </cell>
          <cell r="M140">
            <v>289.34137120731998</v>
          </cell>
          <cell r="N140">
            <v>3915.2355954753298</v>
          </cell>
          <cell r="O140">
            <v>586.39123981980595</v>
          </cell>
          <cell r="P140">
            <v>1917.9929215814</v>
          </cell>
          <cell r="Q140">
            <v>1041.4654623496499</v>
          </cell>
          <cell r="R140">
            <v>578.56670411304901</v>
          </cell>
          <cell r="S140">
            <v>9447.5733618878294</v>
          </cell>
          <cell r="T140">
            <v>1718.8795132765799</v>
          </cell>
          <cell r="U140">
            <v>3241.9358636103698</v>
          </cell>
          <cell r="V140">
            <v>1872.6180711970701</v>
          </cell>
          <cell r="W140">
            <v>1206.3822808283201</v>
          </cell>
          <cell r="X140">
            <v>1407.7576329755</v>
          </cell>
          <cell r="Y140">
            <v>8.4322950552220597</v>
          </cell>
          <cell r="Z140">
            <v>20474.3348467164</v>
          </cell>
        </row>
        <row r="141">
          <cell r="A141" t="str">
            <v>Negeri Sembilan</v>
          </cell>
          <cell r="B141" t="str">
            <v>05</v>
          </cell>
          <cell r="C141">
            <v>2126.3575406422601</v>
          </cell>
          <cell r="D141">
            <v>2036.69822993804</v>
          </cell>
          <cell r="E141">
            <v>51.872211126034898</v>
          </cell>
          <cell r="F141">
            <v>37.787099578188702</v>
          </cell>
          <cell r="I141">
            <v>21.145056486151599</v>
          </cell>
          <cell r="J141">
            <v>12894.9399107464</v>
          </cell>
          <cell r="K141">
            <v>1392.6142550950001</v>
          </cell>
          <cell r="L141">
            <v>182.82011147314299</v>
          </cell>
          <cell r="M141">
            <v>396.74162644753102</v>
          </cell>
          <cell r="N141">
            <v>3806.0058318315801</v>
          </cell>
          <cell r="O141">
            <v>1183.1215905153699</v>
          </cell>
          <cell r="P141">
            <v>5033.5464955859998</v>
          </cell>
          <cell r="Q141">
            <v>900.089999797779</v>
          </cell>
          <cell r="R141">
            <v>611.75562451344899</v>
          </cell>
          <cell r="S141">
            <v>10586.379094448601</v>
          </cell>
          <cell r="T141">
            <v>2510.4388442251702</v>
          </cell>
          <cell r="U141">
            <v>2705.1158011420398</v>
          </cell>
          <cell r="V141">
            <v>2162.4276451003998</v>
          </cell>
          <cell r="W141">
            <v>1415.49372916073</v>
          </cell>
          <cell r="X141">
            <v>1792.9030748202899</v>
          </cell>
          <cell r="Y141">
            <v>172.97280325428</v>
          </cell>
          <cell r="Z141">
            <v>26413.550030091199</v>
          </cell>
        </row>
        <row r="142">
          <cell r="A142" t="str">
            <v>Pahang</v>
          </cell>
          <cell r="B142" t="str">
            <v>06</v>
          </cell>
          <cell r="C142">
            <v>6116.6826148353102</v>
          </cell>
          <cell r="D142">
            <v>4876.2907066867701</v>
          </cell>
          <cell r="E142">
            <v>581.04914766295406</v>
          </cell>
          <cell r="F142">
            <v>659.34276048559298</v>
          </cell>
          <cell r="I142">
            <v>197.77283771610999</v>
          </cell>
          <cell r="J142">
            <v>7260.4879476781798</v>
          </cell>
          <cell r="K142">
            <v>1016.56039347948</v>
          </cell>
          <cell r="L142">
            <v>28.841100684370499</v>
          </cell>
          <cell r="M142">
            <v>663.49731876668102</v>
          </cell>
          <cell r="N142">
            <v>3082.3091472992101</v>
          </cell>
          <cell r="O142">
            <v>675.63786091811698</v>
          </cell>
          <cell r="P142">
            <v>120.79217979550501</v>
          </cell>
          <cell r="Q142">
            <v>1672.8499467348099</v>
          </cell>
          <cell r="R142">
            <v>760.95804245120905</v>
          </cell>
          <cell r="S142">
            <v>14857.175356735999</v>
          </cell>
          <cell r="T142">
            <v>1588.7553522870401</v>
          </cell>
          <cell r="U142">
            <v>4712.8127755404103</v>
          </cell>
          <cell r="V142">
            <v>2024.6759611119801</v>
          </cell>
          <cell r="W142">
            <v>3658.8446811840599</v>
          </cell>
          <cell r="X142">
            <v>2872.08658661247</v>
          </cell>
          <cell r="Y142">
            <v>8.1035979179312605</v>
          </cell>
          <cell r="Z142">
            <v>29201.180397334701</v>
          </cell>
        </row>
        <row r="143">
          <cell r="A143" t="str">
            <v>Pulau Pinang</v>
          </cell>
          <cell r="B143" t="str">
            <v>07</v>
          </cell>
          <cell r="C143">
            <v>943.98157091535802</v>
          </cell>
          <cell r="D143">
            <v>691.89542709139801</v>
          </cell>
          <cell r="E143">
            <v>0</v>
          </cell>
          <cell r="F143">
            <v>252.08614382396101</v>
          </cell>
          <cell r="I143">
            <v>20.412292848177401</v>
          </cell>
          <cell r="J143">
            <v>24567.200957016299</v>
          </cell>
          <cell r="K143">
            <v>1025.0814368202</v>
          </cell>
          <cell r="L143">
            <v>620.82769623989998</v>
          </cell>
          <cell r="M143">
            <v>937.54425826509896</v>
          </cell>
          <cell r="N143">
            <v>3033.8457202014401</v>
          </cell>
          <cell r="O143">
            <v>2711.3973129731698</v>
          </cell>
          <cell r="P143">
            <v>14250.225567134999</v>
          </cell>
          <cell r="Q143">
            <v>1988.27896538147</v>
          </cell>
          <cell r="R143">
            <v>1073.9697622496999</v>
          </cell>
          <cell r="S143">
            <v>23107.214875716301</v>
          </cell>
          <cell r="T143">
            <v>4848.8281431502801</v>
          </cell>
          <cell r="U143">
            <v>6544.7360624590601</v>
          </cell>
          <cell r="V143">
            <v>6773.4100588843603</v>
          </cell>
          <cell r="W143">
            <v>2284.3270174064601</v>
          </cell>
          <cell r="X143">
            <v>2655.9135938161498</v>
          </cell>
          <cell r="Y143">
            <v>340.45827634796098</v>
          </cell>
          <cell r="Z143">
            <v>50053.237735093797</v>
          </cell>
        </row>
        <row r="144">
          <cell r="A144" t="str">
            <v>Perak</v>
          </cell>
          <cell r="B144" t="str">
            <v>08</v>
          </cell>
          <cell r="C144">
            <v>5627.2105795027801</v>
          </cell>
          <cell r="D144">
            <v>3735.9622783095001</v>
          </cell>
          <cell r="E144">
            <v>409.87173923597499</v>
          </cell>
          <cell r="F144">
            <v>1481.3765619573001</v>
          </cell>
          <cell r="I144">
            <v>120.25875212874401</v>
          </cell>
          <cell r="J144">
            <v>7268.061069286</v>
          </cell>
          <cell r="K144">
            <v>1151.51899843193</v>
          </cell>
          <cell r="L144">
            <v>181.75845234122301</v>
          </cell>
          <cell r="M144">
            <v>333.998529282964</v>
          </cell>
          <cell r="N144">
            <v>1351.0119551047201</v>
          </cell>
          <cell r="O144">
            <v>1915.4260496440399</v>
          </cell>
          <cell r="P144">
            <v>1853.97778166991</v>
          </cell>
          <cell r="Q144">
            <v>480.36930281122102</v>
          </cell>
          <cell r="R144">
            <v>721.20399693463105</v>
          </cell>
          <cell r="S144">
            <v>23246.9407555014</v>
          </cell>
          <cell r="T144">
            <v>6773.3004810202901</v>
          </cell>
          <cell r="U144">
            <v>5562.0388359467297</v>
          </cell>
          <cell r="V144">
            <v>4021.9619357315</v>
          </cell>
          <cell r="W144">
            <v>2851.47468013759</v>
          </cell>
          <cell r="X144">
            <v>4038.1648226652501</v>
          </cell>
          <cell r="Y144">
            <v>17.576273903996899</v>
          </cell>
          <cell r="Z144">
            <v>37001.251427257499</v>
          </cell>
        </row>
        <row r="145">
          <cell r="A145" t="str">
            <v>Perlis</v>
          </cell>
          <cell r="B145" t="str">
            <v>09</v>
          </cell>
          <cell r="C145">
            <v>827.73384823097501</v>
          </cell>
          <cell r="D145">
            <v>267.55028768946102</v>
          </cell>
          <cell r="E145">
            <v>0</v>
          </cell>
          <cell r="F145">
            <v>560.183560541514</v>
          </cell>
          <cell r="I145">
            <v>6.8440980555753903</v>
          </cell>
          <cell r="J145">
            <v>341.31202616500502</v>
          </cell>
          <cell r="K145">
            <v>55.916553000696197</v>
          </cell>
          <cell r="L145">
            <v>46.901569706717702</v>
          </cell>
          <cell r="M145">
            <v>5.3489647809514098</v>
          </cell>
          <cell r="N145">
            <v>65.394872424891801</v>
          </cell>
          <cell r="O145">
            <v>164.585883281571</v>
          </cell>
          <cell r="P145">
            <v>0.63380209987725999</v>
          </cell>
          <cell r="Q145">
            <v>2.5303808702997199</v>
          </cell>
          <cell r="R145">
            <v>104.527779096072</v>
          </cell>
          <cell r="S145">
            <v>2054.2194129108302</v>
          </cell>
          <cell r="T145">
            <v>709.11684778855999</v>
          </cell>
          <cell r="U145">
            <v>290.57844365090398</v>
          </cell>
          <cell r="V145">
            <v>267.76177137988799</v>
          </cell>
          <cell r="W145">
            <v>266.403762604527</v>
          </cell>
          <cell r="X145">
            <v>520.35858748695296</v>
          </cell>
          <cell r="Y145">
            <v>51.284124517975201</v>
          </cell>
          <cell r="Z145">
            <v>3385.9212889764399</v>
          </cell>
        </row>
        <row r="146">
          <cell r="A146" t="str">
            <v>Selangor</v>
          </cell>
          <cell r="B146">
            <v>10</v>
          </cell>
          <cell r="C146">
            <v>2767.08637642542</v>
          </cell>
          <cell r="D146">
            <v>1820.29293336213</v>
          </cell>
          <cell r="E146">
            <v>4.4435296450322896</v>
          </cell>
          <cell r="F146">
            <v>942.34991341826003</v>
          </cell>
          <cell r="I146">
            <v>131.697998796847</v>
          </cell>
          <cell r="J146">
            <v>52570.440498427997</v>
          </cell>
          <cell r="K146">
            <v>8462.3134701883191</v>
          </cell>
          <cell r="L146">
            <v>588.93175652236403</v>
          </cell>
          <cell r="M146">
            <v>3075.9646553236098</v>
          </cell>
          <cell r="N146">
            <v>7589.64097187274</v>
          </cell>
          <cell r="O146">
            <v>7971.0594568084098</v>
          </cell>
          <cell r="P146">
            <v>12269.9170350355</v>
          </cell>
          <cell r="Q146">
            <v>12612.613152677</v>
          </cell>
          <cell r="R146">
            <v>7881.1943849313302</v>
          </cell>
          <cell r="S146">
            <v>96132.655217595297</v>
          </cell>
          <cell r="T146">
            <v>22998.0823201739</v>
          </cell>
          <cell r="U146">
            <v>31903.082917761101</v>
          </cell>
          <cell r="V146">
            <v>25513.710287414498</v>
          </cell>
          <cell r="W146">
            <v>7886.0997908309901</v>
          </cell>
          <cell r="X146">
            <v>7831.6799014148501</v>
          </cell>
          <cell r="Y146">
            <v>5268.2420999035103</v>
          </cell>
          <cell r="Z146">
            <v>164751.31657607999</v>
          </cell>
        </row>
        <row r="147">
          <cell r="A147" t="str">
            <v>Terengganu</v>
          </cell>
          <cell r="B147">
            <v>11</v>
          </cell>
          <cell r="C147">
            <v>1552.46893375229</v>
          </cell>
          <cell r="D147">
            <v>1208.9483804997501</v>
          </cell>
          <cell r="E147">
            <v>106.315710638803</v>
          </cell>
          <cell r="F147">
            <v>237.20484261373599</v>
          </cell>
          <cell r="I147">
            <v>16.019035491132101</v>
          </cell>
          <cell r="J147">
            <v>7150.1795860023003</v>
          </cell>
          <cell r="K147">
            <v>72.750622101171899</v>
          </cell>
          <cell r="L147">
            <v>49.844395080289402</v>
          </cell>
          <cell r="M147">
            <v>95.600371067727593</v>
          </cell>
          <cell r="N147">
            <v>6431.6391186826704</v>
          </cell>
          <cell r="O147">
            <v>433.51495093672702</v>
          </cell>
          <cell r="P147">
            <v>2.6391065351343701</v>
          </cell>
          <cell r="Q147">
            <v>64.191021598576896</v>
          </cell>
          <cell r="R147">
            <v>630.31504073162705</v>
          </cell>
          <cell r="S147">
            <v>9611.7817101928395</v>
          </cell>
          <cell r="T147">
            <v>3784.4333205268799</v>
          </cell>
          <cell r="U147">
            <v>1716.69282592134</v>
          </cell>
          <cell r="V147">
            <v>872.62195406933404</v>
          </cell>
          <cell r="W147">
            <v>942.05491951014301</v>
          </cell>
          <cell r="X147">
            <v>2295.9786901651401</v>
          </cell>
          <cell r="Y147">
            <v>18.8788935523413</v>
          </cell>
          <cell r="Z147">
            <v>18979.643199722501</v>
          </cell>
        </row>
        <row r="148">
          <cell r="A148" t="str">
            <v>Sabah</v>
          </cell>
          <cell r="B148">
            <v>12</v>
          </cell>
          <cell r="C148">
            <v>9762.6643991100209</v>
          </cell>
          <cell r="D148">
            <v>6808.2818181788698</v>
          </cell>
          <cell r="E148">
            <v>1130.05771756577</v>
          </cell>
          <cell r="F148">
            <v>1824.32486336538</v>
          </cell>
          <cell r="I148">
            <v>8338.7153392117998</v>
          </cell>
          <cell r="J148">
            <v>3485.83513399293</v>
          </cell>
          <cell r="K148">
            <v>1965.3275502660599</v>
          </cell>
          <cell r="L148">
            <v>40.138131403280298</v>
          </cell>
          <cell r="M148">
            <v>751.94990360398799</v>
          </cell>
          <cell r="N148">
            <v>187.20762084578999</v>
          </cell>
          <cell r="O148">
            <v>385.16721142754301</v>
          </cell>
          <cell r="P148">
            <v>11.5935278978917</v>
          </cell>
          <cell r="Q148">
            <v>144.451188548381</v>
          </cell>
          <cell r="R148">
            <v>1126.6769793170699</v>
          </cell>
          <cell r="S148">
            <v>19777.2345872021</v>
          </cell>
          <cell r="T148">
            <v>3692.8363324576499</v>
          </cell>
          <cell r="U148">
            <v>6529.3477103989499</v>
          </cell>
          <cell r="V148">
            <v>3986.4005343040499</v>
          </cell>
          <cell r="W148">
            <v>1779.7816860943699</v>
          </cell>
          <cell r="X148">
            <v>3788.8683239471102</v>
          </cell>
          <cell r="Y148">
            <v>188.95297615947101</v>
          </cell>
          <cell r="Z148">
            <v>42680.079414993401</v>
          </cell>
        </row>
        <row r="149">
          <cell r="A149" t="str">
            <v>Sarawak</v>
          </cell>
          <cell r="B149">
            <v>13</v>
          </cell>
          <cell r="C149">
            <v>8156.8061992557195</v>
          </cell>
          <cell r="D149">
            <v>4421.7470795900499</v>
          </cell>
          <cell r="E149">
            <v>3315.8120835161599</v>
          </cell>
          <cell r="F149">
            <v>419.24703614950897</v>
          </cell>
          <cell r="I149">
            <v>16468.675984960999</v>
          </cell>
          <cell r="J149">
            <v>19237.230994002901</v>
          </cell>
          <cell r="K149">
            <v>743.12154758013605</v>
          </cell>
          <cell r="L149">
            <v>17.2653490955684</v>
          </cell>
          <cell r="M149">
            <v>1460.07702792091</v>
          </cell>
          <cell r="N149">
            <v>15603.075006376799</v>
          </cell>
          <cell r="O149">
            <v>531.43566931436601</v>
          </cell>
          <cell r="P149">
            <v>519.61312274619695</v>
          </cell>
          <cell r="Q149">
            <v>362.64327096890099</v>
          </cell>
          <cell r="R149">
            <v>1853.13827443629</v>
          </cell>
          <cell r="S149">
            <v>24865.690281203799</v>
          </cell>
          <cell r="T149">
            <v>5514.6440295412403</v>
          </cell>
          <cell r="U149">
            <v>6746.93963796966</v>
          </cell>
          <cell r="V149">
            <v>6353.7916732137101</v>
          </cell>
          <cell r="W149">
            <v>2446.2213223705098</v>
          </cell>
          <cell r="X149">
            <v>3804.0936181087</v>
          </cell>
          <cell r="Y149">
            <v>267.73525855394098</v>
          </cell>
          <cell r="Z149">
            <v>70849.276992413696</v>
          </cell>
        </row>
        <row r="150">
          <cell r="A150" t="str">
            <v>WP Kuala Lumpur</v>
          </cell>
          <cell r="B150">
            <v>14</v>
          </cell>
          <cell r="C150">
            <v>1.24387042126951</v>
          </cell>
          <cell r="D150">
            <v>1.24387042126951</v>
          </cell>
          <cell r="E150">
            <v>0</v>
          </cell>
          <cell r="F150">
            <v>0</v>
          </cell>
          <cell r="I150">
            <v>29.177846085608</v>
          </cell>
          <cell r="J150">
            <v>4191.4178190179</v>
          </cell>
          <cell r="K150">
            <v>477.410169366898</v>
          </cell>
          <cell r="L150">
            <v>357.96346168164303</v>
          </cell>
          <cell r="M150">
            <v>651.82256045911004</v>
          </cell>
          <cell r="N150">
            <v>594.49307170547695</v>
          </cell>
          <cell r="O150">
            <v>733.32068762187805</v>
          </cell>
          <cell r="P150">
            <v>590.556975177249</v>
          </cell>
          <cell r="Q150">
            <v>785.85089300564005</v>
          </cell>
          <cell r="R150">
            <v>4319.6268447909597</v>
          </cell>
          <cell r="S150">
            <v>96657.319919448797</v>
          </cell>
          <cell r="T150">
            <v>6210.3238635634698</v>
          </cell>
          <cell r="U150">
            <v>35959.740207130599</v>
          </cell>
          <cell r="V150">
            <v>36665.138082038997</v>
          </cell>
          <cell r="W150">
            <v>4851.3507236140604</v>
          </cell>
          <cell r="X150">
            <v>12970.7670431017</v>
          </cell>
          <cell r="Y150">
            <v>1416.5103889326899</v>
          </cell>
          <cell r="Z150">
            <v>106615.296688697</v>
          </cell>
        </row>
        <row r="151">
          <cell r="A151" t="str">
            <v>WP Labuan</v>
          </cell>
          <cell r="B151">
            <v>15</v>
          </cell>
          <cell r="C151">
            <v>117.11069312423901</v>
          </cell>
          <cell r="D151">
            <v>7.4243868978416998</v>
          </cell>
          <cell r="E151">
            <v>0</v>
          </cell>
          <cell r="F151">
            <v>109.68630622639699</v>
          </cell>
          <cell r="I151">
            <v>0</v>
          </cell>
          <cell r="J151">
            <v>675.99673600364702</v>
          </cell>
          <cell r="K151">
            <v>11.968795512479501</v>
          </cell>
          <cell r="L151">
            <v>3.12302264569517</v>
          </cell>
          <cell r="M151">
            <v>1.0817751066401999</v>
          </cell>
          <cell r="N151">
            <v>384.477929241298</v>
          </cell>
          <cell r="O151">
            <v>245.74246600732599</v>
          </cell>
          <cell r="P151">
            <v>1.16184462992306</v>
          </cell>
          <cell r="Q151">
            <v>28.440902860284702</v>
          </cell>
          <cell r="R151">
            <v>22.3729073478722</v>
          </cell>
          <cell r="S151">
            <v>2170.13164919668</v>
          </cell>
          <cell r="T151">
            <v>212.114420540499</v>
          </cell>
          <cell r="U151">
            <v>249.27503538414001</v>
          </cell>
          <cell r="V151">
            <v>1532.5311261024799</v>
          </cell>
          <cell r="W151">
            <v>70.540807183286006</v>
          </cell>
          <cell r="X151">
            <v>105.670259986275</v>
          </cell>
          <cell r="Y151">
            <v>21.804599511489702</v>
          </cell>
          <cell r="Z151">
            <v>3007.4165851839298</v>
          </cell>
        </row>
        <row r="152">
          <cell r="A152" t="str">
            <v>Supra1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I152">
            <v>37139.136922086698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37139.136922086698</v>
          </cell>
        </row>
        <row r="153">
          <cell r="A153" t="str">
            <v>MALAYSIA</v>
          </cell>
          <cell r="C153">
            <v>54249.519974704599</v>
          </cell>
          <cell r="D153">
            <v>40021.972903782</v>
          </cell>
          <cell r="E153">
            <v>6451.5786828500004</v>
          </cell>
          <cell r="F153">
            <v>7775.9683880726898</v>
          </cell>
          <cell r="I153">
            <v>62606.782051177499</v>
          </cell>
          <cell r="J153">
            <v>178236.70292299401</v>
          </cell>
          <cell r="K153">
            <v>19693.4564953505</v>
          </cell>
          <cell r="L153">
            <v>3476.92055345873</v>
          </cell>
          <cell r="M153">
            <v>10971.7802226857</v>
          </cell>
          <cell r="N153">
            <v>52812.754189258303</v>
          </cell>
          <cell r="O153">
            <v>23182.155565332301</v>
          </cell>
          <cell r="P153">
            <v>44783.548718760401</v>
          </cell>
          <cell r="Q153">
            <v>23316.0871781485</v>
          </cell>
          <cell r="R153">
            <v>22463.891320754501</v>
          </cell>
          <cell r="S153">
            <v>385549.59967583802</v>
          </cell>
          <cell r="T153">
            <v>70785.368836904498</v>
          </cell>
          <cell r="U153">
            <v>119465.83732880899</v>
          </cell>
          <cell r="V153">
            <v>104211.023486461</v>
          </cell>
          <cell r="W153">
            <v>36175.766187647903</v>
          </cell>
          <cell r="X153">
            <v>54911.603836015602</v>
          </cell>
          <cell r="Y153">
            <v>8653.31271141447</v>
          </cell>
          <cell r="Z153">
            <v>711759.80865688296</v>
          </cell>
        </row>
        <row r="156">
          <cell r="A156" t="str">
            <v>CONSTANT</v>
          </cell>
          <cell r="B156" t="str">
            <v>Industry</v>
          </cell>
          <cell r="D156">
            <v>1</v>
          </cell>
          <cell r="E156">
            <v>2</v>
          </cell>
          <cell r="F156">
            <v>3</v>
          </cell>
          <cell r="I156">
            <v>4</v>
          </cell>
          <cell r="K156">
            <v>6</v>
          </cell>
          <cell r="L156">
            <v>7</v>
          </cell>
          <cell r="M156">
            <v>8</v>
          </cell>
          <cell r="N156">
            <v>9</v>
          </cell>
          <cell r="O156">
            <v>10</v>
          </cell>
          <cell r="P156">
            <v>11</v>
          </cell>
          <cell r="Q156">
            <v>12</v>
          </cell>
          <cell r="R156">
            <v>5</v>
          </cell>
          <cell r="T156">
            <v>13</v>
          </cell>
          <cell r="U156">
            <v>14</v>
          </cell>
          <cell r="V156">
            <v>15</v>
          </cell>
          <cell r="W156">
            <v>16</v>
          </cell>
        </row>
        <row r="157">
          <cell r="A157">
            <v>2012</v>
          </cell>
          <cell r="B157" t="str">
            <v>I</v>
          </cell>
          <cell r="C157" t="str">
            <v>Agriculture</v>
          </cell>
          <cell r="D157" t="str">
            <v>Tanaman</v>
          </cell>
          <cell r="E157" t="str">
            <v>Pembalakan</v>
          </cell>
          <cell r="F157" t="str">
            <v>Perikanan</v>
          </cell>
          <cell r="I157" t="str">
            <v>Mining and
Quarrying</v>
          </cell>
          <cell r="J157" t="str">
            <v>Manufacturing</v>
          </cell>
          <cell r="K157" t="str">
            <v>Prosesan Makanan, Minuman dan Produk Tembakau</v>
          </cell>
          <cell r="L157" t="str">
            <v>Tekstil, Pakaian, Kulit dan Kasut</v>
          </cell>
          <cell r="M157" t="str">
            <v>Keluaran Kayu, Perabot, Produk Kertas, Percetakan dan Penerbitan</v>
          </cell>
          <cell r="N157" t="str">
            <v>Produk Petroleum, Bahan kimia, Getah dan Plastik</v>
          </cell>
          <cell r="O157" t="str">
            <v>Produk Mineral Bukan Logam, Logam Asli dan Produk Logam Yang Direka</v>
          </cell>
          <cell r="P157" t="str">
            <v>Elektrik dan Elektronik</v>
          </cell>
          <cell r="Q157" t="str">
            <v>Kelengkapan Pengangkutan dan Pembuatan Lain</v>
          </cell>
          <cell r="R157" t="str">
            <v>Construction</v>
          </cell>
          <cell r="S157" t="str">
            <v>Services</v>
          </cell>
          <cell r="T157" t="str">
            <v>Utiliti, Transport &amp; Communication</v>
          </cell>
          <cell r="U157" t="str">
            <v>WRT, Accomm &amp; Restaurant</v>
          </cell>
          <cell r="V157" t="str">
            <v>Finance &amp; Insurance, Real Estate &amp; Business Services</v>
          </cell>
          <cell r="W157" t="str">
            <v>Other Services</v>
          </cell>
          <cell r="X157" t="str">
            <v>Government Services</v>
          </cell>
          <cell r="Y157" t="str">
            <v>Plus :
Import Duties</v>
          </cell>
          <cell r="Z157" t="str">
            <v>GDP at
Purchasers' Prices</v>
          </cell>
        </row>
        <row r="158">
          <cell r="A158" t="str">
            <v>States</v>
          </cell>
          <cell r="B158" t="str">
            <v>Converter</v>
          </cell>
        </row>
        <row r="159">
          <cell r="A159" t="str">
            <v>Johor</v>
          </cell>
          <cell r="B159" t="str">
            <v>01</v>
          </cell>
          <cell r="C159">
            <v>8499.4218517199697</v>
          </cell>
          <cell r="D159">
            <v>7783.5626301690099</v>
          </cell>
          <cell r="E159">
            <v>51.240439222884099</v>
          </cell>
          <cell r="F159">
            <v>664.61878232807805</v>
          </cell>
          <cell r="G159">
            <v>0.15463940606465801</v>
          </cell>
          <cell r="I159">
            <v>83.602205875010398</v>
          </cell>
          <cell r="J159">
            <v>23335.579222503799</v>
          </cell>
          <cell r="K159">
            <v>2384.9944810836</v>
          </cell>
          <cell r="L159">
            <v>803.22775155407896</v>
          </cell>
          <cell r="M159">
            <v>1954.8936695171799</v>
          </cell>
          <cell r="N159">
            <v>5718.6914071588599</v>
          </cell>
          <cell r="O159">
            <v>3447.4076611442301</v>
          </cell>
          <cell r="P159">
            <v>6865.7990857122004</v>
          </cell>
          <cell r="Q159">
            <v>2160.5651663336598</v>
          </cell>
          <cell r="R159">
            <v>2396.8275009154299</v>
          </cell>
          <cell r="S159">
            <v>33782.405338582699</v>
          </cell>
          <cell r="T159">
            <v>7897.7516776400398</v>
          </cell>
          <cell r="U159">
            <v>8012.3480062305498</v>
          </cell>
          <cell r="V159">
            <v>9120.3161603454701</v>
          </cell>
          <cell r="W159">
            <v>3207.6190302516102</v>
          </cell>
          <cell r="X159">
            <v>5544.3704641150098</v>
          </cell>
          <cell r="Y159">
            <v>800.812800413991</v>
          </cell>
          <cell r="Z159">
            <v>68898.648920010906</v>
          </cell>
        </row>
        <row r="160">
          <cell r="A160" t="str">
            <v>Kedah</v>
          </cell>
          <cell r="B160" t="str">
            <v>02</v>
          </cell>
          <cell r="C160">
            <v>3009.94019090659</v>
          </cell>
          <cell r="D160">
            <v>2554.6195932220799</v>
          </cell>
          <cell r="E160">
            <v>123.378197064894</v>
          </cell>
          <cell r="F160">
            <v>331.94240061961898</v>
          </cell>
          <cell r="G160">
            <v>5.4763179370576398E-2</v>
          </cell>
          <cell r="I160">
            <v>23.8407354480149</v>
          </cell>
          <cell r="J160">
            <v>7852.3278784926597</v>
          </cell>
          <cell r="K160">
            <v>417.387571177947</v>
          </cell>
          <cell r="L160">
            <v>69.608720550380596</v>
          </cell>
          <cell r="M160">
            <v>444.22270973482699</v>
          </cell>
          <cell r="N160">
            <v>1532.04141797544</v>
          </cell>
          <cell r="O160">
            <v>2267.31651116794</v>
          </cell>
          <cell r="P160">
            <v>1461.3628673466601</v>
          </cell>
          <cell r="Q160">
            <v>1660.3880805394599</v>
          </cell>
          <cell r="R160">
            <v>608.71591516866397</v>
          </cell>
          <cell r="S160">
            <v>13620.779676312401</v>
          </cell>
          <cell r="T160">
            <v>2071.2184624998099</v>
          </cell>
          <cell r="U160">
            <v>3420.75428742962</v>
          </cell>
          <cell r="V160">
            <v>2708.0878666175499</v>
          </cell>
          <cell r="W160">
            <v>2059.8288262041201</v>
          </cell>
          <cell r="X160">
            <v>3360.8902335612702</v>
          </cell>
          <cell r="Y160">
            <v>162.18437680457501</v>
          </cell>
          <cell r="Z160">
            <v>25277.788773132899</v>
          </cell>
        </row>
        <row r="161">
          <cell r="A161" t="str">
            <v>Kelantan</v>
          </cell>
          <cell r="B161" t="str">
            <v>03</v>
          </cell>
          <cell r="C161">
            <v>3262.4567104921998</v>
          </cell>
          <cell r="D161">
            <v>2250.5871077659899</v>
          </cell>
          <cell r="E161">
            <v>734.76561747199298</v>
          </cell>
          <cell r="F161">
            <v>277.103985254218</v>
          </cell>
          <cell r="G161">
            <v>5.9357492406389697E-2</v>
          </cell>
          <cell r="I161">
            <v>20.8263133276708</v>
          </cell>
          <cell r="J161">
            <v>738.65286341165302</v>
          </cell>
          <cell r="K161">
            <v>121.930680436836</v>
          </cell>
          <cell r="L161">
            <v>34.341427716386399</v>
          </cell>
          <cell r="M161">
            <v>89.344443006500001</v>
          </cell>
          <cell r="N161">
            <v>138.81990381377199</v>
          </cell>
          <cell r="O161">
            <v>82.708519649512596</v>
          </cell>
          <cell r="P161">
            <v>263.84021340804901</v>
          </cell>
          <cell r="Q161">
            <v>7.6676753805969904</v>
          </cell>
          <cell r="R161">
            <v>229.330293967751</v>
          </cell>
          <cell r="S161">
            <v>9200.7164610651598</v>
          </cell>
          <cell r="T161">
            <v>1071.76897967985</v>
          </cell>
          <cell r="U161">
            <v>2405.7632464046701</v>
          </cell>
          <cell r="V161">
            <v>1136.4926705640601</v>
          </cell>
          <cell r="W161">
            <v>1458.1604456141899</v>
          </cell>
          <cell r="X161">
            <v>3128.5311188023802</v>
          </cell>
          <cell r="Y161">
            <v>23.7258058290783</v>
          </cell>
          <cell r="Z161">
            <v>13475.708448093499</v>
          </cell>
        </row>
        <row r="162">
          <cell r="A162" t="str">
            <v>Melaka</v>
          </cell>
          <cell r="B162" t="str">
            <v>04</v>
          </cell>
          <cell r="C162">
            <v>1995.8493017109399</v>
          </cell>
          <cell r="D162">
            <v>1963.31852716869</v>
          </cell>
          <cell r="E162">
            <v>0.39058176207543599</v>
          </cell>
          <cell r="F162">
            <v>32.140192780177998</v>
          </cell>
          <cell r="G162">
            <v>3.6312699380686098E-2</v>
          </cell>
          <cell r="I162">
            <v>10.112475782248399</v>
          </cell>
          <cell r="J162">
            <v>9030.2724552780401</v>
          </cell>
          <cell r="K162">
            <v>434.128731387242</v>
          </cell>
          <cell r="L162">
            <v>318.857407893573</v>
          </cell>
          <cell r="M162">
            <v>310.77061575848802</v>
          </cell>
          <cell r="N162">
            <v>4284.8676574412002</v>
          </cell>
          <cell r="O162">
            <v>603.60247547495601</v>
          </cell>
          <cell r="P162">
            <v>1962.95647946808</v>
          </cell>
          <cell r="Q162">
            <v>1115.0890878544999</v>
          </cell>
          <cell r="R162">
            <v>906.07056889400201</v>
          </cell>
          <cell r="S162">
            <v>9987.0896910489791</v>
          </cell>
          <cell r="T162">
            <v>1798.9941127745799</v>
          </cell>
          <cell r="U162">
            <v>3361.5379170567999</v>
          </cell>
          <cell r="V162">
            <v>2005.7729690097899</v>
          </cell>
          <cell r="W162">
            <v>1242.2031321719701</v>
          </cell>
          <cell r="X162">
            <v>1578.5815600358301</v>
          </cell>
          <cell r="Y162">
            <v>14.9902807526153</v>
          </cell>
          <cell r="Z162">
            <v>21944.384773466802</v>
          </cell>
        </row>
        <row r="163">
          <cell r="A163" t="str">
            <v>Negeri Sembilan</v>
          </cell>
          <cell r="B163" t="str">
            <v>05</v>
          </cell>
          <cell r="C163">
            <v>2178.3218620282901</v>
          </cell>
          <cell r="D163">
            <v>2085.0131844757002</v>
          </cell>
          <cell r="E163">
            <v>55.560231758910902</v>
          </cell>
          <cell r="F163">
            <v>37.748445793678499</v>
          </cell>
          <cell r="G163">
            <v>3.9632624999492903E-2</v>
          </cell>
          <cell r="I163">
            <v>24.547725203308701</v>
          </cell>
          <cell r="J163">
            <v>13395.1562030438</v>
          </cell>
          <cell r="K163">
            <v>1404.23409852379</v>
          </cell>
          <cell r="L163">
            <v>154.13558282628901</v>
          </cell>
          <cell r="M163">
            <v>377.63597594698098</v>
          </cell>
          <cell r="N163">
            <v>4200.1271776031599</v>
          </cell>
          <cell r="O163">
            <v>1376.61332146723</v>
          </cell>
          <cell r="P163">
            <v>4961.4208362988302</v>
          </cell>
          <cell r="Q163">
            <v>920.98921037754201</v>
          </cell>
          <cell r="R163">
            <v>692.98365234048401</v>
          </cell>
          <cell r="S163">
            <v>11246.0146058912</v>
          </cell>
          <cell r="T163">
            <v>2698.3269749730998</v>
          </cell>
          <cell r="U163">
            <v>2829.1290745413799</v>
          </cell>
          <cell r="V163">
            <v>2282.3660477152498</v>
          </cell>
          <cell r="W163">
            <v>1477.5476179959001</v>
          </cell>
          <cell r="X163">
            <v>1958.6448906656001</v>
          </cell>
          <cell r="Y163">
            <v>192.899309524085</v>
          </cell>
          <cell r="Z163">
            <v>27729.923358031199</v>
          </cell>
        </row>
        <row r="164">
          <cell r="A164" t="str">
            <v>Pahang</v>
          </cell>
          <cell r="B164" t="str">
            <v>06</v>
          </cell>
          <cell r="C164">
            <v>6186.9160992104498</v>
          </cell>
          <cell r="D164">
            <v>4853.9136400778098</v>
          </cell>
          <cell r="E164">
            <v>618.26544097006297</v>
          </cell>
          <cell r="F164">
            <v>714.73701816257801</v>
          </cell>
          <cell r="G164">
            <v>0.112565424760057</v>
          </cell>
          <cell r="I164">
            <v>217.359376893844</v>
          </cell>
          <cell r="J164">
            <v>7840.7354493851699</v>
          </cell>
          <cell r="K164">
            <v>921.13494044889899</v>
          </cell>
          <cell r="L164">
            <v>24.5124190688624</v>
          </cell>
          <cell r="M164">
            <v>663.69193611557898</v>
          </cell>
          <cell r="N164">
            <v>3241.8604524095999</v>
          </cell>
          <cell r="O164">
            <v>695.63913978494304</v>
          </cell>
          <cell r="P164">
            <v>111.938733734124</v>
          </cell>
          <cell r="Q164">
            <v>2181.9578278231602</v>
          </cell>
          <cell r="R164">
            <v>873.18496104557403</v>
          </cell>
          <cell r="S164">
            <v>15659.750870359499</v>
          </cell>
          <cell r="T164">
            <v>1691.3184155062499</v>
          </cell>
          <cell r="U164">
            <v>4904.6667933857998</v>
          </cell>
          <cell r="V164">
            <v>2217.20133966291</v>
          </cell>
          <cell r="W164">
            <v>3769.4414987309101</v>
          </cell>
          <cell r="X164">
            <v>3077.1228230736301</v>
          </cell>
          <cell r="Y164">
            <v>13.0358987515222</v>
          </cell>
          <cell r="Z164">
            <v>30790.982655645999</v>
          </cell>
        </row>
        <row r="165">
          <cell r="A165" t="str">
            <v>Pulau Pinang</v>
          </cell>
          <cell r="B165" t="str">
            <v>07</v>
          </cell>
          <cell r="C165">
            <v>989.80258396112697</v>
          </cell>
          <cell r="D165">
            <v>731.18001689310802</v>
          </cell>
          <cell r="E165">
            <v>0</v>
          </cell>
          <cell r="F165">
            <v>258.62256706801901</v>
          </cell>
          <cell r="G165">
            <v>1.80085759214361E-2</v>
          </cell>
          <cell r="I165">
            <v>23.613817931912699</v>
          </cell>
          <cell r="J165">
            <v>25411.130030250599</v>
          </cell>
          <cell r="K165">
            <v>1116.18410179394</v>
          </cell>
          <cell r="L165">
            <v>557.74037962954003</v>
          </cell>
          <cell r="M165">
            <v>941.05670776516104</v>
          </cell>
          <cell r="N165">
            <v>3093.2856699724598</v>
          </cell>
          <cell r="O165">
            <v>2867.05691055339</v>
          </cell>
          <cell r="P165">
            <v>14782.768237495</v>
          </cell>
          <cell r="Q165">
            <v>2053.0380230411101</v>
          </cell>
          <cell r="R165">
            <v>1315.23847144556</v>
          </cell>
          <cell r="S165">
            <v>24422.409262104</v>
          </cell>
          <cell r="T165">
            <v>5238.1382224018898</v>
          </cell>
          <cell r="U165">
            <v>6805.9446619393602</v>
          </cell>
          <cell r="V165">
            <v>7037.9922403077799</v>
          </cell>
          <cell r="W165">
            <v>2400.4074616410999</v>
          </cell>
          <cell r="X165">
            <v>2939.9266758138701</v>
          </cell>
          <cell r="Y165">
            <v>409.251633926681</v>
          </cell>
          <cell r="Z165">
            <v>52571.445799619898</v>
          </cell>
        </row>
        <row r="166">
          <cell r="A166" t="str">
            <v>Perak</v>
          </cell>
          <cell r="B166" t="str">
            <v>08</v>
          </cell>
          <cell r="C166">
            <v>5777.0457466808703</v>
          </cell>
          <cell r="D166">
            <v>3862.19796005239</v>
          </cell>
          <cell r="E166">
            <v>394.62302985883701</v>
          </cell>
          <cell r="F166">
            <v>1520.22475676964</v>
          </cell>
          <cell r="G166">
            <v>0.105108198964651</v>
          </cell>
          <cell r="I166">
            <v>144.193924989701</v>
          </cell>
          <cell r="J166">
            <v>7658.3546612541304</v>
          </cell>
          <cell r="K166">
            <v>1144.3863777085901</v>
          </cell>
          <cell r="L166">
            <v>172.43056360591399</v>
          </cell>
          <cell r="M166">
            <v>358.66049496469998</v>
          </cell>
          <cell r="N166">
            <v>1523.67813732734</v>
          </cell>
          <cell r="O166">
            <v>1987.3948583144499</v>
          </cell>
          <cell r="P166">
            <v>1886.0720866904301</v>
          </cell>
          <cell r="Q166">
            <v>585.73214264271496</v>
          </cell>
          <cell r="R166">
            <v>1094.74508694509</v>
          </cell>
          <cell r="S166">
            <v>24996.424320652299</v>
          </cell>
          <cell r="T166">
            <v>7426.02319259669</v>
          </cell>
          <cell r="U166">
            <v>5813.2685737843503</v>
          </cell>
          <cell r="V166">
            <v>4407.5073150541803</v>
          </cell>
          <cell r="W166">
            <v>2918.08730203393</v>
          </cell>
          <cell r="X166">
            <v>4431.5379371831596</v>
          </cell>
          <cell r="Y166">
            <v>17.4797376965506</v>
          </cell>
          <cell r="Z166">
            <v>39688.243478218603</v>
          </cell>
        </row>
        <row r="167">
          <cell r="A167" t="str">
            <v>Perlis</v>
          </cell>
          <cell r="B167" t="str">
            <v>09</v>
          </cell>
          <cell r="C167">
            <v>840.538276068605</v>
          </cell>
          <cell r="D167">
            <v>270.98791001991299</v>
          </cell>
          <cell r="E167">
            <v>0</v>
          </cell>
          <cell r="F167">
            <v>569.55036604869304</v>
          </cell>
          <cell r="G167">
            <v>1.52928448609192E-2</v>
          </cell>
          <cell r="I167">
            <v>7.8630705016069902</v>
          </cell>
          <cell r="J167">
            <v>352.23233548238699</v>
          </cell>
          <cell r="K167">
            <v>53.017986483786302</v>
          </cell>
          <cell r="L167">
            <v>39.382493442889498</v>
          </cell>
          <cell r="M167">
            <v>5.9428648207202901</v>
          </cell>
          <cell r="N167">
            <v>80.746387238501597</v>
          </cell>
          <cell r="O167">
            <v>169.70931767045701</v>
          </cell>
          <cell r="P167">
            <v>0.69130164414456396</v>
          </cell>
          <cell r="Q167">
            <v>2.7419841818873198</v>
          </cell>
          <cell r="R167">
            <v>96.636789889015802</v>
          </cell>
          <cell r="S167">
            <v>2169.5388495278098</v>
          </cell>
          <cell r="T167">
            <v>714.25395061898701</v>
          </cell>
          <cell r="U167">
            <v>306.55834603921801</v>
          </cell>
          <cell r="V167">
            <v>290.30374323946802</v>
          </cell>
          <cell r="W167">
            <v>271.94986652155899</v>
          </cell>
          <cell r="X167">
            <v>586.47294310857797</v>
          </cell>
          <cell r="Y167">
            <v>70.382385332018401</v>
          </cell>
          <cell r="Z167">
            <v>3537.19170680144</v>
          </cell>
        </row>
        <row r="168">
          <cell r="A168" t="str">
            <v>Selangor</v>
          </cell>
          <cell r="B168">
            <v>10</v>
          </cell>
          <cell r="C168">
            <v>2928.79880005116</v>
          </cell>
          <cell r="D168">
            <v>1971.2635139516201</v>
          </cell>
          <cell r="E168">
            <v>4.8506169140214004</v>
          </cell>
          <cell r="F168">
            <v>952.68466918551405</v>
          </cell>
          <cell r="G168">
            <v>5.3286884075666903E-2</v>
          </cell>
          <cell r="I168">
            <v>153.77570318972201</v>
          </cell>
          <cell r="J168">
            <v>55497.7252193596</v>
          </cell>
          <cell r="K168">
            <v>9159.8025759456996</v>
          </cell>
          <cell r="L168">
            <v>625.767748752545</v>
          </cell>
          <cell r="M168">
            <v>3214.7585001345501</v>
          </cell>
          <cell r="N168">
            <v>8447.6700463326197</v>
          </cell>
          <cell r="O168">
            <v>8951.4411725459795</v>
          </cell>
          <cell r="P168">
            <v>12259.2422725042</v>
          </cell>
          <cell r="Q168">
            <v>12839.042903144</v>
          </cell>
          <cell r="R168">
            <v>8790.1616960969004</v>
          </cell>
          <cell r="S168">
            <v>102760.30219111399</v>
          </cell>
          <cell r="T168">
            <v>24475.201271004498</v>
          </cell>
          <cell r="U168">
            <v>33681.349755677802</v>
          </cell>
          <cell r="V168">
            <v>27814.3804078301</v>
          </cell>
          <cell r="W168">
            <v>8293.8449333607405</v>
          </cell>
          <cell r="X168">
            <v>8495.5258232406104</v>
          </cell>
          <cell r="Y168">
            <v>6246.4646222930396</v>
          </cell>
          <cell r="Z168">
            <v>176377.22823210401</v>
          </cell>
        </row>
        <row r="169">
          <cell r="A169" t="str">
            <v>Terengganu</v>
          </cell>
          <cell r="B169">
            <v>11</v>
          </cell>
          <cell r="C169">
            <v>1531.3159056412901</v>
          </cell>
          <cell r="D169">
            <v>1173.2488906353201</v>
          </cell>
          <cell r="E169">
            <v>105.25399571146001</v>
          </cell>
          <cell r="F169">
            <v>252.81301929451001</v>
          </cell>
          <cell r="G169">
            <v>2.78609282227604E-2</v>
          </cell>
          <cell r="I169">
            <v>19.008965710570099</v>
          </cell>
          <cell r="J169">
            <v>7439.8439621940197</v>
          </cell>
          <cell r="K169">
            <v>69.566267526971004</v>
          </cell>
          <cell r="L169">
            <v>41.994834169779999</v>
          </cell>
          <cell r="M169">
            <v>98.716020292595402</v>
          </cell>
          <cell r="N169">
            <v>6709.35250879049</v>
          </cell>
          <cell r="O169">
            <v>444.64474978085201</v>
          </cell>
          <cell r="P169">
            <v>2.8853506400709299</v>
          </cell>
          <cell r="Q169">
            <v>72.684230993260897</v>
          </cell>
          <cell r="R169">
            <v>757.06310618569501</v>
          </cell>
          <cell r="S169">
            <v>9876.2824065053901</v>
          </cell>
          <cell r="T169">
            <v>3657.82275840804</v>
          </cell>
          <cell r="U169">
            <v>1813.95406392735</v>
          </cell>
          <cell r="V169">
            <v>955.97787766315901</v>
          </cell>
          <cell r="W169">
            <v>974.90481394047504</v>
          </cell>
          <cell r="X169">
            <v>2473.62289256636</v>
          </cell>
          <cell r="Y169">
            <v>18.183226823906502</v>
          </cell>
          <cell r="Z169">
            <v>19641.697573060901</v>
          </cell>
        </row>
        <row r="170">
          <cell r="A170" t="str">
            <v>Sabah</v>
          </cell>
          <cell r="B170">
            <v>12</v>
          </cell>
          <cell r="C170">
            <v>9269.2175249747906</v>
          </cell>
          <cell r="D170">
            <v>6542.96793685586</v>
          </cell>
          <cell r="E170">
            <v>822.61026313053401</v>
          </cell>
          <cell r="F170">
            <v>1903.6393249883899</v>
          </cell>
          <cell r="G170">
            <v>0.16864515231187799</v>
          </cell>
          <cell r="I170">
            <v>9167.1810231602194</v>
          </cell>
          <cell r="J170">
            <v>3495.6402054413902</v>
          </cell>
          <cell r="K170">
            <v>1915.7998950631199</v>
          </cell>
          <cell r="L170">
            <v>35.497282883448698</v>
          </cell>
          <cell r="M170">
            <v>714.88205915253502</v>
          </cell>
          <cell r="N170">
            <v>239.82227626068399</v>
          </cell>
          <cell r="O170">
            <v>426.96689276737902</v>
          </cell>
          <cell r="P170">
            <v>13.0730273936943</v>
          </cell>
          <cell r="Q170">
            <v>149.59877192052801</v>
          </cell>
          <cell r="R170">
            <v>1280.4330211776701</v>
          </cell>
          <cell r="S170">
            <v>21070.636505532999</v>
          </cell>
          <cell r="T170">
            <v>3871.8937146051799</v>
          </cell>
          <cell r="U170">
            <v>6769.5301216211701</v>
          </cell>
          <cell r="V170">
            <v>4371.2484150819801</v>
          </cell>
          <cell r="W170">
            <v>1832.0933363941101</v>
          </cell>
          <cell r="X170">
            <v>4225.8709178305198</v>
          </cell>
          <cell r="Y170">
            <v>185.703599974799</v>
          </cell>
          <cell r="Z170">
            <v>44468.811880261797</v>
          </cell>
        </row>
        <row r="171">
          <cell r="A171" t="str">
            <v>Sarawak</v>
          </cell>
          <cell r="B171">
            <v>13</v>
          </cell>
          <cell r="C171">
            <v>8370.7982938666592</v>
          </cell>
          <cell r="D171">
            <v>4642.6808537868201</v>
          </cell>
          <cell r="E171">
            <v>3247.47202584859</v>
          </cell>
          <cell r="F171">
            <v>480.64541423124399</v>
          </cell>
          <cell r="G171">
            <v>0.15229921505645</v>
          </cell>
          <cell r="I171">
            <v>15154.4470817786</v>
          </cell>
          <cell r="J171">
            <v>19399.666076773599</v>
          </cell>
          <cell r="K171">
            <v>775.58735607610095</v>
          </cell>
          <cell r="L171">
            <v>15.0745317584701</v>
          </cell>
          <cell r="M171">
            <v>1551.29563122071</v>
          </cell>
          <cell r="N171">
            <v>15501.1310661064</v>
          </cell>
          <cell r="O171">
            <v>605.64828917163697</v>
          </cell>
          <cell r="P171">
            <v>541.31617967475097</v>
          </cell>
          <cell r="Q171">
            <v>409.613022765545</v>
          </cell>
          <cell r="R171">
            <v>2262.5501826260202</v>
          </cell>
          <cell r="S171">
            <v>26443.601253813998</v>
          </cell>
          <cell r="T171">
            <v>5820.4846753634802</v>
          </cell>
          <cell r="U171">
            <v>7040.84767516391</v>
          </cell>
          <cell r="V171">
            <v>6879.62447942165</v>
          </cell>
          <cell r="W171">
            <v>2534.16565625769</v>
          </cell>
          <cell r="X171">
            <v>4168.4787676072401</v>
          </cell>
          <cell r="Y171">
            <v>248.11392658100701</v>
          </cell>
          <cell r="Z171">
            <v>71879.176815439801</v>
          </cell>
        </row>
        <row r="172">
          <cell r="A172" t="str">
            <v>WP Kuala Lumpur</v>
          </cell>
          <cell r="B172">
            <v>14</v>
          </cell>
          <cell r="C172">
            <v>1.33811879427992</v>
          </cell>
          <cell r="D172">
            <v>1.33811879427992</v>
          </cell>
          <cell r="E172">
            <v>0</v>
          </cell>
          <cell r="F172">
            <v>0</v>
          </cell>
          <cell r="G172">
            <v>2.4345878955228999E-5</v>
          </cell>
          <cell r="I172">
            <v>33.527386668321199</v>
          </cell>
          <cell r="J172">
            <v>4583.5227902265196</v>
          </cell>
          <cell r="K172">
            <v>511.31546080560298</v>
          </cell>
          <cell r="L172">
            <v>325.880583844309</v>
          </cell>
          <cell r="M172">
            <v>669.66196348636402</v>
          </cell>
          <cell r="N172">
            <v>662.33600246826995</v>
          </cell>
          <cell r="O172">
            <v>802.57089025127095</v>
          </cell>
          <cell r="P172">
            <v>666.73541628887995</v>
          </cell>
          <cell r="Q172">
            <v>945.02247308181995</v>
          </cell>
          <cell r="R172">
            <v>5302.2337156191898</v>
          </cell>
          <cell r="S172">
            <v>102775.57740821601</v>
          </cell>
          <cell r="T172">
            <v>6713.9829563593903</v>
          </cell>
          <cell r="U172">
            <v>37682.895314182198</v>
          </cell>
          <cell r="V172">
            <v>39293.579300299498</v>
          </cell>
          <cell r="W172">
            <v>5073.6181105953901</v>
          </cell>
          <cell r="X172">
            <v>14011.501726779899</v>
          </cell>
          <cell r="Y172">
            <v>1580.4685485513101</v>
          </cell>
          <cell r="Z172">
            <v>114276.667968076</v>
          </cell>
        </row>
        <row r="173">
          <cell r="A173" t="str">
            <v>WP Labuan</v>
          </cell>
          <cell r="B173">
            <v>15</v>
          </cell>
          <cell r="C173">
            <v>121.08467347306799</v>
          </cell>
          <cell r="D173">
            <v>6.7249392836401896</v>
          </cell>
          <cell r="E173">
            <v>0</v>
          </cell>
          <cell r="F173">
            <v>114.359734189428</v>
          </cell>
          <cell r="G173">
            <v>2.20302772542336E-3</v>
          </cell>
          <cell r="I173">
            <v>0</v>
          </cell>
          <cell r="J173">
            <v>717.551482388723</v>
          </cell>
          <cell r="K173">
            <v>9.7330650632984206</v>
          </cell>
          <cell r="L173">
            <v>2.6312175701124301</v>
          </cell>
          <cell r="M173">
            <v>1.12671501031767</v>
          </cell>
          <cell r="N173">
            <v>425.60227142865398</v>
          </cell>
          <cell r="O173">
            <v>247.14952935007</v>
          </cell>
          <cell r="P173">
            <v>1.26678033822109</v>
          </cell>
          <cell r="Q173">
            <v>30.0419036280489</v>
          </cell>
          <cell r="R173">
            <v>33.5881762447627</v>
          </cell>
          <cell r="S173">
            <v>2327.3071407966399</v>
          </cell>
          <cell r="T173">
            <v>222.29550550402701</v>
          </cell>
          <cell r="U173">
            <v>258.795257169612</v>
          </cell>
          <cell r="V173">
            <v>1653.88630010355</v>
          </cell>
          <cell r="W173">
            <v>72.967897534969296</v>
          </cell>
          <cell r="X173">
            <v>119.362180484487</v>
          </cell>
          <cell r="Y173">
            <v>17.693919309888098</v>
          </cell>
          <cell r="Z173">
            <v>3217.2253922130899</v>
          </cell>
        </row>
        <row r="174">
          <cell r="A174" t="str">
            <v>Supra1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I174">
            <v>38159.213385185802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38159.213385185802</v>
          </cell>
        </row>
        <row r="175">
          <cell r="A175" t="str">
            <v>MALAYSIA</v>
          </cell>
          <cell r="C175">
            <v>54962.8459395803</v>
          </cell>
          <cell r="D175">
            <v>40693.6048231522</v>
          </cell>
          <cell r="E175">
            <v>6158.4104397142701</v>
          </cell>
          <cell r="F175">
            <v>8110.8306767137901</v>
          </cell>
          <cell r="G175">
            <v>1</v>
          </cell>
          <cell r="I175">
            <v>63243.113191646502</v>
          </cell>
          <cell r="J175">
            <v>186748.390835486</v>
          </cell>
          <cell r="K175">
            <v>20439.203589525401</v>
          </cell>
          <cell r="L175">
            <v>3221.0829452665798</v>
          </cell>
          <cell r="M175">
            <v>11396.660306927201</v>
          </cell>
          <cell r="N175">
            <v>55800.032382327401</v>
          </cell>
          <cell r="O175">
            <v>24975.8702390943</v>
          </cell>
          <cell r="P175">
            <v>45781.368868637401</v>
          </cell>
          <cell r="Q175">
            <v>25134.172503707799</v>
          </cell>
          <cell r="R175">
            <v>26639.763138561801</v>
          </cell>
          <cell r="S175">
            <v>410338.83598152298</v>
          </cell>
          <cell r="T175">
            <v>75369.474869935802</v>
          </cell>
          <cell r="U175">
            <v>125107.343094554</v>
          </cell>
          <cell r="V175">
            <v>112174.73713291599</v>
          </cell>
          <cell r="W175">
            <v>37586.839929248701</v>
          </cell>
          <cell r="X175">
            <v>60100.440954868398</v>
          </cell>
          <cell r="Y175">
            <v>10001.3900725651</v>
          </cell>
          <cell r="Z175">
            <v>751934.33915936295</v>
          </cell>
        </row>
        <row r="178">
          <cell r="A178" t="str">
            <v>CONSTANT</v>
          </cell>
          <cell r="B178" t="str">
            <v>Industry</v>
          </cell>
          <cell r="D178">
            <v>1</v>
          </cell>
          <cell r="E178">
            <v>2</v>
          </cell>
          <cell r="F178">
            <v>3</v>
          </cell>
          <cell r="I178">
            <v>4</v>
          </cell>
          <cell r="K178">
            <v>6</v>
          </cell>
          <cell r="L178">
            <v>7</v>
          </cell>
          <cell r="M178">
            <v>8</v>
          </cell>
          <cell r="N178">
            <v>9</v>
          </cell>
          <cell r="O178">
            <v>10</v>
          </cell>
          <cell r="P178">
            <v>11</v>
          </cell>
          <cell r="Q178">
            <v>12</v>
          </cell>
          <cell r="R178">
            <v>5</v>
          </cell>
          <cell r="T178">
            <v>13</v>
          </cell>
          <cell r="U178">
            <v>14</v>
          </cell>
          <cell r="V178">
            <v>15</v>
          </cell>
          <cell r="W178">
            <v>16</v>
          </cell>
        </row>
        <row r="179">
          <cell r="A179">
            <v>2013</v>
          </cell>
          <cell r="B179" t="str">
            <v>I</v>
          </cell>
          <cell r="C179" t="str">
            <v>Agriculture</v>
          </cell>
          <cell r="D179" t="str">
            <v>Tanaman</v>
          </cell>
          <cell r="E179" t="str">
            <v>Pembalakan</v>
          </cell>
          <cell r="F179" t="str">
            <v>Perikanan</v>
          </cell>
          <cell r="I179" t="str">
            <v>Mining and
Quarrying</v>
          </cell>
          <cell r="J179" t="str">
            <v>Manufacturing</v>
          </cell>
          <cell r="K179" t="str">
            <v>Prosesan Makanan, Minuman dan Produk Tembakau</v>
          </cell>
          <cell r="L179" t="str">
            <v>Tekstil, Pakaian, Kulit dan Kasut</v>
          </cell>
          <cell r="M179" t="str">
            <v>Keluaran Kayu, Perabot, Produk Kertas, Percetakan dan Penerbitan</v>
          </cell>
          <cell r="N179" t="str">
            <v>Produk Petroleum, Bahan kimia, Getah dan Plastik</v>
          </cell>
          <cell r="O179" t="str">
            <v>Produk Mineral Bukan Logam, Logam Asli dan Produk Logam Yang Direka</v>
          </cell>
          <cell r="P179" t="str">
            <v>Elektrik dan Elektronik</v>
          </cell>
          <cell r="Q179" t="str">
            <v>Kelengkapan Pengangkutan dan Pembuatan Lain</v>
          </cell>
          <cell r="R179" t="str">
            <v>Construction</v>
          </cell>
          <cell r="S179" t="str">
            <v>Services</v>
          </cell>
          <cell r="T179" t="str">
            <v>Utiliti, Transport &amp; Communication</v>
          </cell>
          <cell r="U179" t="str">
            <v>WRT, Accomm &amp; Restaurant</v>
          </cell>
          <cell r="V179" t="str">
            <v>Finance &amp; Insurance, Real Estate &amp; Business Services</v>
          </cell>
          <cell r="W179" t="str">
            <v>Other Services</v>
          </cell>
          <cell r="X179" t="str">
            <v>Government Services</v>
          </cell>
          <cell r="Y179" t="str">
            <v>Plus :
Import Duties</v>
          </cell>
          <cell r="Z179" t="str">
            <v>GDP at
Purchasers' Prices</v>
          </cell>
        </row>
        <row r="180">
          <cell r="A180" t="str">
            <v>States</v>
          </cell>
          <cell r="B180" t="str">
            <v>Converter</v>
          </cell>
        </row>
        <row r="181">
          <cell r="A181" t="str">
            <v>Johor</v>
          </cell>
          <cell r="B181" t="str">
            <v>01</v>
          </cell>
          <cell r="C181">
            <v>8748.7908090068704</v>
          </cell>
          <cell r="D181">
            <v>8036.4950683605202</v>
          </cell>
          <cell r="E181">
            <v>50.351897118266798</v>
          </cell>
          <cell r="F181">
            <v>661.94384352808402</v>
          </cell>
          <cell r="G181">
            <v>0.15917645200949501</v>
          </cell>
          <cell r="I181">
            <v>96.234754698537401</v>
          </cell>
          <cell r="J181">
            <v>24405.091104601001</v>
          </cell>
          <cell r="K181">
            <v>2487.6893945492998</v>
          </cell>
          <cell r="L181">
            <v>849.15390690469599</v>
          </cell>
          <cell r="M181">
            <v>1851.70418317137</v>
          </cell>
          <cell r="N181">
            <v>6327.2266505892203</v>
          </cell>
          <cell r="O181">
            <v>3576.06608010438</v>
          </cell>
          <cell r="P181">
            <v>6921.9470872472903</v>
          </cell>
          <cell r="Q181">
            <v>2391.3038020347899</v>
          </cell>
          <cell r="R181">
            <v>2591.1198371668102</v>
          </cell>
          <cell r="S181">
            <v>35158.481630847004</v>
          </cell>
          <cell r="T181">
            <v>8222.2753111455695</v>
          </cell>
          <cell r="U181">
            <v>8451.3331251300497</v>
          </cell>
          <cell r="V181">
            <v>9370.30747007645</v>
          </cell>
          <cell r="W181">
            <v>3299.11104125783</v>
          </cell>
          <cell r="X181">
            <v>5815.4546832370797</v>
          </cell>
          <cell r="Y181">
            <v>1275.41416982082</v>
          </cell>
          <cell r="Z181">
            <v>72275.132306141095</v>
          </cell>
        </row>
        <row r="182">
          <cell r="A182" t="str">
            <v>Kedah</v>
          </cell>
          <cell r="B182" t="str">
            <v>02</v>
          </cell>
          <cell r="C182">
            <v>3134.4356637680999</v>
          </cell>
          <cell r="D182">
            <v>2642.0112222114399</v>
          </cell>
          <cell r="E182">
            <v>121.18761989214801</v>
          </cell>
          <cell r="F182">
            <v>371.23682166451499</v>
          </cell>
          <cell r="G182">
            <v>5.7028263551231202E-2</v>
          </cell>
          <cell r="I182">
            <v>27.175492254822998</v>
          </cell>
          <cell r="J182">
            <v>8044.74531754082</v>
          </cell>
          <cell r="K182">
            <v>394.21841089785102</v>
          </cell>
          <cell r="L182">
            <v>71.111762684665905</v>
          </cell>
          <cell r="M182">
            <v>445.58436772479303</v>
          </cell>
          <cell r="N182">
            <v>1774.7015736860301</v>
          </cell>
          <cell r="O182">
            <v>2232.73900335606</v>
          </cell>
          <cell r="P182">
            <v>1554.0650173762899</v>
          </cell>
          <cell r="Q182">
            <v>1572.32518181513</v>
          </cell>
          <cell r="R182">
            <v>543.56793260374798</v>
          </cell>
          <cell r="S182">
            <v>14512.2928501926</v>
          </cell>
          <cell r="T182">
            <v>2215.18948845253</v>
          </cell>
          <cell r="U182">
            <v>3716.0779669713702</v>
          </cell>
          <cell r="V182">
            <v>2773.3684723987499</v>
          </cell>
          <cell r="W182">
            <v>2139.8606680274202</v>
          </cell>
          <cell r="X182">
            <v>3667.7962543425801</v>
          </cell>
          <cell r="Y182">
            <v>171.488139160842</v>
          </cell>
          <cell r="Z182">
            <v>26433.705395520999</v>
          </cell>
        </row>
        <row r="183">
          <cell r="A183" t="str">
            <v>Kelantan</v>
          </cell>
          <cell r="B183" t="str">
            <v>03</v>
          </cell>
          <cell r="C183">
            <v>3278.2070083706199</v>
          </cell>
          <cell r="D183">
            <v>2316.7337867512201</v>
          </cell>
          <cell r="E183">
            <v>721.82449280438698</v>
          </cell>
          <cell r="F183">
            <v>239.64872881501501</v>
          </cell>
          <cell r="G183">
            <v>5.9644055039913699E-2</v>
          </cell>
          <cell r="I183">
            <v>23.928708431918501</v>
          </cell>
          <cell r="J183">
            <v>728.41334931284405</v>
          </cell>
          <cell r="K183">
            <v>121.84849218116599</v>
          </cell>
          <cell r="L183">
            <v>37.887261727283303</v>
          </cell>
          <cell r="M183">
            <v>90.040331344982107</v>
          </cell>
          <cell r="N183">
            <v>146.34443200108299</v>
          </cell>
          <cell r="O183">
            <v>77.461632040248602</v>
          </cell>
          <cell r="P183">
            <v>246.43157421922601</v>
          </cell>
          <cell r="Q183">
            <v>8.3996257988556593</v>
          </cell>
          <cell r="R183">
            <v>184.40149107085</v>
          </cell>
          <cell r="S183">
            <v>9720.5054801689002</v>
          </cell>
          <cell r="T183">
            <v>1128.25163187364</v>
          </cell>
          <cell r="U183">
            <v>2509.8444173910798</v>
          </cell>
          <cell r="V183">
            <v>1162.2121930411499</v>
          </cell>
          <cell r="W183">
            <v>1531.4696665264801</v>
          </cell>
          <cell r="X183">
            <v>3388.7275713365502</v>
          </cell>
          <cell r="Y183">
            <v>27.258509501254601</v>
          </cell>
          <cell r="Z183">
            <v>13962.714546856399</v>
          </cell>
        </row>
        <row r="184">
          <cell r="A184" t="str">
            <v>Melaka</v>
          </cell>
          <cell r="B184" t="str">
            <v>04</v>
          </cell>
          <cell r="C184">
            <v>2171.0469426095101</v>
          </cell>
          <cell r="D184">
            <v>2137.9820003771601</v>
          </cell>
          <cell r="E184">
            <v>0.38372537971792697</v>
          </cell>
          <cell r="F184">
            <v>32.681216852634201</v>
          </cell>
          <cell r="G184">
            <v>3.95002643239417E-2</v>
          </cell>
          <cell r="I184">
            <v>11.591103445725601</v>
          </cell>
          <cell r="J184">
            <v>9190.1860404036597</v>
          </cell>
          <cell r="K184">
            <v>439.92529419453803</v>
          </cell>
          <cell r="L184">
            <v>323.13145513812702</v>
          </cell>
          <cell r="M184">
            <v>300.27909684069402</v>
          </cell>
          <cell r="N184">
            <v>3525.3967782201498</v>
          </cell>
          <cell r="O184">
            <v>622.43666930828795</v>
          </cell>
          <cell r="P184">
            <v>2235.08891102693</v>
          </cell>
          <cell r="Q184">
            <v>1743.9278356749401</v>
          </cell>
          <cell r="R184">
            <v>692.92146594357098</v>
          </cell>
          <cell r="S184">
            <v>10560.3179800077</v>
          </cell>
          <cell r="T184">
            <v>1978.7840909982899</v>
          </cell>
          <cell r="U184">
            <v>3541.4714675534401</v>
          </cell>
          <cell r="V184">
            <v>2022.6873549157301</v>
          </cell>
          <cell r="W184">
            <v>1291.10676756355</v>
          </cell>
          <cell r="X184">
            <v>1726.2682989766499</v>
          </cell>
          <cell r="Y184">
            <v>20.244858230933101</v>
          </cell>
          <cell r="Z184">
            <v>22646.308390641101</v>
          </cell>
        </row>
        <row r="185">
          <cell r="A185" t="str">
            <v>Negeri Sembilan</v>
          </cell>
          <cell r="B185" t="str">
            <v>05</v>
          </cell>
          <cell r="C185">
            <v>2177.1023931321502</v>
          </cell>
          <cell r="D185">
            <v>2084.1226660815601</v>
          </cell>
          <cell r="E185">
            <v>54.579197938699799</v>
          </cell>
          <cell r="F185">
            <v>38.400529111885596</v>
          </cell>
          <cell r="G185">
            <v>3.9610437849695798E-2</v>
          </cell>
          <cell r="I185">
            <v>27.9349198765557</v>
          </cell>
          <cell r="J185">
            <v>13482.934373079999</v>
          </cell>
          <cell r="K185">
            <v>1073.51143212127</v>
          </cell>
          <cell r="L185">
            <v>149.48211573688499</v>
          </cell>
          <cell r="M185">
            <v>409.06445384241499</v>
          </cell>
          <cell r="N185">
            <v>4229.78143055286</v>
          </cell>
          <cell r="O185">
            <v>1422.60756007227</v>
          </cell>
          <cell r="P185">
            <v>5239.6258880310597</v>
          </cell>
          <cell r="Q185">
            <v>958.86149272320097</v>
          </cell>
          <cell r="R185">
            <v>711.12297261316098</v>
          </cell>
          <cell r="S185">
            <v>11699.787641275099</v>
          </cell>
          <cell r="T185">
            <v>2723.43609090371</v>
          </cell>
          <cell r="U185">
            <v>2988.6764926708202</v>
          </cell>
          <cell r="V185">
            <v>2333.4203236531898</v>
          </cell>
          <cell r="W185">
            <v>1536.9809950527599</v>
          </cell>
          <cell r="X185">
            <v>2117.2737389946701</v>
          </cell>
          <cell r="Y185">
            <v>591.97883182675503</v>
          </cell>
          <cell r="Z185">
            <v>28690.8611318037</v>
          </cell>
        </row>
        <row r="186">
          <cell r="A186" t="str">
            <v>Pahang</v>
          </cell>
          <cell r="B186" t="str">
            <v>06</v>
          </cell>
          <cell r="C186">
            <v>6495.5884319916304</v>
          </cell>
          <cell r="D186">
            <v>5130.8886455602496</v>
          </cell>
          <cell r="E186">
            <v>607.26593269382295</v>
          </cell>
          <cell r="F186">
            <v>757.43385373755405</v>
          </cell>
          <cell r="G186">
            <v>0.11818144277194299</v>
          </cell>
          <cell r="I186">
            <v>234.637617214561</v>
          </cell>
          <cell r="J186">
            <v>8260.7519226613294</v>
          </cell>
          <cell r="K186">
            <v>1022.37655840198</v>
          </cell>
          <cell r="L186">
            <v>24.944378736767199</v>
          </cell>
          <cell r="M186">
            <v>646.27684577394098</v>
          </cell>
          <cell r="N186">
            <v>2848.8761106411698</v>
          </cell>
          <cell r="O186">
            <v>688.57969868896805</v>
          </cell>
          <cell r="P186">
            <v>113.926478323246</v>
          </cell>
          <cell r="Q186">
            <v>2915.7718520952499</v>
          </cell>
          <cell r="R186">
            <v>926.54904098967097</v>
          </cell>
          <cell r="S186">
            <v>16545.752522713901</v>
          </cell>
          <cell r="T186">
            <v>1786.2366502566499</v>
          </cell>
          <cell r="U186">
            <v>5057.6745861725603</v>
          </cell>
          <cell r="V186">
            <v>2281.7186588714699</v>
          </cell>
          <cell r="W186">
            <v>4027.3848709680901</v>
          </cell>
          <cell r="X186">
            <v>3392.7377564451299</v>
          </cell>
          <cell r="Y186">
            <v>25.951612294820599</v>
          </cell>
          <cell r="Z186">
            <v>32489.231147865899</v>
          </cell>
        </row>
        <row r="187">
          <cell r="A187" t="str">
            <v>Pulau Pinang</v>
          </cell>
          <cell r="B187" t="str">
            <v>07</v>
          </cell>
          <cell r="C187">
            <v>1021.0957839773999</v>
          </cell>
          <cell r="D187">
            <v>758.16760528689701</v>
          </cell>
          <cell r="E187">
            <v>0</v>
          </cell>
          <cell r="F187">
            <v>262.92817869050299</v>
          </cell>
          <cell r="G187">
            <v>1.8577927807811701E-2</v>
          </cell>
          <cell r="I187">
            <v>26.7326725623969</v>
          </cell>
          <cell r="J187">
            <v>26301.2572686202</v>
          </cell>
          <cell r="K187">
            <v>1186.13335334663</v>
          </cell>
          <cell r="L187">
            <v>577.11881207715203</v>
          </cell>
          <cell r="M187">
            <v>927.33094385090396</v>
          </cell>
          <cell r="N187">
            <v>3076.4671167770098</v>
          </cell>
          <cell r="O187">
            <v>2976.3297866633802</v>
          </cell>
          <cell r="P187">
            <v>15388.367361549999</v>
          </cell>
          <cell r="Q187">
            <v>2169.5098943550502</v>
          </cell>
          <cell r="R187">
            <v>1308.2666944063899</v>
          </cell>
          <cell r="S187">
            <v>25831.234097850702</v>
          </cell>
          <cell r="T187">
            <v>5500.6826819693897</v>
          </cell>
          <cell r="U187">
            <v>7280.0789083468699</v>
          </cell>
          <cell r="V187">
            <v>7184.2364387227399</v>
          </cell>
          <cell r="W187">
            <v>2538.1412284069002</v>
          </cell>
          <cell r="X187">
            <v>3328.0948404048499</v>
          </cell>
          <cell r="Y187">
            <v>479.12025591232202</v>
          </cell>
          <cell r="Z187">
            <v>54967.706773329402</v>
          </cell>
        </row>
        <row r="188">
          <cell r="A188" t="str">
            <v>Perak</v>
          </cell>
          <cell r="B188" t="str">
            <v>08</v>
          </cell>
          <cell r="C188">
            <v>5769.6978854849704</v>
          </cell>
          <cell r="D188">
            <v>3875.97029518006</v>
          </cell>
          <cell r="E188">
            <v>387.62683690967799</v>
          </cell>
          <cell r="F188">
            <v>1506.10075339523</v>
          </cell>
          <cell r="G188">
            <v>0.104974511178469</v>
          </cell>
          <cell r="I188">
            <v>160.81691599765799</v>
          </cell>
          <cell r="J188">
            <v>8091.9117850561797</v>
          </cell>
          <cell r="K188">
            <v>1160.96481724502</v>
          </cell>
          <cell r="L188">
            <v>171.25186372072</v>
          </cell>
          <cell r="M188">
            <v>363.56211939631299</v>
          </cell>
          <cell r="N188">
            <v>1553.97182138072</v>
          </cell>
          <cell r="O188">
            <v>1886.8563472396399</v>
          </cell>
          <cell r="P188">
            <v>2067.8582196103498</v>
          </cell>
          <cell r="Q188">
            <v>887.44659646341097</v>
          </cell>
          <cell r="R188">
            <v>1315.5138579433501</v>
          </cell>
          <cell r="S188">
            <v>26425.2482440975</v>
          </cell>
          <cell r="T188">
            <v>8094.2207449247398</v>
          </cell>
          <cell r="U188">
            <v>6149.5975449324096</v>
          </cell>
          <cell r="V188">
            <v>4468.0073264889497</v>
          </cell>
          <cell r="W188">
            <v>3020.86195335604</v>
          </cell>
          <cell r="X188">
            <v>4692.5606743953904</v>
          </cell>
          <cell r="Y188">
            <v>23.3757166071066</v>
          </cell>
          <cell r="Z188">
            <v>41786.5644051868</v>
          </cell>
        </row>
        <row r="189">
          <cell r="A189" t="str">
            <v>Perlis</v>
          </cell>
          <cell r="B189" t="str">
            <v>09</v>
          </cell>
          <cell r="C189">
            <v>818.62725838790595</v>
          </cell>
          <cell r="D189">
            <v>271.46455222490499</v>
          </cell>
          <cell r="E189">
            <v>0</v>
          </cell>
          <cell r="F189">
            <v>547.16270616300096</v>
          </cell>
          <cell r="G189">
            <v>1.4894193420912199E-2</v>
          </cell>
          <cell r="I189">
            <v>7.8513332154068296</v>
          </cell>
          <cell r="J189">
            <v>362.41036102651401</v>
          </cell>
          <cell r="K189">
            <v>53.638273758948998</v>
          </cell>
          <cell r="L189">
            <v>42.021774884030897</v>
          </cell>
          <cell r="M189">
            <v>5.8401637589311397</v>
          </cell>
          <cell r="N189">
            <v>78.988785974380804</v>
          </cell>
          <cell r="O189">
            <v>178.223318920645</v>
          </cell>
          <cell r="P189">
            <v>0.68963994380997895</v>
          </cell>
          <cell r="Q189">
            <v>3.0084037857672898</v>
          </cell>
          <cell r="R189">
            <v>99.772993551221603</v>
          </cell>
          <cell r="S189">
            <v>2274.54725466329</v>
          </cell>
          <cell r="T189">
            <v>721.42277281399902</v>
          </cell>
          <cell r="U189">
            <v>331.29351414421097</v>
          </cell>
          <cell r="V189">
            <v>298.30837412730398</v>
          </cell>
          <cell r="W189">
            <v>280.637554691064</v>
          </cell>
          <cell r="X189">
            <v>642.88503888671505</v>
          </cell>
          <cell r="Y189">
            <v>84.816419751260895</v>
          </cell>
          <cell r="Z189">
            <v>3648.0256205955998</v>
          </cell>
        </row>
        <row r="190">
          <cell r="A190" t="str">
            <v>Selangor</v>
          </cell>
          <cell r="B190">
            <v>10</v>
          </cell>
          <cell r="C190">
            <v>2873.5869735044298</v>
          </cell>
          <cell r="D190">
            <v>1919.87178957015</v>
          </cell>
          <cell r="E190">
            <v>4.7663474021765504</v>
          </cell>
          <cell r="F190">
            <v>948.94883653210195</v>
          </cell>
          <cell r="G190">
            <v>5.2282354095406901E-2</v>
          </cell>
          <cell r="I190">
            <v>173.78388784137201</v>
          </cell>
          <cell r="J190">
            <v>57388.191002190302</v>
          </cell>
          <cell r="K190">
            <v>9145.1344121986695</v>
          </cell>
          <cell r="L190">
            <v>658.68614929752005</v>
          </cell>
          <cell r="M190">
            <v>3205.7740136094299</v>
          </cell>
          <cell r="N190">
            <v>9106.4950050390908</v>
          </cell>
          <cell r="O190">
            <v>9596.8726905711701</v>
          </cell>
          <cell r="P190">
            <v>12120.3435515441</v>
          </cell>
          <cell r="Q190">
            <v>13554.885179930299</v>
          </cell>
          <cell r="R190">
            <v>10144.089580456801</v>
          </cell>
          <cell r="S190">
            <v>109673.337794666</v>
          </cell>
          <cell r="T190">
            <v>26316.5125620527</v>
          </cell>
          <cell r="U190">
            <v>36010.973321654797</v>
          </cell>
          <cell r="V190">
            <v>29168.735580597899</v>
          </cell>
          <cell r="W190">
            <v>8782.4639217673994</v>
          </cell>
          <cell r="X190">
            <v>9394.6524085932597</v>
          </cell>
          <cell r="Y190">
            <v>6295.2281592564996</v>
          </cell>
          <cell r="Z190">
            <v>186548.217397915</v>
          </cell>
        </row>
        <row r="191">
          <cell r="A191" t="str">
            <v>Terengganu</v>
          </cell>
          <cell r="B191">
            <v>11</v>
          </cell>
          <cell r="C191">
            <v>1554.2279757542899</v>
          </cell>
          <cell r="D191">
            <v>1198.20448964097</v>
          </cell>
          <cell r="E191">
            <v>103.412863951137</v>
          </cell>
          <cell r="F191">
            <v>252.61062216218701</v>
          </cell>
          <cell r="G191">
            <v>2.8277792919653901E-2</v>
          </cell>
          <cell r="I191">
            <v>21.902583824948501</v>
          </cell>
          <cell r="J191">
            <v>7670.0923387204703</v>
          </cell>
          <cell r="K191">
            <v>64.322648984943001</v>
          </cell>
          <cell r="L191">
            <v>42.864132053096398</v>
          </cell>
          <cell r="M191">
            <v>97.235170068299993</v>
          </cell>
          <cell r="N191">
            <v>7023.4126857194096</v>
          </cell>
          <cell r="O191">
            <v>364.86600226697902</v>
          </cell>
          <cell r="P191">
            <v>2.8807609174577098</v>
          </cell>
          <cell r="Q191">
            <v>74.510938710281096</v>
          </cell>
          <cell r="R191">
            <v>795.84075558622499</v>
          </cell>
          <cell r="S191">
            <v>10497.527787229001</v>
          </cell>
          <cell r="T191">
            <v>3895.6502935599401</v>
          </cell>
          <cell r="U191">
            <v>1936.3616513498</v>
          </cell>
          <cell r="V191">
            <v>982.59055145654202</v>
          </cell>
          <cell r="W191">
            <v>1012.52988625111</v>
          </cell>
          <cell r="X191">
            <v>2670.3954046116</v>
          </cell>
          <cell r="Y191">
            <v>14.0157405078594</v>
          </cell>
          <cell r="Z191">
            <v>20553.6071816228</v>
          </cell>
        </row>
        <row r="192">
          <cell r="A192" t="str">
            <v>Sabah</v>
          </cell>
          <cell r="B192">
            <v>12</v>
          </cell>
          <cell r="C192">
            <v>9410.6954707572204</v>
          </cell>
          <cell r="D192">
            <v>6788.29327785022</v>
          </cell>
          <cell r="E192">
            <v>701.74899572940399</v>
          </cell>
          <cell r="F192">
            <v>1920.6531971775901</v>
          </cell>
          <cell r="G192">
            <v>0.171219217452863</v>
          </cell>
          <cell r="I192">
            <v>9349.4960306194607</v>
          </cell>
          <cell r="J192">
            <v>3605.2665872625498</v>
          </cell>
          <cell r="K192">
            <v>2006.6271122629</v>
          </cell>
          <cell r="L192">
            <v>35.873470019840099</v>
          </cell>
          <cell r="M192">
            <v>726.236787169575</v>
          </cell>
          <cell r="N192">
            <v>229.85404437143899</v>
          </cell>
          <cell r="O192">
            <v>453.08445668788801</v>
          </cell>
          <cell r="P192">
            <v>13.031717106270399</v>
          </cell>
          <cell r="Q192">
            <v>140.558999644642</v>
          </cell>
          <cell r="R192">
            <v>1106.9610473805201</v>
          </cell>
          <cell r="S192">
            <v>22133.7737827686</v>
          </cell>
          <cell r="T192">
            <v>4100.9525660907102</v>
          </cell>
          <cell r="U192">
            <v>7043.4143607875403</v>
          </cell>
          <cell r="V192">
            <v>4460.10240379273</v>
          </cell>
          <cell r="W192">
            <v>1915.8505499156499</v>
          </cell>
          <cell r="X192">
            <v>4613.4539021819801</v>
          </cell>
          <cell r="Y192">
            <v>184.392118725611</v>
          </cell>
          <cell r="Z192">
            <v>45790.585037514</v>
          </cell>
        </row>
        <row r="193">
          <cell r="A193" t="str">
            <v>Sarawak</v>
          </cell>
          <cell r="B193">
            <v>13</v>
          </cell>
          <cell r="C193">
            <v>8500.9819954592695</v>
          </cell>
          <cell r="D193">
            <v>5007.7009603058596</v>
          </cell>
          <cell r="E193">
            <v>2927.3698797729899</v>
          </cell>
          <cell r="F193">
            <v>565.91115538041095</v>
          </cell>
          <cell r="G193">
            <v>0.15466779148962301</v>
          </cell>
          <cell r="I193">
            <v>16082.7212522643</v>
          </cell>
          <cell r="J193">
            <v>19926.047586987199</v>
          </cell>
          <cell r="K193">
            <v>867.52672601975598</v>
          </cell>
          <cell r="L193">
            <v>15.2615685336468</v>
          </cell>
          <cell r="M193">
            <v>1579.5850175294199</v>
          </cell>
          <cell r="N193">
            <v>15717.725999576</v>
          </cell>
          <cell r="O193">
            <v>641.92543226121495</v>
          </cell>
          <cell r="P193">
            <v>647.00830661870998</v>
          </cell>
          <cell r="Q193">
            <v>457.01453644846498</v>
          </cell>
          <cell r="R193">
            <v>2301.0924495561999</v>
          </cell>
          <cell r="S193">
            <v>27843.5206875031</v>
          </cell>
          <cell r="T193">
            <v>6131.7304483726402</v>
          </cell>
          <cell r="U193">
            <v>7340.1493415198602</v>
          </cell>
          <cell r="V193">
            <v>7138.3263984308596</v>
          </cell>
          <cell r="W193">
            <v>2668.2303733642402</v>
          </cell>
          <cell r="X193">
            <v>4565.0841258155097</v>
          </cell>
          <cell r="Y193">
            <v>232.84176556763501</v>
          </cell>
          <cell r="Z193">
            <v>74887.205737337703</v>
          </cell>
        </row>
        <row r="194">
          <cell r="A194" t="str">
            <v>WP Kuala Lumpur</v>
          </cell>
          <cell r="B194">
            <v>14</v>
          </cell>
          <cell r="C194">
            <v>1.4522015191577999</v>
          </cell>
          <cell r="D194">
            <v>1.4522015191577999</v>
          </cell>
          <cell r="E194">
            <v>0</v>
          </cell>
          <cell r="F194">
            <v>0</v>
          </cell>
          <cell r="G194">
            <v>2.6421512465969799E-5</v>
          </cell>
          <cell r="I194">
            <v>38.115332011266602</v>
          </cell>
          <cell r="J194">
            <v>5028.9893210533601</v>
          </cell>
          <cell r="K194">
            <v>487.25938630193099</v>
          </cell>
          <cell r="L194">
            <v>291.02525022970502</v>
          </cell>
          <cell r="M194">
            <v>682.35266066343604</v>
          </cell>
          <cell r="N194">
            <v>758.09189379295697</v>
          </cell>
          <cell r="O194">
            <v>801.37090367748306</v>
          </cell>
          <cell r="P194">
            <v>843.14870568153697</v>
          </cell>
          <cell r="Q194">
            <v>1165.74052070631</v>
          </cell>
          <cell r="R194">
            <v>6781.6547222751296</v>
          </cell>
          <cell r="S194">
            <v>109069.06637915599</v>
          </cell>
          <cell r="T194">
            <v>7276.13968971135</v>
          </cell>
          <cell r="U194">
            <v>40341.450519275902</v>
          </cell>
          <cell r="V194">
            <v>41086.511367503699</v>
          </cell>
          <cell r="W194">
            <v>5399.2865968689202</v>
          </cell>
          <cell r="X194">
            <v>14965.678205795801</v>
          </cell>
          <cell r="Y194">
            <v>1140.19933738243</v>
          </cell>
          <cell r="Z194">
            <v>122059.47729339699</v>
          </cell>
        </row>
        <row r="195">
          <cell r="A195" t="str">
            <v>WP Labuan</v>
          </cell>
          <cell r="B195">
            <v>15</v>
          </cell>
          <cell r="C195">
            <v>139.32715428529599</v>
          </cell>
          <cell r="D195">
            <v>7.9241830797108799</v>
          </cell>
          <cell r="E195">
            <v>0</v>
          </cell>
          <cell r="F195">
            <v>131.402971205585</v>
          </cell>
          <cell r="G195">
            <v>2.5349334064407002E-3</v>
          </cell>
          <cell r="I195">
            <v>0</v>
          </cell>
          <cell r="J195">
            <v>750.58651940238099</v>
          </cell>
          <cell r="K195">
            <v>9.1777708055619591</v>
          </cell>
          <cell r="L195">
            <v>2.6930070708899798</v>
          </cell>
          <cell r="M195">
            <v>1.15361241202134</v>
          </cell>
          <cell r="N195">
            <v>493.356230079439</v>
          </cell>
          <cell r="O195">
            <v>209.996322507017</v>
          </cell>
          <cell r="P195">
            <v>1.2068615879611899</v>
          </cell>
          <cell r="Q195">
            <v>33.002714939490602</v>
          </cell>
          <cell r="R195">
            <v>51.5224791213004</v>
          </cell>
          <cell r="S195">
            <v>2514.23810393146</v>
          </cell>
          <cell r="T195">
            <v>230.96421000186899</v>
          </cell>
          <cell r="U195">
            <v>280.79011811224899</v>
          </cell>
          <cell r="V195">
            <v>1801.2729670522999</v>
          </cell>
          <cell r="W195">
            <v>75.651371134487405</v>
          </cell>
          <cell r="X195">
            <v>125.559437630563</v>
          </cell>
          <cell r="Y195">
            <v>19.3768432572531</v>
          </cell>
          <cell r="Z195">
            <v>3475.05109999769</v>
          </cell>
        </row>
        <row r="196">
          <cell r="A196" t="str">
            <v>Supra1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I196">
            <v>37396.647797976802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37396.647797976802</v>
          </cell>
        </row>
        <row r="197">
          <cell r="A197" t="str">
            <v>MALAYSIA</v>
          </cell>
          <cell r="C197">
            <v>56094.863948008802</v>
          </cell>
          <cell r="D197">
            <v>42177.282744000098</v>
          </cell>
          <cell r="E197">
            <v>5680.5177895924298</v>
          </cell>
          <cell r="F197">
            <v>8237.0634144162996</v>
          </cell>
          <cell r="G197">
            <v>1.0205960588298699</v>
          </cell>
          <cell r="I197">
            <v>63679.570402235702</v>
          </cell>
          <cell r="J197">
            <v>193236.87487791901</v>
          </cell>
          <cell r="K197">
            <v>20520.3540832705</v>
          </cell>
          <cell r="L197">
            <v>3292.5069088150199</v>
          </cell>
          <cell r="M197">
            <v>11332.0197671565</v>
          </cell>
          <cell r="N197">
            <v>56890.6905584009</v>
          </cell>
          <cell r="O197">
            <v>25729.4159043656</v>
          </cell>
          <cell r="P197">
            <v>47395.620080784298</v>
          </cell>
          <cell r="Q197">
            <v>28076.267575125901</v>
          </cell>
          <cell r="R197">
            <v>29554.397320664899</v>
          </cell>
          <cell r="S197">
            <v>434459.632237071</v>
          </cell>
          <cell r="T197">
            <v>80322.4492331277</v>
          </cell>
          <cell r="U197">
            <v>132979.18733601301</v>
          </cell>
          <cell r="V197">
            <v>116531.80588113</v>
          </cell>
          <cell r="W197">
            <v>39519.567445151901</v>
          </cell>
          <cell r="X197">
            <v>65106.622341648297</v>
          </cell>
          <cell r="Y197">
            <v>10585.702477803399</v>
          </cell>
          <cell r="Z197">
            <v>787611.04126370198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.1"/>
      <sheetName val="4.3"/>
      <sheetName val="4.4"/>
      <sheetName val="4.5"/>
      <sheetName val="4.6"/>
      <sheetName val="4.7"/>
      <sheetName val="4.7 samb"/>
      <sheetName val="4.8"/>
      <sheetName val="4.10"/>
      <sheetName val="7.6"/>
      <sheetName val="VA_CONSTANT"/>
      <sheetName val="ref"/>
      <sheetName val="5.11"/>
      <sheetName val="4.9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.1"/>
      <sheetName val="4.3"/>
      <sheetName val="4.4"/>
      <sheetName val="4.5"/>
      <sheetName val="4.6"/>
      <sheetName val="4.7"/>
      <sheetName val="4.7 samb"/>
      <sheetName val="4.8"/>
      <sheetName val="4.10"/>
      <sheetName val="7.6"/>
      <sheetName val="VA_CONSTANT"/>
      <sheetName val="ref"/>
      <sheetName val="5.11"/>
      <sheetName val="4.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.1"/>
      <sheetName val="4.2"/>
      <sheetName val="4.3"/>
      <sheetName val="4.4"/>
      <sheetName val="4.5"/>
      <sheetName val="4.6"/>
      <sheetName val="4.7"/>
      <sheetName val="4.7samb"/>
      <sheetName val="4.9"/>
      <sheetName val="4.10"/>
      <sheetName val="4.11"/>
      <sheetName val="4.12"/>
      <sheetName val="4.13"/>
      <sheetName val="4.8"/>
      <sheetName val="VA_CONSTANT"/>
      <sheetName val="7.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.1"/>
      <sheetName val="4.2"/>
      <sheetName val="4.3"/>
      <sheetName val="4.4"/>
      <sheetName val="4.5"/>
      <sheetName val="4.6"/>
      <sheetName val="4.7"/>
      <sheetName val="4.7samb"/>
      <sheetName val="4.9"/>
      <sheetName val="4.10"/>
      <sheetName val="4.11"/>
      <sheetName val="4.12"/>
      <sheetName val="4.13"/>
      <sheetName val="4.8"/>
      <sheetName val="VA_CONSTANT"/>
      <sheetName val="7.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3.1 (T1) (RM)"/>
      <sheetName val="43.1 (T2) (RM)"/>
      <sheetName val="43.1 (T3) (RM)"/>
      <sheetName val="43.2 (U1) (RM)"/>
      <sheetName val="43.2 (U2) (RM)"/>
      <sheetName val="43.2 (U3) (RM)"/>
      <sheetName val="43.3 (R1) (RM)"/>
      <sheetName val="43.3 (R2) (RM)"/>
      <sheetName val="43.3 (R3) (RM)"/>
      <sheetName val="48.1 (T1) (RM)"/>
      <sheetName val="48.1 (T2) (RM)"/>
      <sheetName val="48.1 (T3) (RM)"/>
      <sheetName val="48.2 (U1) (RM)"/>
      <sheetName val="48.2 (U2) (RM)"/>
      <sheetName val="48.2 (U3) (RM)"/>
      <sheetName val="48.3 (R1) (RM)"/>
      <sheetName val="48.3 (R2) (RM)"/>
      <sheetName val="48.3 (R3) (RM)"/>
      <sheetName val="48.4 (T1) (%)"/>
      <sheetName val="48.4 (T2) (%)"/>
      <sheetName val="48.4 (T3) (%)"/>
      <sheetName val="48.5 (U1) (%)"/>
      <sheetName val="48.5 (U2) (%)"/>
      <sheetName val="48.5 (U3) (%)"/>
      <sheetName val="48.6 (R1) (%)"/>
      <sheetName val="48.6 (R2) (%)"/>
      <sheetName val="48.6 (R3) (%)"/>
      <sheetName val="Wsheet"/>
      <sheetName val="Sheet2"/>
      <sheetName val="1.1 (RM) &amp; (%)"/>
      <sheetName val="1.2 (T1) (RM) &amp; (%)"/>
      <sheetName val="1.2 (T2) (RM) &amp; (%)"/>
      <sheetName val="1.2 (T3) (RM) &amp; (%)"/>
      <sheetName val="1.3 (U1) (RM) &amp; (%)"/>
      <sheetName val="1.3 (U2) (RM) &amp; (%)"/>
      <sheetName val="1.3 (U3) (RM) &amp; (%)"/>
      <sheetName val="1.4 (R1) (RM) &amp; (%)"/>
      <sheetName val="1.4 (R2) (RM) &amp; (%)"/>
      <sheetName val="1.4 (R3) (RM) &amp; (%)"/>
      <sheetName val="4.1 T (RM)"/>
      <sheetName val="4.2 U (RM)"/>
      <sheetName val="4.3 R (RM)"/>
      <sheetName val="4.4 T (%)"/>
      <sheetName val="4.5 U (%)"/>
      <sheetName val="4.6 R (%)"/>
      <sheetName val="6.1 T (RM &amp; %)"/>
      <sheetName val="6.2 U (RM &amp; %)"/>
      <sheetName val="6.3 R (RM &amp; %)"/>
      <sheetName val="5.1 T (RM)"/>
      <sheetName val="5.2 U (RM)"/>
      <sheetName val="5.3 R (RM)"/>
      <sheetName val="5.4 T (%)"/>
      <sheetName val="5.5 U (%)"/>
      <sheetName val="5.6 R (%)"/>
      <sheetName val="3.1 T (RM)"/>
      <sheetName val="3.2 U (RM)"/>
      <sheetName val="3.3 R (RM)"/>
      <sheetName val="3.4 T (%)"/>
      <sheetName val="3.5 U (%)"/>
      <sheetName val="3.6 R (%)"/>
      <sheetName val="7.1 T (RM)"/>
      <sheetName val="7.2 U (RM)"/>
      <sheetName val="7.3 R (RM)"/>
      <sheetName val="7.4 T (%)"/>
      <sheetName val="7.5 U (%)"/>
      <sheetName val="7.6 R (%)"/>
      <sheetName val="46.1 T (RM)"/>
      <sheetName val="46.2 U (RM)"/>
      <sheetName val="46.3 R (RM)"/>
      <sheetName val="46.4 T (%)"/>
      <sheetName val="46.5 U (%)"/>
      <sheetName val="46.6 R (%)"/>
      <sheetName val="50.1 T (RM)"/>
      <sheetName val="50.2 U (RM)"/>
      <sheetName val="50.3 R (RM)"/>
      <sheetName val="50.4 T (%)"/>
      <sheetName val="50.5 U (%)"/>
      <sheetName val="50.6 R (%)"/>
      <sheetName val="2.1 T (RM)"/>
      <sheetName val="2.2 U (RM)"/>
      <sheetName val="2.3 R (RM)"/>
      <sheetName val="2.4 T (%)"/>
      <sheetName val="2.5 U (%)"/>
      <sheetName val="2.6 R (%)"/>
      <sheetName val="47.1"/>
      <sheetName val="45.1"/>
      <sheetName val="49.1"/>
      <sheetName val="1.7(ab)"/>
      <sheetName val="1.9"/>
      <sheetName val="1.15(T)"/>
      <sheetName val="1.15(U)"/>
      <sheetName val="1.15(R)"/>
      <sheetName val="1.17(T1)"/>
      <sheetName val="1.17(T2)"/>
      <sheetName val="1.17(U1)"/>
      <sheetName val="1.17(U2)"/>
      <sheetName val="1.17(R1)"/>
      <sheetName val="1.17(R2)"/>
      <sheetName val="1.10(T)"/>
      <sheetName val="1.10(U)"/>
      <sheetName val="1.10(R)"/>
      <sheetName val="7.6"/>
      <sheetName val="4.9"/>
      <sheetName val="VA_CONSTANT"/>
      <sheetName val="4.8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>
        <row r="2">
          <cell r="B2" t="str">
            <v>MALAYSIA - TUR</v>
          </cell>
        </row>
        <row r="3">
          <cell r="B3" t="str">
            <v>PEN. MSIA - TUR</v>
          </cell>
        </row>
        <row r="4">
          <cell r="B4" t="str">
            <v>SABAH (w/o Labuan) - TUR</v>
          </cell>
        </row>
        <row r="5">
          <cell r="B5" t="str">
            <v>SABAH (with Labuan) - TUR</v>
          </cell>
        </row>
        <row r="6">
          <cell r="B6" t="str">
            <v>SARAWAK - TUR</v>
          </cell>
        </row>
        <row r="7">
          <cell r="B7" t="str">
            <v>W.P. LABUAN - TUR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  <sheetData sheetId="101" refreshError="1"/>
      <sheetData sheetId="102" refreshError="1"/>
      <sheetData sheetId="103" refreshError="1"/>
      <sheetData sheetId="104" refreshError="1"/>
      <sheetData sheetId="10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3.1 (T1) (RM)"/>
      <sheetName val="43.1 (T2) (RM)"/>
      <sheetName val="43.1 (T3) (RM)"/>
      <sheetName val="43.2 (U1) (RM)"/>
      <sheetName val="43.2 (U2) (RM)"/>
      <sheetName val="43.2 (U3) (RM)"/>
      <sheetName val="43.3 (R1) (RM)"/>
      <sheetName val="43.3 (R2) (RM)"/>
      <sheetName val="43.3 (R3) (RM)"/>
      <sheetName val="48.1 (T1) (RM)"/>
      <sheetName val="48.1 (T2) (RM)"/>
      <sheetName val="48.1 (T3) (RM)"/>
      <sheetName val="48.2 (U1) (RM)"/>
      <sheetName val="48.2 (U2) (RM)"/>
      <sheetName val="48.2 (U3) (RM)"/>
      <sheetName val="48.3 (R1) (RM)"/>
      <sheetName val="48.3 (R2) (RM)"/>
      <sheetName val="48.3 (R3) (RM)"/>
      <sheetName val="48.4 (T1) (%)"/>
      <sheetName val="48.4 (T2) (%)"/>
      <sheetName val="48.4 (T3) (%)"/>
      <sheetName val="48.5 (U1) (%)"/>
      <sheetName val="48.5 (U2) (%)"/>
      <sheetName val="48.5 (U3) (%)"/>
      <sheetName val="48.6 (R1) (%)"/>
      <sheetName val="48.6 (R2) (%)"/>
      <sheetName val="48.6 (R3) (%)"/>
      <sheetName val="Wsheet"/>
      <sheetName val="Sheet2"/>
      <sheetName val="1.1 (RM) &amp; (%)"/>
      <sheetName val="1.2 (T1) (RM) &amp; (%)"/>
      <sheetName val="1.2 (T2) (RM) &amp; (%)"/>
      <sheetName val="1.2 (T3) (RM) &amp; (%)"/>
      <sheetName val="1.3 (U1) (RM) &amp; (%)"/>
      <sheetName val="1.3 (U2) (RM) &amp; (%)"/>
      <sheetName val="1.3 (U3) (RM) &amp; (%)"/>
      <sheetName val="1.4 (R1) (RM) &amp; (%)"/>
      <sheetName val="1.4 (R2) (RM) &amp; (%)"/>
      <sheetName val="1.4 (R3) (RM) &amp; (%)"/>
      <sheetName val="4.1 T (RM)"/>
      <sheetName val="4.2 U (RM)"/>
      <sheetName val="4.3 R (RM)"/>
      <sheetName val="4.4 T (%)"/>
      <sheetName val="4.5 U (%)"/>
      <sheetName val="4.6 R (%)"/>
      <sheetName val="6.1 T (RM &amp; %)"/>
      <sheetName val="6.2 U (RM &amp; %)"/>
      <sheetName val="6.3 R (RM &amp; %)"/>
      <sheetName val="5.1 T (RM)"/>
      <sheetName val="5.2 U (RM)"/>
      <sheetName val="5.3 R (RM)"/>
      <sheetName val="5.4 T (%)"/>
      <sheetName val="5.5 U (%)"/>
      <sheetName val="5.6 R (%)"/>
      <sheetName val="3.1 T (RM)"/>
      <sheetName val="3.2 U (RM)"/>
      <sheetName val="3.3 R (RM)"/>
      <sheetName val="3.4 T (%)"/>
      <sheetName val="3.5 U (%)"/>
      <sheetName val="3.6 R (%)"/>
      <sheetName val="7.1 T (RM)"/>
      <sheetName val="7.2 U (RM)"/>
      <sheetName val="7.3 R (RM)"/>
      <sheetName val="7.4 T (%)"/>
      <sheetName val="7.5 U (%)"/>
      <sheetName val="7.6 R (%)"/>
      <sheetName val="46.1 T (RM)"/>
      <sheetName val="46.2 U (RM)"/>
      <sheetName val="46.3 R (RM)"/>
      <sheetName val="46.4 T (%)"/>
      <sheetName val="46.5 U (%)"/>
      <sheetName val="46.6 R (%)"/>
      <sheetName val="50.1 T (RM)"/>
      <sheetName val="50.2 U (RM)"/>
      <sheetName val="50.3 R (RM)"/>
      <sheetName val="50.4 T (%)"/>
      <sheetName val="50.5 U (%)"/>
      <sheetName val="50.6 R (%)"/>
      <sheetName val="2.1 T (RM)"/>
      <sheetName val="2.2 U (RM)"/>
      <sheetName val="2.3 R (RM)"/>
      <sheetName val="2.4 T (%)"/>
      <sheetName val="2.5 U (%)"/>
      <sheetName val="2.6 R (%)"/>
      <sheetName val="47.1"/>
      <sheetName val="45.1"/>
      <sheetName val="49.1"/>
      <sheetName val="1.7(ab)"/>
      <sheetName val="1.9"/>
      <sheetName val="1.15(T)"/>
      <sheetName val="1.15(U)"/>
      <sheetName val="1.15(R)"/>
      <sheetName val="1.17(T1)"/>
      <sheetName val="1.17(T2)"/>
      <sheetName val="1.17(U1)"/>
      <sheetName val="1.17(U2)"/>
      <sheetName val="1.17(R1)"/>
      <sheetName val="1.17(R2)"/>
      <sheetName val="1.10(T)"/>
      <sheetName val="1.10(U)"/>
      <sheetName val="1.10(R)"/>
      <sheetName val="7.6"/>
      <sheetName val="4.9"/>
      <sheetName val="4.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>
        <row r="2">
          <cell r="B2" t="str">
            <v>MALAYSIA - TUR</v>
          </cell>
        </row>
        <row r="3">
          <cell r="B3" t="str">
            <v>PEN. MSIA - TUR</v>
          </cell>
        </row>
        <row r="4">
          <cell r="B4" t="str">
            <v>SABAH (w/o Labuan) - TUR</v>
          </cell>
        </row>
        <row r="5">
          <cell r="B5" t="str">
            <v>SABAH (with Labuan) - TUR</v>
          </cell>
        </row>
        <row r="6">
          <cell r="B6" t="str">
            <v>SARAWAK - TUR</v>
          </cell>
        </row>
        <row r="7">
          <cell r="B7" t="str">
            <v>W.P. LABUAN - TUR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sheet"/>
      <sheetName val="Sheet1"/>
      <sheetName val="Sheet2"/>
      <sheetName val="4.9"/>
      <sheetName val="4.8"/>
      <sheetName val="VA_CONSTANT"/>
    </sheetNames>
    <sheetDataSet>
      <sheetData sheetId="0" refreshError="1"/>
      <sheetData sheetId="1">
        <row r="2">
          <cell r="B2" t="str">
            <v>MALAYSIA - Total</v>
          </cell>
        </row>
        <row r="3">
          <cell r="B3" t="str">
            <v>MALAYSIA - Urban</v>
          </cell>
        </row>
        <row r="4">
          <cell r="B4" t="str">
            <v>MALAYSIA - Rural</v>
          </cell>
        </row>
        <row r="5">
          <cell r="B5" t="str">
            <v>PEN. MSIA - Total</v>
          </cell>
        </row>
        <row r="6">
          <cell r="B6" t="str">
            <v>PEN. MSIA - Urban</v>
          </cell>
        </row>
        <row r="7">
          <cell r="B7" t="str">
            <v>PEN. MSIA - Rural</v>
          </cell>
        </row>
        <row r="8">
          <cell r="B8" t="str">
            <v>SABAH (w/o Labuan) - Total</v>
          </cell>
        </row>
        <row r="9">
          <cell r="B9" t="str">
            <v>SABAH (w/o Labuan) - Urban</v>
          </cell>
        </row>
        <row r="10">
          <cell r="B10" t="str">
            <v>SABAH (w/o Labuan) - Rural</v>
          </cell>
        </row>
        <row r="11">
          <cell r="B11" t="str">
            <v>SABAH (with Labuan) - Total</v>
          </cell>
        </row>
        <row r="12">
          <cell r="B12" t="str">
            <v>SABAH (with Labuan) - Urban</v>
          </cell>
        </row>
        <row r="13">
          <cell r="B13" t="str">
            <v>SABAH (with Labuan) - Rural</v>
          </cell>
        </row>
        <row r="14">
          <cell r="B14" t="str">
            <v>SARAWAK - Total</v>
          </cell>
        </row>
        <row r="15">
          <cell r="B15" t="str">
            <v>SARAWAK - Urban</v>
          </cell>
        </row>
        <row r="16">
          <cell r="B16" t="str">
            <v>SARAWAK - Rural</v>
          </cell>
        </row>
        <row r="17">
          <cell r="B17" t="str">
            <v>W.P. LABUAN - Total</v>
          </cell>
        </row>
        <row r="18">
          <cell r="B18" t="str">
            <v>W.P. LABUAN - Urban</v>
          </cell>
        </row>
        <row r="19">
          <cell r="B19" t="str">
            <v>W.P. LABUAN - Rural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sheet"/>
      <sheetName val="Sheet1"/>
      <sheetName val="Sheet2"/>
      <sheetName val="4.9"/>
      <sheetName val="VA_CONSTANT"/>
    </sheetNames>
    <sheetDataSet>
      <sheetData sheetId="0" refreshError="1"/>
      <sheetData sheetId="1" refreshError="1">
        <row r="2">
          <cell r="B2" t="str">
            <v>MALAYSIA - Total</v>
          </cell>
        </row>
        <row r="3">
          <cell r="B3" t="str">
            <v>MALAYSIA - Urban</v>
          </cell>
        </row>
        <row r="4">
          <cell r="B4" t="str">
            <v>MALAYSIA - Rural</v>
          </cell>
        </row>
        <row r="5">
          <cell r="B5" t="str">
            <v>PEN. MSIA - Total</v>
          </cell>
        </row>
        <row r="6">
          <cell r="B6" t="str">
            <v>PEN. MSIA - Urban</v>
          </cell>
        </row>
        <row r="7">
          <cell r="B7" t="str">
            <v>PEN. MSIA - Rural</v>
          </cell>
        </row>
        <row r="8">
          <cell r="B8" t="str">
            <v>SABAH (w/o Labuan) - Total</v>
          </cell>
        </row>
        <row r="9">
          <cell r="B9" t="str">
            <v>SABAH (w/o Labuan) - Urban</v>
          </cell>
        </row>
        <row r="10">
          <cell r="B10" t="str">
            <v>SABAH (w/o Labuan) - Rural</v>
          </cell>
        </row>
        <row r="11">
          <cell r="B11" t="str">
            <v>SABAH (with Labuan) - Total</v>
          </cell>
        </row>
        <row r="12">
          <cell r="B12" t="str">
            <v>SABAH (with Labuan) - Urban</v>
          </cell>
        </row>
        <row r="13">
          <cell r="B13" t="str">
            <v>SABAH (with Labuan) - Rural</v>
          </cell>
        </row>
        <row r="14">
          <cell r="B14" t="str">
            <v>SARAWAK - Total</v>
          </cell>
        </row>
        <row r="15">
          <cell r="B15" t="str">
            <v>SARAWAK - Urban</v>
          </cell>
        </row>
        <row r="16">
          <cell r="B16" t="str">
            <v>SARAWAK - Rural</v>
          </cell>
        </row>
        <row r="17">
          <cell r="B17" t="str">
            <v>W.P. LABUAN - Total</v>
          </cell>
        </row>
        <row r="18">
          <cell r="B18" t="str">
            <v>W.P. LABUAN - Urban</v>
          </cell>
        </row>
        <row r="19">
          <cell r="B19" t="str">
            <v>W.P. LABUAN - Rural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VA-curr"/>
      <sheetName val="VA-cons"/>
      <sheetName val="VA_CONSTANT"/>
      <sheetName val="ref"/>
      <sheetName val="Tbl1_Msia"/>
      <sheetName val="Tbl3_05"/>
      <sheetName val="Tbl5_06"/>
      <sheetName val="Tbl7_06"/>
      <sheetName val="Tbl8_07"/>
      <sheetName val="Tbl10_07"/>
      <sheetName val="Tbl11_08"/>
      <sheetName val="Tbl13_08"/>
      <sheetName val="Tbl14_09"/>
      <sheetName val="Tbl16_09"/>
      <sheetName val="Tbl17_10"/>
      <sheetName val="Tbl19_10"/>
      <sheetName val="Tbl20_11"/>
      <sheetName val="Tbl22_11"/>
      <sheetName val="Tbl23_12"/>
      <sheetName val="Tbl25_12"/>
      <sheetName val="Tbl26_13"/>
      <sheetName val="Tbl28_13"/>
      <sheetName val="Tbl29_Curr&amp;perCapita"/>
      <sheetName val="JHR"/>
      <sheetName val="KDH"/>
      <sheetName val="KLTN"/>
      <sheetName val="MLK"/>
      <sheetName val="N9"/>
      <sheetName val="PHG"/>
      <sheetName val="PP"/>
      <sheetName val="PRK"/>
      <sheetName val="PRLS"/>
      <sheetName val="SLGR"/>
      <sheetName val="TRGN"/>
      <sheetName val="SBH"/>
      <sheetName val="SRWK"/>
      <sheetName val="WPKL"/>
      <sheetName val="WPL"/>
      <sheetName val="Sheet2"/>
      <sheetName val="Sheet3"/>
      <sheetName val="Sheet6"/>
      <sheetName val="Sheet4"/>
      <sheetName val="Sheet4 (2)"/>
      <sheetName val="Sheet5"/>
      <sheetName val="Sheet7"/>
      <sheetName val="4.9"/>
      <sheetName val="4.8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3">
          <cell r="B3" t="str">
            <v>row</v>
          </cell>
          <cell r="C3" t="str">
            <v>2005f</v>
          </cell>
          <cell r="D3" t="str">
            <v>2006f</v>
          </cell>
          <cell r="E3" t="str">
            <v>2007f</v>
          </cell>
          <cell r="F3" t="str">
            <v>2008f</v>
          </cell>
          <cell r="G3" t="str">
            <v>2009f</v>
          </cell>
          <cell r="H3" t="str">
            <v>2010f</v>
          </cell>
          <cell r="I3" t="str">
            <v>2011f</v>
          </cell>
          <cell r="J3" t="str">
            <v>2012e</v>
          </cell>
          <cell r="K3" t="str">
            <v>2013p</v>
          </cell>
        </row>
        <row r="4">
          <cell r="B4" t="str">
            <v>Johor</v>
          </cell>
          <cell r="C4">
            <v>5</v>
          </cell>
          <cell r="D4">
            <v>27</v>
          </cell>
          <cell r="E4">
            <v>49</v>
          </cell>
          <cell r="F4">
            <v>71</v>
          </cell>
          <cell r="G4">
            <v>93</v>
          </cell>
          <cell r="H4">
            <v>115</v>
          </cell>
          <cell r="I4">
            <v>137</v>
          </cell>
          <cell r="J4">
            <v>159</v>
          </cell>
          <cell r="K4">
            <v>181</v>
          </cell>
        </row>
        <row r="5">
          <cell r="B5" t="str">
            <v>Kedah</v>
          </cell>
          <cell r="C5">
            <v>6</v>
          </cell>
          <cell r="D5">
            <v>28</v>
          </cell>
          <cell r="E5">
            <v>50</v>
          </cell>
          <cell r="F5">
            <v>72</v>
          </cell>
          <cell r="G5">
            <v>94</v>
          </cell>
          <cell r="H5">
            <v>116</v>
          </cell>
          <cell r="I5">
            <v>138</v>
          </cell>
          <cell r="J5">
            <v>160</v>
          </cell>
          <cell r="K5">
            <v>182</v>
          </cell>
        </row>
        <row r="6">
          <cell r="B6" t="str">
            <v>Kelantan</v>
          </cell>
          <cell r="C6">
            <v>7</v>
          </cell>
          <cell r="D6">
            <v>29</v>
          </cell>
          <cell r="E6">
            <v>51</v>
          </cell>
          <cell r="F6">
            <v>73</v>
          </cell>
          <cell r="G6">
            <v>95</v>
          </cell>
          <cell r="H6">
            <v>117</v>
          </cell>
          <cell r="I6">
            <v>139</v>
          </cell>
          <cell r="J6">
            <v>161</v>
          </cell>
          <cell r="K6">
            <v>183</v>
          </cell>
        </row>
        <row r="7">
          <cell r="B7" t="str">
            <v>Melaka</v>
          </cell>
          <cell r="C7">
            <v>8</v>
          </cell>
          <cell r="D7">
            <v>30</v>
          </cell>
          <cell r="E7">
            <v>52</v>
          </cell>
          <cell r="F7">
            <v>74</v>
          </cell>
          <cell r="G7">
            <v>96</v>
          </cell>
          <cell r="H7">
            <v>118</v>
          </cell>
          <cell r="I7">
            <v>140</v>
          </cell>
          <cell r="J7">
            <v>162</v>
          </cell>
          <cell r="K7">
            <v>184</v>
          </cell>
        </row>
        <row r="8">
          <cell r="B8" t="str">
            <v>Negeri Sembilan</v>
          </cell>
          <cell r="C8">
            <v>9</v>
          </cell>
          <cell r="D8">
            <v>31</v>
          </cell>
          <cell r="E8">
            <v>53</v>
          </cell>
          <cell r="F8">
            <v>75</v>
          </cell>
          <cell r="G8">
            <v>97</v>
          </cell>
          <cell r="H8">
            <v>119</v>
          </cell>
          <cell r="I8">
            <v>141</v>
          </cell>
          <cell r="J8">
            <v>163</v>
          </cell>
          <cell r="K8">
            <v>185</v>
          </cell>
        </row>
        <row r="9">
          <cell r="B9" t="str">
            <v>Pahang</v>
          </cell>
          <cell r="C9">
            <v>10</v>
          </cell>
          <cell r="D9">
            <v>32</v>
          </cell>
          <cell r="E9">
            <v>54</v>
          </cell>
          <cell r="F9">
            <v>76</v>
          </cell>
          <cell r="G9">
            <v>98</v>
          </cell>
          <cell r="H9">
            <v>120</v>
          </cell>
          <cell r="I9">
            <v>142</v>
          </cell>
          <cell r="J9">
            <v>164</v>
          </cell>
          <cell r="K9">
            <v>186</v>
          </cell>
        </row>
        <row r="10">
          <cell r="B10" t="str">
            <v>Pulau Pinang</v>
          </cell>
          <cell r="C10">
            <v>11</v>
          </cell>
          <cell r="D10">
            <v>33</v>
          </cell>
          <cell r="E10">
            <v>55</v>
          </cell>
          <cell r="F10">
            <v>77</v>
          </cell>
          <cell r="G10">
            <v>99</v>
          </cell>
          <cell r="H10">
            <v>121</v>
          </cell>
          <cell r="I10">
            <v>143</v>
          </cell>
          <cell r="J10">
            <v>165</v>
          </cell>
          <cell r="K10">
            <v>187</v>
          </cell>
        </row>
        <row r="11">
          <cell r="B11" t="str">
            <v>Perak</v>
          </cell>
          <cell r="C11">
            <v>12</v>
          </cell>
          <cell r="D11">
            <v>34</v>
          </cell>
          <cell r="E11">
            <v>56</v>
          </cell>
          <cell r="F11">
            <v>78</v>
          </cell>
          <cell r="G11">
            <v>100</v>
          </cell>
          <cell r="H11">
            <v>122</v>
          </cell>
          <cell r="I11">
            <v>144</v>
          </cell>
          <cell r="J11">
            <v>166</v>
          </cell>
          <cell r="K11">
            <v>188</v>
          </cell>
        </row>
        <row r="12">
          <cell r="B12" t="str">
            <v>Perlis</v>
          </cell>
          <cell r="C12">
            <v>13</v>
          </cell>
          <cell r="D12">
            <v>35</v>
          </cell>
          <cell r="E12">
            <v>57</v>
          </cell>
          <cell r="F12">
            <v>79</v>
          </cell>
          <cell r="G12">
            <v>101</v>
          </cell>
          <cell r="H12">
            <v>123</v>
          </cell>
          <cell r="I12">
            <v>145</v>
          </cell>
          <cell r="J12">
            <v>167</v>
          </cell>
          <cell r="K12">
            <v>189</v>
          </cell>
        </row>
        <row r="13">
          <cell r="B13" t="str">
            <v>Selangor</v>
          </cell>
          <cell r="C13">
            <v>14</v>
          </cell>
          <cell r="D13">
            <v>36</v>
          </cell>
          <cell r="E13">
            <v>58</v>
          </cell>
          <cell r="F13">
            <v>80</v>
          </cell>
          <cell r="G13">
            <v>102</v>
          </cell>
          <cell r="H13">
            <v>124</v>
          </cell>
          <cell r="I13">
            <v>146</v>
          </cell>
          <cell r="J13">
            <v>168</v>
          </cell>
          <cell r="K13">
            <v>190</v>
          </cell>
        </row>
        <row r="14">
          <cell r="B14" t="str">
            <v>Terengganu</v>
          </cell>
          <cell r="C14">
            <v>15</v>
          </cell>
          <cell r="D14">
            <v>37</v>
          </cell>
          <cell r="E14">
            <v>59</v>
          </cell>
          <cell r="F14">
            <v>81</v>
          </cell>
          <cell r="G14">
            <v>103</v>
          </cell>
          <cell r="H14">
            <v>125</v>
          </cell>
          <cell r="I14">
            <v>147</v>
          </cell>
          <cell r="J14">
            <v>169</v>
          </cell>
          <cell r="K14">
            <v>191</v>
          </cell>
        </row>
        <row r="15">
          <cell r="B15" t="str">
            <v>Sabah</v>
          </cell>
          <cell r="C15">
            <v>16</v>
          </cell>
          <cell r="D15">
            <v>38</v>
          </cell>
          <cell r="E15">
            <v>60</v>
          </cell>
          <cell r="F15">
            <v>82</v>
          </cell>
          <cell r="G15">
            <v>104</v>
          </cell>
          <cell r="H15">
            <v>126</v>
          </cell>
          <cell r="I15">
            <v>148</v>
          </cell>
          <cell r="J15">
            <v>170</v>
          </cell>
          <cell r="K15">
            <v>192</v>
          </cell>
        </row>
        <row r="16">
          <cell r="B16" t="str">
            <v>Sarawak</v>
          </cell>
          <cell r="C16">
            <v>17</v>
          </cell>
          <cell r="D16">
            <v>39</v>
          </cell>
          <cell r="E16">
            <v>61</v>
          </cell>
          <cell r="F16">
            <v>83</v>
          </cell>
          <cell r="G16">
            <v>105</v>
          </cell>
          <cell r="H16">
            <v>127</v>
          </cell>
          <cell r="I16">
            <v>149</v>
          </cell>
          <cell r="J16">
            <v>171</v>
          </cell>
          <cell r="K16">
            <v>193</v>
          </cell>
        </row>
        <row r="17">
          <cell r="B17" t="str">
            <v>WP Kuala Lumpur</v>
          </cell>
          <cell r="C17">
            <v>18</v>
          </cell>
          <cell r="D17">
            <v>40</v>
          </cell>
          <cell r="E17">
            <v>62</v>
          </cell>
          <cell r="F17">
            <v>84</v>
          </cell>
          <cell r="G17">
            <v>106</v>
          </cell>
          <cell r="H17">
            <v>128</v>
          </cell>
          <cell r="I17">
            <v>150</v>
          </cell>
          <cell r="J17">
            <v>172</v>
          </cell>
          <cell r="K17">
            <v>194</v>
          </cell>
        </row>
        <row r="18">
          <cell r="B18" t="str">
            <v>WP Labuan</v>
          </cell>
          <cell r="C18">
            <v>19</v>
          </cell>
          <cell r="D18">
            <v>41</v>
          </cell>
          <cell r="E18">
            <v>63</v>
          </cell>
          <cell r="F18">
            <v>85</v>
          </cell>
          <cell r="G18">
            <v>107</v>
          </cell>
          <cell r="H18">
            <v>129</v>
          </cell>
          <cell r="I18">
            <v>151</v>
          </cell>
          <cell r="J18">
            <v>173</v>
          </cell>
          <cell r="K18">
            <v>195</v>
          </cell>
        </row>
        <row r="19">
          <cell r="B19" t="str">
            <v>Supra</v>
          </cell>
          <cell r="C19">
            <v>20</v>
          </cell>
          <cell r="D19">
            <v>42</v>
          </cell>
          <cell r="E19">
            <v>64</v>
          </cell>
          <cell r="F19">
            <v>86</v>
          </cell>
          <cell r="G19">
            <v>108</v>
          </cell>
          <cell r="H19">
            <v>130</v>
          </cell>
          <cell r="I19">
            <v>152</v>
          </cell>
          <cell r="J19">
            <v>174</v>
          </cell>
          <cell r="K19">
            <v>196</v>
          </cell>
        </row>
        <row r="20">
          <cell r="B20" t="str">
            <v>Malaysia</v>
          </cell>
          <cell r="C20">
            <v>21</v>
          </cell>
          <cell r="D20">
            <v>43</v>
          </cell>
          <cell r="E20">
            <v>65</v>
          </cell>
          <cell r="F20">
            <v>87</v>
          </cell>
          <cell r="G20">
            <v>109</v>
          </cell>
          <cell r="H20">
            <v>131</v>
          </cell>
          <cell r="I20">
            <v>153</v>
          </cell>
          <cell r="J20">
            <v>175</v>
          </cell>
          <cell r="K20">
            <v>197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VA-curr"/>
      <sheetName val="VA-cons"/>
      <sheetName val="VA_CONSTANT"/>
      <sheetName val="ref"/>
      <sheetName val="Tbl1_Msia"/>
      <sheetName val="Tbl3_05"/>
      <sheetName val="Tbl5_06"/>
      <sheetName val="Tbl7_06"/>
      <sheetName val="Tbl8_07"/>
      <sheetName val="Tbl10_07"/>
      <sheetName val="Tbl11_08"/>
      <sheetName val="Tbl13_08"/>
      <sheetName val="Tbl14_09"/>
      <sheetName val="Tbl16_09"/>
      <sheetName val="Tbl17_10"/>
      <sheetName val="Tbl19_10"/>
      <sheetName val="Tbl20_11"/>
      <sheetName val="Tbl22_11"/>
      <sheetName val="Tbl23_12"/>
      <sheetName val="Tbl25_12"/>
      <sheetName val="Tbl26_13"/>
      <sheetName val="Tbl28_13"/>
      <sheetName val="Tbl29_Curr&amp;perCapita"/>
      <sheetName val="JHR"/>
      <sheetName val="KDH"/>
      <sheetName val="KLTN"/>
      <sheetName val="MLK"/>
      <sheetName val="N9"/>
      <sheetName val="PHG"/>
      <sheetName val="PP"/>
      <sheetName val="PRK"/>
      <sheetName val="PRLS"/>
      <sheetName val="SLGR"/>
      <sheetName val="TRGN"/>
      <sheetName val="SBH"/>
      <sheetName val="SRWK"/>
      <sheetName val="WPKL"/>
      <sheetName val="WPL"/>
      <sheetName val="Sheet2"/>
      <sheetName val="Sheet3"/>
      <sheetName val="Sheet6"/>
      <sheetName val="Sheet4"/>
      <sheetName val="Sheet4 (2)"/>
      <sheetName val="Sheet5"/>
      <sheetName val="Sheet7"/>
      <sheetName val="4.9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3">
          <cell r="B3" t="str">
            <v>row</v>
          </cell>
          <cell r="C3" t="str">
            <v>2005f</v>
          </cell>
          <cell r="D3" t="str">
            <v>2006f</v>
          </cell>
          <cell r="E3" t="str">
            <v>2007f</v>
          </cell>
          <cell r="F3" t="str">
            <v>2008f</v>
          </cell>
          <cell r="G3" t="str">
            <v>2009f</v>
          </cell>
          <cell r="H3" t="str">
            <v>2010f</v>
          </cell>
          <cell r="I3" t="str">
            <v>2011f</v>
          </cell>
          <cell r="J3" t="str">
            <v>2012e</v>
          </cell>
          <cell r="K3" t="str">
            <v>2013p</v>
          </cell>
        </row>
        <row r="4">
          <cell r="B4" t="str">
            <v>Johor</v>
          </cell>
          <cell r="C4">
            <v>5</v>
          </cell>
          <cell r="D4">
            <v>27</v>
          </cell>
          <cell r="E4">
            <v>49</v>
          </cell>
          <cell r="F4">
            <v>71</v>
          </cell>
          <cell r="G4">
            <v>93</v>
          </cell>
          <cell r="H4">
            <v>115</v>
          </cell>
          <cell r="I4">
            <v>137</v>
          </cell>
          <cell r="J4">
            <v>159</v>
          </cell>
          <cell r="K4">
            <v>181</v>
          </cell>
        </row>
        <row r="5">
          <cell r="B5" t="str">
            <v>Kedah</v>
          </cell>
          <cell r="C5">
            <v>6</v>
          </cell>
          <cell r="D5">
            <v>28</v>
          </cell>
          <cell r="E5">
            <v>50</v>
          </cell>
          <cell r="F5">
            <v>72</v>
          </cell>
          <cell r="G5">
            <v>94</v>
          </cell>
          <cell r="H5">
            <v>116</v>
          </cell>
          <cell r="I5">
            <v>138</v>
          </cell>
          <cell r="J5">
            <v>160</v>
          </cell>
          <cell r="K5">
            <v>182</v>
          </cell>
        </row>
        <row r="6">
          <cell r="B6" t="str">
            <v>Kelantan</v>
          </cell>
          <cell r="C6">
            <v>7</v>
          </cell>
          <cell r="D6">
            <v>29</v>
          </cell>
          <cell r="E6">
            <v>51</v>
          </cell>
          <cell r="F6">
            <v>73</v>
          </cell>
          <cell r="G6">
            <v>95</v>
          </cell>
          <cell r="H6">
            <v>117</v>
          </cell>
          <cell r="I6">
            <v>139</v>
          </cell>
          <cell r="J6">
            <v>161</v>
          </cell>
          <cell r="K6">
            <v>183</v>
          </cell>
        </row>
        <row r="7">
          <cell r="B7" t="str">
            <v>Melaka</v>
          </cell>
          <cell r="C7">
            <v>8</v>
          </cell>
          <cell r="D7">
            <v>30</v>
          </cell>
          <cell r="E7">
            <v>52</v>
          </cell>
          <cell r="F7">
            <v>74</v>
          </cell>
          <cell r="G7">
            <v>96</v>
          </cell>
          <cell r="H7">
            <v>118</v>
          </cell>
          <cell r="I7">
            <v>140</v>
          </cell>
          <cell r="J7">
            <v>162</v>
          </cell>
          <cell r="K7">
            <v>184</v>
          </cell>
        </row>
        <row r="8">
          <cell r="B8" t="str">
            <v>Negeri Sembilan</v>
          </cell>
          <cell r="C8">
            <v>9</v>
          </cell>
          <cell r="D8">
            <v>31</v>
          </cell>
          <cell r="E8">
            <v>53</v>
          </cell>
          <cell r="F8">
            <v>75</v>
          </cell>
          <cell r="G8">
            <v>97</v>
          </cell>
          <cell r="H8">
            <v>119</v>
          </cell>
          <cell r="I8">
            <v>141</v>
          </cell>
          <cell r="J8">
            <v>163</v>
          </cell>
          <cell r="K8">
            <v>185</v>
          </cell>
        </row>
        <row r="9">
          <cell r="B9" t="str">
            <v>Pahang</v>
          </cell>
          <cell r="C9">
            <v>10</v>
          </cell>
          <cell r="D9">
            <v>32</v>
          </cell>
          <cell r="E9">
            <v>54</v>
          </cell>
          <cell r="F9">
            <v>76</v>
          </cell>
          <cell r="G9">
            <v>98</v>
          </cell>
          <cell r="H9">
            <v>120</v>
          </cell>
          <cell r="I9">
            <v>142</v>
          </cell>
          <cell r="J9">
            <v>164</v>
          </cell>
          <cell r="K9">
            <v>186</v>
          </cell>
        </row>
        <row r="10">
          <cell r="B10" t="str">
            <v>Pulau Pinang</v>
          </cell>
          <cell r="C10">
            <v>11</v>
          </cell>
          <cell r="D10">
            <v>33</v>
          </cell>
          <cell r="E10">
            <v>55</v>
          </cell>
          <cell r="F10">
            <v>77</v>
          </cell>
          <cell r="G10">
            <v>99</v>
          </cell>
          <cell r="H10">
            <v>121</v>
          </cell>
          <cell r="I10">
            <v>143</v>
          </cell>
          <cell r="J10">
            <v>165</v>
          </cell>
          <cell r="K10">
            <v>187</v>
          </cell>
        </row>
        <row r="11">
          <cell r="B11" t="str">
            <v>Perak</v>
          </cell>
          <cell r="C11">
            <v>12</v>
          </cell>
          <cell r="D11">
            <v>34</v>
          </cell>
          <cell r="E11">
            <v>56</v>
          </cell>
          <cell r="F11">
            <v>78</v>
          </cell>
          <cell r="G11">
            <v>100</v>
          </cell>
          <cell r="H11">
            <v>122</v>
          </cell>
          <cell r="I11">
            <v>144</v>
          </cell>
          <cell r="J11">
            <v>166</v>
          </cell>
          <cell r="K11">
            <v>188</v>
          </cell>
        </row>
        <row r="12">
          <cell r="B12" t="str">
            <v>Perlis</v>
          </cell>
          <cell r="C12">
            <v>13</v>
          </cell>
          <cell r="D12">
            <v>35</v>
          </cell>
          <cell r="E12">
            <v>57</v>
          </cell>
          <cell r="F12">
            <v>79</v>
          </cell>
          <cell r="G12">
            <v>101</v>
          </cell>
          <cell r="H12">
            <v>123</v>
          </cell>
          <cell r="I12">
            <v>145</v>
          </cell>
          <cell r="J12">
            <v>167</v>
          </cell>
          <cell r="K12">
            <v>189</v>
          </cell>
        </row>
        <row r="13">
          <cell r="B13" t="str">
            <v>Selangor</v>
          </cell>
          <cell r="C13">
            <v>14</v>
          </cell>
          <cell r="D13">
            <v>36</v>
          </cell>
          <cell r="E13">
            <v>58</v>
          </cell>
          <cell r="F13">
            <v>80</v>
          </cell>
          <cell r="G13">
            <v>102</v>
          </cell>
          <cell r="H13">
            <v>124</v>
          </cell>
          <cell r="I13">
            <v>146</v>
          </cell>
          <cell r="J13">
            <v>168</v>
          </cell>
          <cell r="K13">
            <v>190</v>
          </cell>
        </row>
        <row r="14">
          <cell r="B14" t="str">
            <v>Terengganu</v>
          </cell>
          <cell r="C14">
            <v>15</v>
          </cell>
          <cell r="D14">
            <v>37</v>
          </cell>
          <cell r="E14">
            <v>59</v>
          </cell>
          <cell r="F14">
            <v>81</v>
          </cell>
          <cell r="G14">
            <v>103</v>
          </cell>
          <cell r="H14">
            <v>125</v>
          </cell>
          <cell r="I14">
            <v>147</v>
          </cell>
          <cell r="J14">
            <v>169</v>
          </cell>
          <cell r="K14">
            <v>191</v>
          </cell>
        </row>
        <row r="15">
          <cell r="B15" t="str">
            <v>Sabah</v>
          </cell>
          <cell r="C15">
            <v>16</v>
          </cell>
          <cell r="D15">
            <v>38</v>
          </cell>
          <cell r="E15">
            <v>60</v>
          </cell>
          <cell r="F15">
            <v>82</v>
          </cell>
          <cell r="G15">
            <v>104</v>
          </cell>
          <cell r="H15">
            <v>126</v>
          </cell>
          <cell r="I15">
            <v>148</v>
          </cell>
          <cell r="J15">
            <v>170</v>
          </cell>
          <cell r="K15">
            <v>192</v>
          </cell>
        </row>
        <row r="16">
          <cell r="B16" t="str">
            <v>Sarawak</v>
          </cell>
          <cell r="C16">
            <v>17</v>
          </cell>
          <cell r="D16">
            <v>39</v>
          </cell>
          <cell r="E16">
            <v>61</v>
          </cell>
          <cell r="F16">
            <v>83</v>
          </cell>
          <cell r="G16">
            <v>105</v>
          </cell>
          <cell r="H16">
            <v>127</v>
          </cell>
          <cell r="I16">
            <v>149</v>
          </cell>
          <cell r="J16">
            <v>171</v>
          </cell>
          <cell r="K16">
            <v>193</v>
          </cell>
        </row>
        <row r="17">
          <cell r="B17" t="str">
            <v>WP Kuala Lumpur</v>
          </cell>
          <cell r="C17">
            <v>18</v>
          </cell>
          <cell r="D17">
            <v>40</v>
          </cell>
          <cell r="E17">
            <v>62</v>
          </cell>
          <cell r="F17">
            <v>84</v>
          </cell>
          <cell r="G17">
            <v>106</v>
          </cell>
          <cell r="H17">
            <v>128</v>
          </cell>
          <cell r="I17">
            <v>150</v>
          </cell>
          <cell r="J17">
            <v>172</v>
          </cell>
          <cell r="K17">
            <v>194</v>
          </cell>
        </row>
        <row r="18">
          <cell r="B18" t="str">
            <v>WP Labuan</v>
          </cell>
          <cell r="C18">
            <v>19</v>
          </cell>
          <cell r="D18">
            <v>41</v>
          </cell>
          <cell r="E18">
            <v>63</v>
          </cell>
          <cell r="F18">
            <v>85</v>
          </cell>
          <cell r="G18">
            <v>107</v>
          </cell>
          <cell r="H18">
            <v>129</v>
          </cell>
          <cell r="I18">
            <v>151</v>
          </cell>
          <cell r="J18">
            <v>173</v>
          </cell>
          <cell r="K18">
            <v>195</v>
          </cell>
        </row>
        <row r="19">
          <cell r="B19" t="str">
            <v>Supra</v>
          </cell>
          <cell r="C19">
            <v>20</v>
          </cell>
          <cell r="D19">
            <v>42</v>
          </cell>
          <cell r="E19">
            <v>64</v>
          </cell>
          <cell r="F19">
            <v>86</v>
          </cell>
          <cell r="G19">
            <v>108</v>
          </cell>
          <cell r="H19">
            <v>130</v>
          </cell>
          <cell r="I19">
            <v>152</v>
          </cell>
          <cell r="J19">
            <v>174</v>
          </cell>
          <cell r="K19">
            <v>196</v>
          </cell>
        </row>
        <row r="20">
          <cell r="B20" t="str">
            <v>Malaysia</v>
          </cell>
          <cell r="C20">
            <v>21</v>
          </cell>
          <cell r="D20">
            <v>43</v>
          </cell>
          <cell r="E20">
            <v>65</v>
          </cell>
          <cell r="F20">
            <v>87</v>
          </cell>
          <cell r="G20">
            <v>109</v>
          </cell>
          <cell r="H20">
            <v>131</v>
          </cell>
          <cell r="I20">
            <v>153</v>
          </cell>
          <cell r="J20">
            <v>175</v>
          </cell>
          <cell r="K20">
            <v>197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.10Johor"/>
      <sheetName val="5.10Kedah"/>
      <sheetName val="5.10Kelantan"/>
      <sheetName val="5.10Melaka"/>
      <sheetName val="5.10N.s"/>
      <sheetName val="5.10Pahang"/>
      <sheetName val="5.10Perak"/>
      <sheetName val="5.10Perlis,P.P"/>
      <sheetName val="5.10Sabah"/>
      <sheetName val="5.10Sabah(samb)"/>
      <sheetName val="5.10Sarawak"/>
      <sheetName val="5.10Sarawak(samb)"/>
      <sheetName val="5.10Selangor"/>
      <sheetName val="5.10T'ganu"/>
      <sheetName val="5.11"/>
      <sheetName val="Sheet1"/>
      <sheetName val="4.9"/>
      <sheetName val="Sheet2"/>
      <sheetName val="4.8"/>
      <sheetName val="ref"/>
      <sheetName val="JAD_A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.10Johor"/>
      <sheetName val="5.10Kedah"/>
      <sheetName val="5.10Kelantan"/>
      <sheetName val="5.10Melaka"/>
      <sheetName val="5.10N.s"/>
      <sheetName val="5.10Pahang"/>
      <sheetName val="5.10Perak"/>
      <sheetName val="5.10Perlis,P.P"/>
      <sheetName val="5.10Sabah"/>
      <sheetName val="5.10Sabah(samb)"/>
      <sheetName val="5.10Sarawak"/>
      <sheetName val="5.10Sarawak(samb)"/>
      <sheetName val="5.10Selangor"/>
      <sheetName val="5.10T'ganu"/>
      <sheetName val="5.11"/>
      <sheetName val="Sheet1"/>
      <sheetName val="4.9"/>
      <sheetName val="Sheet2"/>
      <sheetName val="4.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1"/>
  <sheetViews>
    <sheetView tabSelected="1" view="pageBreakPreview" topLeftCell="A4" zoomScale="95" zoomScaleNormal="100" zoomScaleSheetLayoutView="95" workbookViewId="0">
      <selection activeCell="M12" sqref="M12"/>
    </sheetView>
  </sheetViews>
  <sheetFormatPr defaultColWidth="9.140625" defaultRowHeight="13.5"/>
  <cols>
    <col min="1" max="1" width="2.140625" style="18" customWidth="1"/>
    <col min="2" max="2" width="11.7109375" style="19" customWidth="1"/>
    <col min="3" max="3" width="26" style="19" customWidth="1"/>
    <col min="4" max="4" width="18.28515625" style="20" customWidth="1"/>
    <col min="5" max="6" width="25" style="21" customWidth="1"/>
    <col min="7" max="7" width="1.85546875" style="18" customWidth="1"/>
    <col min="8" max="8" width="9.140625" style="18"/>
    <col min="9" max="9" width="0" style="18" hidden="1" customWidth="1"/>
    <col min="10" max="10" width="11" style="18" hidden="1" customWidth="1"/>
    <col min="11" max="11" width="0" style="18" hidden="1" customWidth="1"/>
    <col min="12" max="16384" width="9.140625" style="18"/>
  </cols>
  <sheetData>
    <row r="1" spans="1:10" s="1" customFormat="1">
      <c r="B1" s="2"/>
      <c r="C1" s="2"/>
      <c r="D1" s="3"/>
      <c r="E1" s="4"/>
      <c r="G1" s="4" t="s">
        <v>7</v>
      </c>
    </row>
    <row r="2" spans="1:10" s="1" customFormat="1">
      <c r="B2" s="2"/>
      <c r="C2" s="2"/>
      <c r="D2" s="3"/>
      <c r="E2" s="5"/>
      <c r="G2" s="5" t="s">
        <v>55</v>
      </c>
    </row>
    <row r="3" spans="1:10" s="1" customFormat="1">
      <c r="B3" s="2"/>
      <c r="C3" s="2"/>
      <c r="D3" s="3"/>
      <c r="E3" s="7"/>
      <c r="F3" s="7"/>
      <c r="G3" s="6"/>
    </row>
    <row r="4" spans="1:10" s="1" customFormat="1">
      <c r="B4" s="7"/>
      <c r="C4" s="7"/>
      <c r="D4" s="3"/>
      <c r="E4" s="7"/>
      <c r="F4" s="7"/>
    </row>
    <row r="5" spans="1:10" s="1" customFormat="1" ht="15" customHeight="1">
      <c r="B5" s="8" t="s">
        <v>4</v>
      </c>
      <c r="C5" s="9" t="s">
        <v>85</v>
      </c>
      <c r="D5" s="10"/>
      <c r="E5" s="11"/>
      <c r="F5" s="11"/>
    </row>
    <row r="6" spans="1:10" s="1" customFormat="1">
      <c r="B6" s="12" t="s">
        <v>8</v>
      </c>
      <c r="C6" s="13" t="s">
        <v>86</v>
      </c>
      <c r="D6" s="14"/>
      <c r="E6" s="7"/>
      <c r="F6" s="7"/>
    </row>
    <row r="7" spans="1:10" s="1" customFormat="1" ht="8.1" customHeight="1">
      <c r="B7" s="15"/>
      <c r="C7" s="15"/>
      <c r="D7" s="16"/>
      <c r="E7" s="17"/>
      <c r="F7" s="17"/>
    </row>
    <row r="8" spans="1:10" ht="14.25" thickBot="1"/>
    <row r="9" spans="1:10" ht="44.25" customHeight="1" thickTop="1">
      <c r="A9" s="22"/>
      <c r="B9" s="23" t="s">
        <v>29</v>
      </c>
      <c r="C9" s="23"/>
      <c r="D9" s="24" t="s">
        <v>30</v>
      </c>
      <c r="E9" s="25" t="s">
        <v>31</v>
      </c>
      <c r="F9" s="25" t="s">
        <v>58</v>
      </c>
      <c r="G9" s="22"/>
    </row>
    <row r="10" spans="1:10" ht="8.1" customHeight="1">
      <c r="A10" s="21"/>
      <c r="B10" s="26"/>
      <c r="C10" s="27"/>
      <c r="D10" s="28"/>
      <c r="E10" s="29"/>
      <c r="F10" s="29"/>
      <c r="G10" s="21"/>
    </row>
    <row r="11" spans="1:10" ht="15.95" customHeight="1">
      <c r="A11" s="21"/>
      <c r="B11" s="30" t="s">
        <v>0</v>
      </c>
      <c r="C11" s="27"/>
      <c r="D11" s="28">
        <v>2021</v>
      </c>
      <c r="E11" s="108">
        <f>SUM(E15,E19,E23,E27,E31,E35,E39,E43,E47)</f>
        <v>31490</v>
      </c>
      <c r="F11" s="31">
        <f>SUM(F15,F19,F23,F27,F31,F35,F39,F43,F47)</f>
        <v>2206.44491066</v>
      </c>
      <c r="G11" s="21"/>
    </row>
    <row r="12" spans="1:10" ht="15.95" customHeight="1">
      <c r="A12" s="21"/>
      <c r="B12" s="32" t="s">
        <v>1</v>
      </c>
      <c r="C12" s="27"/>
      <c r="D12" s="28">
        <v>2022</v>
      </c>
      <c r="E12" s="108">
        <f t="shared" ref="E12:F13" si="0">SUM(E16,E20,E24,E28,E32,E36,E40,E44,E48)</f>
        <v>30536</v>
      </c>
      <c r="F12" s="31">
        <f t="shared" si="0"/>
        <v>1732.63</v>
      </c>
      <c r="G12" s="21"/>
    </row>
    <row r="13" spans="1:10" ht="15.95" customHeight="1">
      <c r="A13" s="21"/>
      <c r="B13" s="32"/>
      <c r="C13" s="27"/>
      <c r="D13" s="28">
        <v>2023</v>
      </c>
      <c r="E13" s="108">
        <f t="shared" si="0"/>
        <v>40350</v>
      </c>
      <c r="F13" s="31">
        <f t="shared" si="0"/>
        <v>2111.6499999999996</v>
      </c>
      <c r="G13" s="21"/>
    </row>
    <row r="14" spans="1:10" ht="8.1" customHeight="1">
      <c r="A14" s="21"/>
      <c r="B14" s="32"/>
      <c r="C14" s="27"/>
      <c r="D14" s="35"/>
      <c r="E14" s="107"/>
      <c r="F14" s="36"/>
      <c r="G14" s="21"/>
    </row>
    <row r="15" spans="1:10" ht="15.95" customHeight="1">
      <c r="B15" s="33" t="s">
        <v>9</v>
      </c>
      <c r="C15" s="34"/>
      <c r="D15" s="35">
        <v>2021</v>
      </c>
      <c r="E15" s="107">
        <v>28842</v>
      </c>
      <c r="F15" s="36">
        <v>1360.3423619800001</v>
      </c>
    </row>
    <row r="16" spans="1:10" ht="15.95" customHeight="1">
      <c r="B16" s="37" t="s">
        <v>28</v>
      </c>
      <c r="C16" s="34"/>
      <c r="D16" s="35">
        <v>2022</v>
      </c>
      <c r="E16" s="107">
        <v>27967</v>
      </c>
      <c r="F16" s="36">
        <f>ROUND(J16/1000000,2)</f>
        <v>1375.87</v>
      </c>
      <c r="J16" s="18">
        <v>1375870777.0599999</v>
      </c>
    </row>
    <row r="17" spans="2:10" ht="15.95" customHeight="1">
      <c r="B17" s="38"/>
      <c r="C17" s="34"/>
      <c r="D17" s="35">
        <v>2023</v>
      </c>
      <c r="E17" s="107">
        <v>36936</v>
      </c>
      <c r="F17" s="36">
        <f>ROUND(J17/1000000,2)</f>
        <v>1678.08</v>
      </c>
      <c r="J17" s="18">
        <v>1678082479.49</v>
      </c>
    </row>
    <row r="18" spans="2:10" ht="8.1" customHeight="1">
      <c r="B18" s="38"/>
      <c r="C18" s="34"/>
      <c r="D18" s="35"/>
      <c r="E18" s="107"/>
      <c r="F18" s="36"/>
    </row>
    <row r="19" spans="2:10" ht="15.95" customHeight="1">
      <c r="B19" s="33" t="s">
        <v>10</v>
      </c>
      <c r="C19" s="34"/>
      <c r="D19" s="35">
        <v>2021</v>
      </c>
      <c r="E19" s="107">
        <v>942</v>
      </c>
      <c r="F19" s="36">
        <v>824.68788811000002</v>
      </c>
    </row>
    <row r="20" spans="2:10" ht="15.95" customHeight="1">
      <c r="B20" s="37" t="s">
        <v>11</v>
      </c>
      <c r="C20" s="34"/>
      <c r="D20" s="35">
        <v>2022</v>
      </c>
      <c r="E20" s="107">
        <v>909</v>
      </c>
      <c r="F20" s="36">
        <f>ROUND(J20/1000000,2)</f>
        <v>331.58</v>
      </c>
      <c r="J20" s="18">
        <v>331578082.17000002</v>
      </c>
    </row>
    <row r="21" spans="2:10" ht="15.95" customHeight="1">
      <c r="B21" s="38"/>
      <c r="C21" s="34"/>
      <c r="D21" s="35">
        <v>2023</v>
      </c>
      <c r="E21" s="107">
        <v>1217</v>
      </c>
      <c r="F21" s="36">
        <f>ROUND(J21/1000000,2)</f>
        <v>381.99</v>
      </c>
      <c r="J21" s="18">
        <v>381987455.62</v>
      </c>
    </row>
    <row r="22" spans="2:10" ht="8.1" customHeight="1">
      <c r="B22" s="38"/>
      <c r="C22" s="34"/>
      <c r="D22" s="35"/>
      <c r="E22" s="107"/>
      <c r="F22" s="36"/>
    </row>
    <row r="23" spans="2:10" ht="15.95" customHeight="1">
      <c r="B23" s="33" t="s">
        <v>75</v>
      </c>
      <c r="C23" s="34"/>
      <c r="D23" s="35">
        <v>2021</v>
      </c>
      <c r="E23" s="107">
        <v>847</v>
      </c>
      <c r="F23" s="36">
        <v>3.8976819300000001</v>
      </c>
    </row>
    <row r="24" spans="2:10" ht="15.95" customHeight="1">
      <c r="B24" s="37" t="s">
        <v>76</v>
      </c>
      <c r="C24" s="34"/>
      <c r="D24" s="35">
        <v>2022</v>
      </c>
      <c r="E24" s="107">
        <v>832</v>
      </c>
      <c r="F24" s="36">
        <f>ROUND(J24/1000000,2)</f>
        <v>4.9400000000000004</v>
      </c>
      <c r="J24" s="18">
        <v>4935188</v>
      </c>
    </row>
    <row r="25" spans="2:10" ht="15.95" customHeight="1">
      <c r="B25" s="18"/>
      <c r="C25" s="34"/>
      <c r="D25" s="35">
        <v>2023</v>
      </c>
      <c r="E25" s="107">
        <v>994</v>
      </c>
      <c r="F25" s="36">
        <f>ROUND(J25/1000000,2)</f>
        <v>5.47</v>
      </c>
      <c r="J25" s="18">
        <v>5472598.3399999999</v>
      </c>
    </row>
    <row r="26" spans="2:10" ht="8.1" customHeight="1">
      <c r="B26" s="38"/>
      <c r="C26" s="34"/>
      <c r="D26" s="35"/>
      <c r="E26" s="107"/>
      <c r="F26" s="36"/>
    </row>
    <row r="27" spans="2:10" ht="15.95" customHeight="1">
      <c r="B27" s="33" t="s">
        <v>12</v>
      </c>
      <c r="C27" s="34"/>
      <c r="D27" s="35">
        <v>2021</v>
      </c>
      <c r="E27" s="107">
        <v>400</v>
      </c>
      <c r="F27" s="36">
        <v>13.59535818</v>
      </c>
    </row>
    <row r="28" spans="2:10" ht="15.95" customHeight="1">
      <c r="B28" s="37" t="s">
        <v>13</v>
      </c>
      <c r="C28" s="34"/>
      <c r="D28" s="35">
        <v>2022</v>
      </c>
      <c r="E28" s="107">
        <v>574</v>
      </c>
      <c r="F28" s="36">
        <f>ROUND(J28/1000000,2)</f>
        <v>17.7</v>
      </c>
      <c r="J28" s="18">
        <v>17699868.93</v>
      </c>
    </row>
    <row r="29" spans="2:10" ht="15.95" customHeight="1">
      <c r="B29" s="38"/>
      <c r="C29" s="34"/>
      <c r="D29" s="35">
        <v>2023</v>
      </c>
      <c r="E29" s="107">
        <v>869</v>
      </c>
      <c r="F29" s="36">
        <f>ROUND(J29/1000000,2)</f>
        <v>35.65</v>
      </c>
      <c r="J29" s="18">
        <v>35649849.280000001</v>
      </c>
    </row>
    <row r="30" spans="2:10" ht="8.1" customHeight="1">
      <c r="B30" s="38"/>
      <c r="C30" s="34"/>
      <c r="D30" s="35"/>
      <c r="E30" s="107"/>
      <c r="F30" s="36"/>
    </row>
    <row r="31" spans="2:10" ht="15.95" customHeight="1">
      <c r="B31" s="33" t="s">
        <v>14</v>
      </c>
      <c r="C31" s="34"/>
      <c r="D31" s="35">
        <v>2021</v>
      </c>
      <c r="E31" s="107">
        <v>204</v>
      </c>
      <c r="F31" s="36">
        <v>5.0360699999999994E-2</v>
      </c>
    </row>
    <row r="32" spans="2:10" ht="15.95" customHeight="1">
      <c r="B32" s="37" t="s">
        <v>27</v>
      </c>
      <c r="C32" s="34"/>
      <c r="D32" s="35">
        <v>2022</v>
      </c>
      <c r="E32" s="107">
        <v>62</v>
      </c>
      <c r="F32" s="36">
        <f>ROUND(J32/1000000,2)</f>
        <v>0.13</v>
      </c>
      <c r="J32" s="18">
        <v>133746</v>
      </c>
    </row>
    <row r="33" spans="2:10" ht="15.95" customHeight="1">
      <c r="B33" s="38"/>
      <c r="C33" s="34"/>
      <c r="D33" s="35">
        <v>2023</v>
      </c>
      <c r="E33" s="107">
        <v>68</v>
      </c>
      <c r="F33" s="36">
        <f>ROUND(J33/1000000,2)</f>
        <v>0.25</v>
      </c>
      <c r="J33" s="18">
        <v>245330</v>
      </c>
    </row>
    <row r="34" spans="2:10" ht="8.1" customHeight="1">
      <c r="B34" s="38"/>
      <c r="C34" s="34"/>
      <c r="D34" s="35"/>
      <c r="E34" s="107"/>
      <c r="F34" s="36"/>
    </row>
    <row r="35" spans="2:10" ht="15.95" customHeight="1">
      <c r="B35" s="33" t="s">
        <v>15</v>
      </c>
      <c r="C35" s="34"/>
      <c r="D35" s="35">
        <v>2021</v>
      </c>
      <c r="E35" s="107">
        <v>115</v>
      </c>
      <c r="F35" s="36">
        <v>0.90877998999999998</v>
      </c>
    </row>
    <row r="36" spans="2:10" ht="15.95" customHeight="1">
      <c r="B36" s="37" t="s">
        <v>16</v>
      </c>
      <c r="C36" s="34"/>
      <c r="D36" s="35">
        <v>2022</v>
      </c>
      <c r="E36" s="107">
        <v>81</v>
      </c>
      <c r="F36" s="36">
        <f>ROUND(J36/1000000,2)</f>
        <v>0.45</v>
      </c>
      <c r="J36" s="18">
        <v>448529</v>
      </c>
    </row>
    <row r="37" spans="2:10" ht="15.95" customHeight="1">
      <c r="B37" s="38"/>
      <c r="C37" s="34"/>
      <c r="D37" s="35">
        <v>2023</v>
      </c>
      <c r="E37" s="107">
        <v>134</v>
      </c>
      <c r="F37" s="36">
        <f>ROUND(J37/1000000,2)</f>
        <v>6.87</v>
      </c>
      <c r="J37" s="18">
        <v>6874030.5800000001</v>
      </c>
    </row>
    <row r="38" spans="2:10" ht="8.1" customHeight="1">
      <c r="B38" s="38"/>
      <c r="C38" s="34"/>
      <c r="D38" s="35"/>
      <c r="E38" s="107"/>
      <c r="F38" s="36"/>
    </row>
    <row r="39" spans="2:10" ht="15.95" customHeight="1">
      <c r="B39" s="33" t="s">
        <v>17</v>
      </c>
      <c r="C39" s="34"/>
      <c r="D39" s="35">
        <v>2021</v>
      </c>
      <c r="E39" s="107">
        <v>57</v>
      </c>
      <c r="F39" s="36">
        <v>2.91273977</v>
      </c>
    </row>
    <row r="40" spans="2:10" ht="15.95" customHeight="1">
      <c r="B40" s="37" t="s">
        <v>18</v>
      </c>
      <c r="C40" s="34"/>
      <c r="D40" s="35">
        <v>2022</v>
      </c>
      <c r="E40" s="107">
        <v>28</v>
      </c>
      <c r="F40" s="36">
        <f>ROUND(J40/1000000,2)</f>
        <v>1.29</v>
      </c>
      <c r="J40" s="18">
        <v>1287168.3799999999</v>
      </c>
    </row>
    <row r="41" spans="2:10" ht="15.95" customHeight="1">
      <c r="B41" s="38"/>
      <c r="C41" s="34"/>
      <c r="D41" s="35">
        <v>2023</v>
      </c>
      <c r="E41" s="107">
        <v>47</v>
      </c>
      <c r="F41" s="36">
        <f>ROUND(J41/1000000,2)</f>
        <v>2.54</v>
      </c>
      <c r="J41" s="18">
        <v>2542654.6</v>
      </c>
    </row>
    <row r="42" spans="2:10" ht="8.1" customHeight="1">
      <c r="B42" s="38"/>
      <c r="C42" s="34"/>
      <c r="D42" s="35"/>
      <c r="E42" s="107"/>
      <c r="F42" s="36"/>
    </row>
    <row r="43" spans="2:10" ht="15.95" customHeight="1">
      <c r="B43" s="33" t="s">
        <v>32</v>
      </c>
      <c r="C43" s="34"/>
      <c r="D43" s="35">
        <v>2021</v>
      </c>
      <c r="E43" s="107">
        <v>21</v>
      </c>
      <c r="F43" s="36" t="s">
        <v>22</v>
      </c>
    </row>
    <row r="44" spans="2:10" ht="15.95" customHeight="1">
      <c r="B44" s="39" t="s">
        <v>23</v>
      </c>
      <c r="C44" s="34"/>
      <c r="D44" s="35">
        <v>2022</v>
      </c>
      <c r="E44" s="107">
        <v>7</v>
      </c>
      <c r="F44" s="36" t="s">
        <v>22</v>
      </c>
    </row>
    <row r="45" spans="2:10" ht="15.95" customHeight="1">
      <c r="B45" s="18"/>
      <c r="C45" s="34"/>
      <c r="D45" s="35">
        <v>2023</v>
      </c>
      <c r="E45" s="107">
        <v>15</v>
      </c>
      <c r="F45" s="36" t="s">
        <v>22</v>
      </c>
    </row>
    <row r="46" spans="2:10" ht="8.1" customHeight="1">
      <c r="B46" s="38"/>
      <c r="C46" s="34"/>
      <c r="D46" s="35"/>
      <c r="E46" s="107"/>
      <c r="F46" s="36"/>
    </row>
    <row r="47" spans="2:10" ht="15.95" customHeight="1">
      <c r="B47" s="33" t="s">
        <v>33</v>
      </c>
      <c r="C47" s="34"/>
      <c r="D47" s="35">
        <v>2021</v>
      </c>
      <c r="E47" s="107">
        <v>62</v>
      </c>
      <c r="F47" s="36">
        <v>4.9739999999999999E-2</v>
      </c>
    </row>
    <row r="48" spans="2:10" ht="15.95" customHeight="1">
      <c r="B48" s="37" t="s">
        <v>21</v>
      </c>
      <c r="C48" s="34"/>
      <c r="D48" s="35">
        <v>2022</v>
      </c>
      <c r="E48" s="107">
        <v>76</v>
      </c>
      <c r="F48" s="36">
        <f>ROUND(J48/1000000,2)</f>
        <v>0.67</v>
      </c>
      <c r="J48" s="18">
        <v>665535.69999999995</v>
      </c>
    </row>
    <row r="49" spans="1:10" ht="15.95" customHeight="1">
      <c r="B49" s="38"/>
      <c r="C49" s="34"/>
      <c r="D49" s="35">
        <v>2023</v>
      </c>
      <c r="E49" s="21">
        <v>70</v>
      </c>
      <c r="F49" s="36">
        <f>ROUND(J49/1000000,2)</f>
        <v>0.8</v>
      </c>
      <c r="J49" s="18">
        <v>795440.96</v>
      </c>
    </row>
    <row r="50" spans="1:10" ht="8.1" customHeight="1" thickBot="1">
      <c r="A50" s="40"/>
      <c r="B50" s="41"/>
      <c r="C50" s="42"/>
      <c r="D50" s="43"/>
      <c r="E50" s="44"/>
      <c r="F50" s="44"/>
      <c r="G50" s="40"/>
    </row>
    <row r="51" spans="1:10" s="87" customFormat="1" ht="15.95" customHeight="1">
      <c r="B51" s="88"/>
      <c r="C51" s="89"/>
      <c r="D51" s="90"/>
      <c r="E51" s="91"/>
      <c r="F51" s="91"/>
      <c r="G51" s="92" t="s">
        <v>19</v>
      </c>
    </row>
    <row r="52" spans="1:10" s="87" customFormat="1" ht="15.95" customHeight="1">
      <c r="B52" s="88"/>
      <c r="C52" s="89"/>
      <c r="D52" s="90"/>
      <c r="E52" s="91"/>
      <c r="F52" s="91"/>
      <c r="G52" s="93" t="s">
        <v>20</v>
      </c>
    </row>
    <row r="53" spans="1:10" s="87" customFormat="1">
      <c r="A53" s="232" t="s">
        <v>65</v>
      </c>
      <c r="B53" s="94"/>
      <c r="C53" s="94"/>
      <c r="D53" s="95"/>
      <c r="E53" s="96"/>
      <c r="F53" s="96"/>
    </row>
    <row r="54" spans="1:10" s="87" customFormat="1" ht="16.5" customHeight="1">
      <c r="A54" s="284" t="s">
        <v>56</v>
      </c>
      <c r="B54" s="284"/>
      <c r="C54" s="284"/>
      <c r="D54" s="95"/>
      <c r="E54" s="96"/>
      <c r="F54" s="96"/>
    </row>
    <row r="55" spans="1:10" s="87" customFormat="1" ht="12" customHeight="1">
      <c r="A55" s="283" t="s">
        <v>24</v>
      </c>
      <c r="B55" s="283"/>
      <c r="C55" s="283"/>
      <c r="D55" s="283"/>
      <c r="E55" s="96"/>
      <c r="F55" s="96"/>
    </row>
    <row r="56" spans="1:10" s="87" customFormat="1" ht="13.5" customHeight="1">
      <c r="A56" s="288" t="s">
        <v>77</v>
      </c>
      <c r="B56" s="288"/>
      <c r="C56" s="288"/>
      <c r="D56" s="288"/>
      <c r="E56" s="288"/>
      <c r="F56" s="96"/>
    </row>
    <row r="57" spans="1:10" s="87" customFormat="1" ht="13.5" customHeight="1">
      <c r="A57" s="285" t="s">
        <v>78</v>
      </c>
      <c r="B57" s="286"/>
      <c r="C57" s="286"/>
      <c r="D57" s="286"/>
      <c r="E57" s="286"/>
      <c r="F57" s="286"/>
    </row>
    <row r="58" spans="1:10" s="87" customFormat="1" ht="13.5" customHeight="1">
      <c r="A58" s="287" t="s">
        <v>79</v>
      </c>
      <c r="B58" s="284"/>
      <c r="C58" s="284"/>
      <c r="D58" s="284"/>
      <c r="E58" s="284"/>
      <c r="F58" s="96"/>
    </row>
    <row r="59" spans="1:10" s="97" customFormat="1" ht="13.5" customHeight="1">
      <c r="A59" s="289" t="s">
        <v>80</v>
      </c>
      <c r="B59" s="283"/>
      <c r="C59" s="283"/>
      <c r="D59" s="283"/>
      <c r="E59" s="283"/>
      <c r="F59" s="283"/>
    </row>
    <row r="60" spans="1:10" s="87" customFormat="1" ht="13.5" customHeight="1">
      <c r="A60" s="283" t="s">
        <v>81</v>
      </c>
      <c r="B60" s="283"/>
      <c r="C60" s="283"/>
      <c r="D60" s="283"/>
      <c r="E60" s="283"/>
      <c r="F60" s="283"/>
    </row>
    <row r="61" spans="1:10" s="87" customFormat="1" ht="13.5" customHeight="1">
      <c r="A61" s="283" t="s">
        <v>82</v>
      </c>
      <c r="B61" s="283"/>
      <c r="C61" s="283"/>
      <c r="D61" s="283"/>
      <c r="E61" s="283"/>
      <c r="F61" s="283"/>
    </row>
  </sheetData>
  <mergeCells count="8">
    <mergeCell ref="A55:D55"/>
    <mergeCell ref="A54:C54"/>
    <mergeCell ref="A60:F60"/>
    <mergeCell ref="A61:F61"/>
    <mergeCell ref="A57:F57"/>
    <mergeCell ref="A58:E58"/>
    <mergeCell ref="A56:E56"/>
    <mergeCell ref="A59:F59"/>
  </mergeCells>
  <printOptions horizontalCentered="1"/>
  <pageMargins left="0.55118110236220474" right="0.55118110236220474" top="0.39370078740157483" bottom="0.39370078740157483" header="0.31496062992125984" footer="0.31496062992125984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79"/>
  <sheetViews>
    <sheetView tabSelected="1" view="pageBreakPreview" zoomScale="95" zoomScaleNormal="100" zoomScaleSheetLayoutView="95" workbookViewId="0">
      <selection activeCell="M12" sqref="M12"/>
    </sheetView>
  </sheetViews>
  <sheetFormatPr defaultColWidth="7.140625" defaultRowHeight="15"/>
  <cols>
    <col min="1" max="1" width="1.7109375" style="111" customWidth="1"/>
    <col min="2" max="2" width="11.7109375" style="111" customWidth="1"/>
    <col min="3" max="3" width="7" style="111" customWidth="1"/>
    <col min="4" max="4" width="10.7109375" style="111" customWidth="1"/>
    <col min="5" max="5" width="9.42578125" style="111" customWidth="1"/>
    <col min="6" max="6" width="16.5703125" style="111" customWidth="1"/>
    <col min="7" max="7" width="1" style="111" customWidth="1"/>
    <col min="8" max="8" width="9.42578125" style="111" customWidth="1"/>
    <col min="9" max="9" width="17.85546875" style="111" customWidth="1"/>
    <col min="10" max="10" width="1" style="111" customWidth="1"/>
    <col min="11" max="11" width="9.42578125" style="111" customWidth="1"/>
    <col min="12" max="12" width="16.5703125" style="111" customWidth="1"/>
    <col min="13" max="13" width="1.140625" style="111" customWidth="1"/>
    <col min="14" max="14" width="9.42578125" style="111" customWidth="1"/>
    <col min="15" max="15" width="16.5703125" style="111" customWidth="1"/>
    <col min="16" max="16" width="2" style="167" customWidth="1"/>
    <col min="17" max="17" width="7.140625" style="167"/>
    <col min="18" max="18" width="14.140625" style="167" customWidth="1"/>
    <col min="19" max="19" width="7.140625" style="111"/>
    <col min="20" max="20" width="14.140625" style="111" customWidth="1"/>
    <col min="21" max="21" width="7.140625" style="111"/>
    <col min="22" max="22" width="14.140625" style="111" customWidth="1"/>
    <col min="23" max="16384" width="7.140625" style="111"/>
  </cols>
  <sheetData>
    <row r="1" spans="1:18" s="1" customFormat="1" ht="15" customHeight="1">
      <c r="B1" s="2"/>
      <c r="C1" s="2"/>
      <c r="D1" s="3"/>
      <c r="E1" s="3"/>
      <c r="F1" s="3"/>
      <c r="G1" s="3"/>
      <c r="H1" s="201"/>
      <c r="I1" s="201"/>
      <c r="J1" s="201"/>
      <c r="K1" s="201"/>
      <c r="L1" s="201"/>
      <c r="M1" s="201"/>
      <c r="N1" s="201"/>
      <c r="O1" s="201"/>
      <c r="P1" s="4"/>
    </row>
    <row r="2" spans="1:18" s="1" customFormat="1" ht="13.5">
      <c r="B2" s="2"/>
      <c r="C2" s="2"/>
      <c r="D2" s="3"/>
      <c r="E2" s="3"/>
      <c r="F2" s="3"/>
      <c r="G2" s="3"/>
      <c r="H2" s="201"/>
      <c r="I2" s="201"/>
      <c r="J2" s="201"/>
      <c r="K2" s="201"/>
      <c r="L2" s="201"/>
      <c r="M2" s="201"/>
      <c r="N2" s="201"/>
      <c r="O2" s="201"/>
      <c r="P2" s="4" t="s">
        <v>7</v>
      </c>
    </row>
    <row r="3" spans="1:18" s="1" customFormat="1" ht="13.5">
      <c r="B3" s="2"/>
      <c r="C3" s="2"/>
      <c r="D3" s="3"/>
      <c r="E3" s="3"/>
      <c r="F3" s="3"/>
      <c r="G3" s="3"/>
      <c r="H3" s="201"/>
      <c r="I3" s="201"/>
      <c r="J3" s="201"/>
      <c r="K3" s="201"/>
      <c r="L3" s="201"/>
      <c r="M3" s="201"/>
      <c r="N3" s="201"/>
      <c r="O3" s="201"/>
      <c r="P3" s="5" t="s">
        <v>55</v>
      </c>
    </row>
    <row r="4" spans="1:18" s="1" customFormat="1" ht="13.5">
      <c r="B4" s="2"/>
      <c r="C4" s="2"/>
      <c r="D4" s="3"/>
      <c r="E4" s="3"/>
      <c r="F4" s="3"/>
      <c r="G4" s="3"/>
      <c r="H4" s="201"/>
      <c r="I4" s="201"/>
      <c r="J4" s="201"/>
      <c r="K4" s="201"/>
      <c r="L4" s="201"/>
      <c r="M4" s="201"/>
      <c r="N4" s="201"/>
      <c r="O4" s="201"/>
      <c r="P4" s="5"/>
    </row>
    <row r="5" spans="1:18" ht="15" customHeight="1">
      <c r="B5" s="8" t="s">
        <v>5</v>
      </c>
      <c r="C5" s="9" t="s">
        <v>148</v>
      </c>
      <c r="D5" s="10"/>
      <c r="E5" s="10"/>
      <c r="F5" s="10"/>
      <c r="G5" s="10"/>
      <c r="H5" s="11"/>
      <c r="J5" s="167"/>
    </row>
    <row r="6" spans="1:18" ht="15" customHeight="1">
      <c r="B6" s="12" t="s">
        <v>6</v>
      </c>
      <c r="C6" s="13" t="s">
        <v>118</v>
      </c>
      <c r="D6" s="14"/>
      <c r="E6" s="14"/>
      <c r="F6" s="14"/>
      <c r="G6" s="14"/>
      <c r="H6" s="7"/>
      <c r="J6" s="167"/>
      <c r="Q6" s="290"/>
      <c r="R6" s="290"/>
    </row>
    <row r="7" spans="1:18" ht="8.1" customHeight="1">
      <c r="B7" s="112"/>
      <c r="C7" s="113"/>
      <c r="D7" s="114"/>
      <c r="E7" s="114"/>
      <c r="F7" s="114"/>
      <c r="G7" s="114"/>
      <c r="H7" s="115"/>
      <c r="I7" s="115"/>
      <c r="J7" s="115"/>
      <c r="K7" s="115"/>
      <c r="L7" s="115"/>
      <c r="M7" s="115"/>
      <c r="N7" s="115"/>
    </row>
    <row r="8" spans="1:18" ht="15.95" customHeight="1" thickBot="1">
      <c r="B8" s="116"/>
      <c r="D8" s="117"/>
      <c r="E8" s="117"/>
      <c r="F8" s="117"/>
      <c r="G8" s="117"/>
      <c r="H8" s="118"/>
      <c r="I8" s="118"/>
      <c r="J8" s="118"/>
      <c r="K8" s="118"/>
      <c r="L8" s="118"/>
      <c r="M8" s="118"/>
      <c r="N8" s="118"/>
      <c r="P8" s="196"/>
      <c r="Q8" s="196"/>
    </row>
    <row r="9" spans="1:18" ht="8.1" customHeight="1" thickTop="1">
      <c r="A9" s="119"/>
      <c r="B9" s="120"/>
      <c r="C9" s="121"/>
      <c r="D9" s="122"/>
      <c r="E9" s="122"/>
      <c r="F9" s="122"/>
      <c r="G9" s="122"/>
      <c r="H9" s="123"/>
      <c r="I9" s="123"/>
      <c r="J9" s="123"/>
      <c r="K9" s="123"/>
      <c r="L9" s="123"/>
      <c r="M9" s="123"/>
      <c r="N9" s="123"/>
      <c r="O9" s="119"/>
      <c r="P9" s="172"/>
      <c r="Q9" s="197"/>
      <c r="R9" s="172"/>
    </row>
    <row r="10" spans="1:18" ht="18.75" customHeight="1">
      <c r="A10" s="124"/>
      <c r="B10" s="125" t="s">
        <v>90</v>
      </c>
      <c r="C10" s="126"/>
      <c r="D10" s="127" t="s">
        <v>91</v>
      </c>
      <c r="E10" s="292" t="s">
        <v>0</v>
      </c>
      <c r="F10" s="292"/>
      <c r="G10" s="262"/>
      <c r="H10" s="292" t="s">
        <v>125</v>
      </c>
      <c r="I10" s="292"/>
      <c r="J10" s="127"/>
      <c r="K10" s="292" t="s">
        <v>87</v>
      </c>
      <c r="L10" s="292"/>
      <c r="M10" s="127"/>
      <c r="N10" s="290" t="s">
        <v>147</v>
      </c>
      <c r="O10" s="290"/>
      <c r="P10" s="198"/>
    </row>
    <row r="11" spans="1:18" ht="18.75" customHeight="1">
      <c r="A11" s="124"/>
      <c r="B11" s="129" t="s">
        <v>92</v>
      </c>
      <c r="C11" s="126"/>
      <c r="D11" s="130" t="s">
        <v>93</v>
      </c>
      <c r="E11" s="293" t="s">
        <v>1</v>
      </c>
      <c r="F11" s="293"/>
      <c r="G11" s="130"/>
      <c r="H11" s="293" t="s">
        <v>133</v>
      </c>
      <c r="I11" s="293"/>
      <c r="J11" s="127"/>
      <c r="K11" s="294" t="s">
        <v>135</v>
      </c>
      <c r="L11" s="294"/>
      <c r="M11" s="127"/>
      <c r="N11" s="291"/>
      <c r="O11" s="291"/>
    </row>
    <row r="12" spans="1:18" ht="18.75" customHeight="1">
      <c r="A12" s="124"/>
      <c r="B12" s="125"/>
      <c r="C12" s="126"/>
      <c r="D12" s="127"/>
      <c r="E12" s="266" t="s">
        <v>110</v>
      </c>
      <c r="F12" s="266" t="s">
        <v>111</v>
      </c>
      <c r="G12" s="262"/>
      <c r="H12" s="128" t="s">
        <v>110</v>
      </c>
      <c r="I12" s="128" t="s">
        <v>111</v>
      </c>
      <c r="J12" s="190"/>
      <c r="K12" s="128" t="s">
        <v>110</v>
      </c>
      <c r="L12" s="128" t="s">
        <v>111</v>
      </c>
      <c r="M12" s="190"/>
      <c r="N12" s="128" t="s">
        <v>110</v>
      </c>
      <c r="O12" s="128" t="s">
        <v>111</v>
      </c>
      <c r="P12" s="195"/>
      <c r="Q12" s="194"/>
      <c r="R12" s="197"/>
    </row>
    <row r="13" spans="1:18" ht="18.75" customHeight="1">
      <c r="A13" s="124"/>
      <c r="B13" s="131"/>
      <c r="C13" s="132"/>
      <c r="D13" s="133"/>
      <c r="E13" s="202" t="s">
        <v>117</v>
      </c>
      <c r="F13" s="134"/>
      <c r="G13" s="133"/>
      <c r="H13" s="202" t="s">
        <v>117</v>
      </c>
      <c r="I13" s="134"/>
      <c r="J13" s="134"/>
      <c r="K13" s="202" t="s">
        <v>117</v>
      </c>
      <c r="L13" s="134"/>
      <c r="M13" s="134"/>
      <c r="N13" s="202" t="s">
        <v>117</v>
      </c>
      <c r="O13" s="124"/>
      <c r="P13" s="199"/>
    </row>
    <row r="14" spans="1:18" ht="8.1" customHeight="1">
      <c r="A14" s="135"/>
      <c r="B14" s="136"/>
      <c r="C14" s="135"/>
      <c r="D14" s="135"/>
      <c r="E14" s="135"/>
      <c r="F14" s="135"/>
      <c r="G14" s="135"/>
      <c r="H14" s="137"/>
      <c r="I14" s="137"/>
      <c r="J14" s="137"/>
      <c r="K14" s="137"/>
      <c r="L14" s="137"/>
      <c r="M14" s="137"/>
      <c r="N14" s="137"/>
      <c r="O14" s="135"/>
      <c r="P14" s="172"/>
    </row>
    <row r="15" spans="1:18" ht="8.1" customHeight="1">
      <c r="A15" s="138"/>
      <c r="B15" s="138"/>
      <c r="C15" s="138"/>
      <c r="D15" s="146"/>
      <c r="E15" s="146"/>
      <c r="F15" s="146"/>
      <c r="G15" s="146"/>
      <c r="H15" s="140"/>
      <c r="I15" s="140"/>
      <c r="J15" s="140"/>
      <c r="K15" s="141"/>
      <c r="L15" s="142"/>
      <c r="M15" s="142"/>
      <c r="N15" s="143"/>
      <c r="O15" s="142"/>
    </row>
    <row r="16" spans="1:18" ht="15" customHeight="1">
      <c r="B16" s="144" t="s">
        <v>107</v>
      </c>
      <c r="C16" s="145"/>
      <c r="D16" s="147">
        <v>2021</v>
      </c>
      <c r="E16" s="267">
        <f>SUM(H16,K16,N16,'7.2(1)'!E16,'7.2(1)'!H16,'7.2(1)'!K16)</f>
        <v>26257</v>
      </c>
      <c r="F16" s="280">
        <f>SUM(I16,L16,O16,'7.2(1)'!F16,'7.2(1)'!I16,'7.2(1)'!L16)</f>
        <v>698435532.18999994</v>
      </c>
      <c r="G16" s="147"/>
      <c r="H16" s="183">
        <f>SUM(H20,H24,H28,H32,H36,H40,H44,H48,H52,H56,H60,H64,H68,H72)</f>
        <v>6423</v>
      </c>
      <c r="I16" s="187">
        <f t="shared" ref="I16:K18" si="0">SUM(I20,I24,I28,I32,I36,I40,I44,I48,I52,I56,I60,I64,I68,I72)</f>
        <v>199550303.66999996</v>
      </c>
      <c r="J16" s="183"/>
      <c r="K16" s="183">
        <f t="shared" si="0"/>
        <v>896</v>
      </c>
      <c r="L16" s="187">
        <f t="shared" ref="L16" si="1">SUM(L20,L24,L28,L32,L36,L40,L44,L48,L52,L56,L60,L64,L68,L72)</f>
        <v>73454968.389999986</v>
      </c>
      <c r="M16" s="183"/>
      <c r="N16" s="183">
        <f t="shared" ref="N16:O16" si="2">SUM(N20,N24,N28,N32,N36,N40,N44,N48,N52,N56,N60,N64,N68,N72)</f>
        <v>1460</v>
      </c>
      <c r="O16" s="187">
        <f t="shared" si="2"/>
        <v>56743229.819999993</v>
      </c>
    </row>
    <row r="17" spans="2:23" ht="15" customHeight="1">
      <c r="B17" s="145"/>
      <c r="C17" s="145"/>
      <c r="D17" s="146">
        <v>2022</v>
      </c>
      <c r="E17" s="267">
        <f>SUM(H17,K17,N17,'7.2(1)'!E17,'7.2(1)'!H17,'7.2(1)'!K17)</f>
        <v>25479</v>
      </c>
      <c r="F17" s="280">
        <f>SUM(I17,L17,O17,'7.2(1)'!F17,'7.2(1)'!I17,'7.2(1)'!L17)</f>
        <v>851121636.62</v>
      </c>
      <c r="G17" s="146"/>
      <c r="H17" s="183">
        <f t="shared" ref="H17:H18" si="3">SUM(H21,H25,H29,H33,H37,H41,H45,H49,H53,H57,H61,H65,H69,H73)</f>
        <v>7732</v>
      </c>
      <c r="I17" s="187">
        <f t="shared" si="0"/>
        <v>321361519.07000005</v>
      </c>
      <c r="J17" s="183"/>
      <c r="K17" s="183">
        <f t="shared" si="0"/>
        <v>1257</v>
      </c>
      <c r="L17" s="187">
        <f t="shared" ref="L17" si="4">SUM(L21,L25,L29,L33,L37,L41,L45,L49,L53,L57,L61,L65,L69,L73)</f>
        <v>76216959.950000003</v>
      </c>
      <c r="M17" s="183"/>
      <c r="N17" s="183">
        <f t="shared" ref="N17:O17" si="5">SUM(N21,N25,N29,N33,N37,N41,N45,N49,N53,N57,N61,N65,N69,N73)</f>
        <v>792</v>
      </c>
      <c r="O17" s="187">
        <f t="shared" si="5"/>
        <v>56273793.559999995</v>
      </c>
    </row>
    <row r="18" spans="2:23" ht="15" customHeight="1">
      <c r="B18" s="145"/>
      <c r="C18" s="145"/>
      <c r="D18" s="146">
        <v>2023</v>
      </c>
      <c r="E18" s="267">
        <f>SUM(H18,K18,N18,'7.2(1)'!E18,'7.2(1)'!H18,'7.2(1)'!K18)</f>
        <v>34532</v>
      </c>
      <c r="F18" s="280">
        <f>SUM(I18,L18,O18,'7.2(1)'!F18,'7.2(1)'!I18,'7.2(1)'!L18)</f>
        <v>1220301952.52</v>
      </c>
      <c r="G18" s="146"/>
      <c r="H18" s="183">
        <f t="shared" si="3"/>
        <v>10368</v>
      </c>
      <c r="I18" s="187">
        <f t="shared" si="0"/>
        <v>353591102.42000002</v>
      </c>
      <c r="J18" s="183"/>
      <c r="K18" s="183">
        <f t="shared" si="0"/>
        <v>2092</v>
      </c>
      <c r="L18" s="187">
        <f t="shared" ref="L18" si="6">SUM(L22,L26,L30,L34,L38,L42,L46,L50,L54,L58,L62,L66,L70,L74)</f>
        <v>104902247.12</v>
      </c>
      <c r="M18" s="183"/>
      <c r="N18" s="183">
        <f t="shared" ref="N18:O18" si="7">SUM(N22,N26,N30,N34,N38,N42,N46,N50,N54,N58,N62,N66,N70,N74)</f>
        <v>935</v>
      </c>
      <c r="O18" s="187">
        <f t="shared" si="7"/>
        <v>43952599.009999998</v>
      </c>
      <c r="P18" s="178"/>
    </row>
    <row r="19" spans="2:23" ht="8.1" customHeight="1">
      <c r="B19" s="145"/>
      <c r="C19" s="148"/>
      <c r="D19" s="149"/>
      <c r="E19" s="149"/>
      <c r="F19" s="281"/>
      <c r="G19" s="149"/>
      <c r="H19" s="179"/>
      <c r="I19" s="184"/>
      <c r="J19" s="184"/>
      <c r="K19" s="184"/>
      <c r="L19" s="184"/>
      <c r="M19" s="184"/>
      <c r="N19" s="184"/>
      <c r="O19" s="185"/>
      <c r="P19" s="178"/>
    </row>
    <row r="20" spans="2:23" ht="15" customHeight="1">
      <c r="B20" s="151" t="s">
        <v>94</v>
      </c>
      <c r="C20" s="152"/>
      <c r="D20" s="149">
        <v>2021</v>
      </c>
      <c r="E20" s="267">
        <f>SUM(H20,K20,N20,'7.2(1)'!E20,'7.2(1)'!H20,'7.2(1)'!K20)</f>
        <v>2552</v>
      </c>
      <c r="F20" s="280">
        <f>SUM(I20,L20,O20,'7.2(1)'!F20,'7.2(1)'!I20,'7.2(1)'!L20)</f>
        <v>64682227.670000002</v>
      </c>
      <c r="G20" s="149"/>
      <c r="H20" s="182">
        <v>646</v>
      </c>
      <c r="I20" s="187">
        <v>22628754.960000001</v>
      </c>
      <c r="J20" s="187"/>
      <c r="K20" s="183">
        <v>41</v>
      </c>
      <c r="L20" s="187">
        <v>4018159.2</v>
      </c>
      <c r="M20" s="187"/>
      <c r="N20" s="183">
        <v>122</v>
      </c>
      <c r="O20" s="187">
        <v>6455871.6699999999</v>
      </c>
      <c r="P20" s="178"/>
    </row>
    <row r="21" spans="2:23" ht="15" customHeight="1">
      <c r="B21" s="153"/>
      <c r="C21" s="152"/>
      <c r="D21" s="149">
        <v>2022</v>
      </c>
      <c r="E21" s="267">
        <f>SUM(H21,K21,N21,'7.2(1)'!E21,'7.2(1)'!H21,'7.2(1)'!K21)</f>
        <v>2407</v>
      </c>
      <c r="F21" s="280">
        <f>SUM(I21,L21,O21,'7.2(1)'!F21,'7.2(1)'!I21,'7.2(1)'!L21)</f>
        <v>83188639.520000011</v>
      </c>
      <c r="G21" s="149"/>
      <c r="H21" s="182">
        <v>708</v>
      </c>
      <c r="I21" s="187">
        <v>31099150.84</v>
      </c>
      <c r="J21" s="187"/>
      <c r="K21" s="183">
        <v>128</v>
      </c>
      <c r="L21" s="187">
        <v>4916561.5</v>
      </c>
      <c r="M21" s="187"/>
      <c r="N21" s="183">
        <v>77</v>
      </c>
      <c r="O21" s="187">
        <v>7624895</v>
      </c>
      <c r="P21" s="178"/>
    </row>
    <row r="22" spans="2:23" ht="15" customHeight="1">
      <c r="B22" s="153"/>
      <c r="C22" s="152"/>
      <c r="D22" s="149">
        <v>2023</v>
      </c>
      <c r="E22" s="267">
        <f>SUM(H22,K22,N22,'7.2(1)'!E22,'7.2(1)'!H22,'7.2(1)'!K22)</f>
        <v>3737</v>
      </c>
      <c r="F22" s="280">
        <f>SUM(I22,L22,O22,'7.2(1)'!F22,'7.2(1)'!I22,'7.2(1)'!L22)</f>
        <v>129094934.28</v>
      </c>
      <c r="G22" s="149"/>
      <c r="H22" s="183">
        <v>1052</v>
      </c>
      <c r="I22" s="187">
        <v>32688628.300000001</v>
      </c>
      <c r="J22" s="187"/>
      <c r="K22" s="183">
        <v>349</v>
      </c>
      <c r="L22" s="187">
        <v>17314164.149999999</v>
      </c>
      <c r="M22" s="187"/>
      <c r="N22" s="183">
        <v>91</v>
      </c>
      <c r="O22" s="187">
        <v>3506281.86</v>
      </c>
      <c r="P22" s="178"/>
    </row>
    <row r="23" spans="2:23" ht="8.1" customHeight="1">
      <c r="B23" s="153"/>
      <c r="C23" s="154"/>
      <c r="D23" s="149"/>
      <c r="E23" s="149"/>
      <c r="F23" s="281"/>
      <c r="G23" s="149"/>
      <c r="H23" s="179"/>
      <c r="I23" s="184"/>
      <c r="J23" s="184"/>
      <c r="K23" s="253"/>
      <c r="L23" s="184"/>
      <c r="M23" s="184"/>
      <c r="N23" s="253"/>
      <c r="O23" s="186"/>
      <c r="P23" s="178"/>
    </row>
    <row r="24" spans="2:23" ht="15" customHeight="1">
      <c r="B24" s="151" t="s">
        <v>95</v>
      </c>
      <c r="C24" s="152"/>
      <c r="D24" s="149">
        <v>2021</v>
      </c>
      <c r="E24" s="267">
        <f>SUM(H24,K24,N24,'7.2(1)'!E24,'7.2(1)'!H24,'7.2(1)'!K24)</f>
        <v>1642</v>
      </c>
      <c r="F24" s="280">
        <f>SUM(I24,L24,O24,'7.2(1)'!F24,'7.2(1)'!I24,'7.2(1)'!L24)</f>
        <v>23850423.530000001</v>
      </c>
      <c r="G24" s="149"/>
      <c r="H24" s="182">
        <v>373</v>
      </c>
      <c r="I24" s="187">
        <v>6572857.2999999998</v>
      </c>
      <c r="J24" s="187"/>
      <c r="K24" s="183">
        <v>53</v>
      </c>
      <c r="L24" s="187">
        <v>401430.31</v>
      </c>
      <c r="M24" s="187"/>
      <c r="N24" s="183">
        <v>98</v>
      </c>
      <c r="O24" s="187">
        <v>2361385</v>
      </c>
      <c r="P24" s="178"/>
    </row>
    <row r="25" spans="2:23" ht="15" customHeight="1">
      <c r="B25" s="151"/>
      <c r="C25" s="152"/>
      <c r="D25" s="149">
        <v>2022</v>
      </c>
      <c r="E25" s="267">
        <f>SUM(H25,K25,N25,'7.2(1)'!E25,'7.2(1)'!H25,'7.2(1)'!K25)</f>
        <v>1577</v>
      </c>
      <c r="F25" s="280">
        <f>SUM(I25,L25,O25,'7.2(1)'!F25,'7.2(1)'!I25,'7.2(1)'!L25)</f>
        <v>46223538.82</v>
      </c>
      <c r="G25" s="149"/>
      <c r="H25" s="182">
        <v>474</v>
      </c>
      <c r="I25" s="187">
        <v>18784796.25</v>
      </c>
      <c r="J25" s="187"/>
      <c r="K25" s="183">
        <v>56</v>
      </c>
      <c r="L25" s="187">
        <v>6076062.4100000001</v>
      </c>
      <c r="M25" s="187"/>
      <c r="N25" s="183">
        <v>56</v>
      </c>
      <c r="O25" s="187">
        <v>2467609</v>
      </c>
      <c r="P25" s="178"/>
    </row>
    <row r="26" spans="2:23" ht="15" customHeight="1">
      <c r="B26" s="151"/>
      <c r="C26" s="152"/>
      <c r="D26" s="149">
        <v>2023</v>
      </c>
      <c r="E26" s="267">
        <f>SUM(H26,K26,N26,'7.2(1)'!E26,'7.2(1)'!H26,'7.2(1)'!K26)</f>
        <v>1919</v>
      </c>
      <c r="F26" s="280">
        <f>SUM(I26,L26,O26,'7.2(1)'!F26,'7.2(1)'!I26,'7.2(1)'!L26)</f>
        <v>42208990.640000001</v>
      </c>
      <c r="G26" s="149"/>
      <c r="H26" s="182">
        <v>553</v>
      </c>
      <c r="I26" s="187">
        <v>13862168.130000001</v>
      </c>
      <c r="J26" s="187"/>
      <c r="K26" s="183">
        <v>105</v>
      </c>
      <c r="L26" s="187">
        <v>3010117.6</v>
      </c>
      <c r="M26" s="187"/>
      <c r="N26" s="183">
        <v>81</v>
      </c>
      <c r="O26" s="187">
        <v>1578447</v>
      </c>
      <c r="P26" s="178"/>
      <c r="S26" s="167"/>
      <c r="T26" s="167"/>
      <c r="U26" s="167"/>
      <c r="V26" s="167"/>
      <c r="W26" s="167"/>
    </row>
    <row r="27" spans="2:23" ht="8.1" customHeight="1">
      <c r="B27" s="151"/>
      <c r="C27" s="154"/>
      <c r="D27" s="149"/>
      <c r="E27" s="149"/>
      <c r="F27" s="281"/>
      <c r="G27" s="149"/>
      <c r="H27" s="179"/>
      <c r="I27" s="184"/>
      <c r="J27" s="184"/>
      <c r="K27" s="253"/>
      <c r="L27" s="184"/>
      <c r="M27" s="184"/>
      <c r="N27" s="253"/>
      <c r="O27" s="186"/>
      <c r="P27" s="178"/>
      <c r="S27" s="167"/>
      <c r="T27" s="167"/>
      <c r="U27" s="167"/>
      <c r="V27" s="167"/>
      <c r="W27" s="167"/>
    </row>
    <row r="28" spans="2:23" ht="15" customHeight="1">
      <c r="B28" s="151" t="s">
        <v>96</v>
      </c>
      <c r="C28" s="152"/>
      <c r="D28" s="149">
        <v>2021</v>
      </c>
      <c r="E28" s="267">
        <f>SUM(H28,K28,N28,'7.2(1)'!E28,'7.2(1)'!H28,'7.2(1)'!K28)</f>
        <v>792</v>
      </c>
      <c r="F28" s="280">
        <f>SUM(I28,L28,O28,'7.2(1)'!F28,'7.2(1)'!I28,'7.2(1)'!L28)</f>
        <v>11270325.57</v>
      </c>
      <c r="G28" s="149"/>
      <c r="H28" s="182">
        <v>131</v>
      </c>
      <c r="I28" s="187">
        <v>3626626.35</v>
      </c>
      <c r="J28" s="187"/>
      <c r="K28" s="183">
        <v>41</v>
      </c>
      <c r="L28" s="187">
        <v>853052.27</v>
      </c>
      <c r="M28" s="187"/>
      <c r="N28" s="183">
        <v>50</v>
      </c>
      <c r="O28" s="187">
        <v>1263000</v>
      </c>
      <c r="P28" s="181"/>
      <c r="Q28" s="168"/>
      <c r="R28" s="169"/>
      <c r="S28" s="168"/>
      <c r="T28" s="169"/>
      <c r="U28" s="170"/>
      <c r="V28" s="169"/>
      <c r="W28" s="167"/>
    </row>
    <row r="29" spans="2:23" ht="15" customHeight="1">
      <c r="B29" s="153"/>
      <c r="C29" s="152"/>
      <c r="D29" s="149">
        <v>2022</v>
      </c>
      <c r="E29" s="267">
        <f>SUM(H29,K29,N29,'7.2(1)'!E29,'7.2(1)'!H29,'7.2(1)'!K29)</f>
        <v>886</v>
      </c>
      <c r="F29" s="280">
        <f>SUM(I29,L29,O29,'7.2(1)'!F29,'7.2(1)'!I29,'7.2(1)'!L29)</f>
        <v>18230721.449999999</v>
      </c>
      <c r="G29" s="149"/>
      <c r="H29" s="182">
        <v>267</v>
      </c>
      <c r="I29" s="187">
        <v>7309277.8700000001</v>
      </c>
      <c r="J29" s="187"/>
      <c r="K29" s="183">
        <v>48</v>
      </c>
      <c r="L29" s="187">
        <v>1097218.32</v>
      </c>
      <c r="M29" s="187"/>
      <c r="N29" s="183">
        <v>29</v>
      </c>
      <c r="O29" s="187">
        <v>1009104.1</v>
      </c>
      <c r="P29" s="181"/>
      <c r="Q29" s="168"/>
      <c r="R29" s="169"/>
      <c r="S29" s="168"/>
      <c r="T29" s="169"/>
      <c r="U29" s="170"/>
      <c r="V29" s="169"/>
      <c r="W29" s="167"/>
    </row>
    <row r="30" spans="2:23" ht="15" customHeight="1">
      <c r="B30" s="153"/>
      <c r="C30" s="152"/>
      <c r="D30" s="149">
        <v>2023</v>
      </c>
      <c r="E30" s="267">
        <f>SUM(H30,K30,N30,'7.2(1)'!E30,'7.2(1)'!H30,'7.2(1)'!K30)</f>
        <v>947</v>
      </c>
      <c r="F30" s="280">
        <f>SUM(I30,L30,O30,'7.2(1)'!F30,'7.2(1)'!I30,'7.2(1)'!L30)</f>
        <v>28800208.360000003</v>
      </c>
      <c r="G30" s="149"/>
      <c r="H30" s="182">
        <v>323</v>
      </c>
      <c r="I30" s="187">
        <v>15031876.4</v>
      </c>
      <c r="J30" s="187"/>
      <c r="K30" s="183">
        <v>45</v>
      </c>
      <c r="L30" s="187">
        <v>925969.85</v>
      </c>
      <c r="M30" s="187"/>
      <c r="N30" s="183">
        <v>28</v>
      </c>
      <c r="O30" s="187">
        <v>1062035.42</v>
      </c>
      <c r="P30" s="181"/>
      <c r="Q30" s="168"/>
      <c r="R30" s="169"/>
      <c r="S30" s="168"/>
      <c r="T30" s="169"/>
      <c r="U30" s="170"/>
      <c r="V30" s="169"/>
      <c r="W30" s="167"/>
    </row>
    <row r="31" spans="2:23" ht="8.1" customHeight="1">
      <c r="B31" s="153"/>
      <c r="C31" s="148"/>
      <c r="D31" s="149"/>
      <c r="E31" s="149"/>
      <c r="F31" s="281"/>
      <c r="G31" s="149"/>
      <c r="H31" s="179"/>
      <c r="I31" s="184"/>
      <c r="J31" s="184"/>
      <c r="K31" s="253"/>
      <c r="L31" s="184"/>
      <c r="M31" s="184"/>
      <c r="N31" s="253"/>
      <c r="O31" s="186"/>
      <c r="P31" s="181"/>
      <c r="Q31" s="168"/>
      <c r="R31" s="169"/>
      <c r="S31" s="168"/>
      <c r="T31" s="169"/>
      <c r="U31" s="170"/>
      <c r="V31" s="169"/>
      <c r="W31" s="167"/>
    </row>
    <row r="32" spans="2:23" ht="15" customHeight="1">
      <c r="B32" s="151" t="s">
        <v>97</v>
      </c>
      <c r="C32" s="152"/>
      <c r="D32" s="149">
        <v>2021</v>
      </c>
      <c r="E32" s="267">
        <f>SUM(H32,K32,N32,'7.2(1)'!E32,'7.2(1)'!H32,'7.2(1)'!K32)</f>
        <v>1098</v>
      </c>
      <c r="F32" s="280">
        <f>SUM(I32,L32,O32,'7.2(1)'!F32,'7.2(1)'!I32,'7.2(1)'!L32)</f>
        <v>21946535.629999999</v>
      </c>
      <c r="G32" s="149"/>
      <c r="H32" s="182">
        <v>269</v>
      </c>
      <c r="I32" s="187">
        <v>7976575.25</v>
      </c>
      <c r="J32" s="187"/>
      <c r="K32" s="183">
        <v>38</v>
      </c>
      <c r="L32" s="187">
        <v>1273101.98</v>
      </c>
      <c r="M32" s="187"/>
      <c r="N32" s="183">
        <v>77</v>
      </c>
      <c r="O32" s="187">
        <v>2443531.63</v>
      </c>
      <c r="P32" s="181"/>
      <c r="Q32" s="171"/>
      <c r="R32" s="169"/>
      <c r="S32" s="168"/>
      <c r="T32" s="169"/>
      <c r="U32" s="170"/>
      <c r="V32" s="169"/>
      <c r="W32" s="167"/>
    </row>
    <row r="33" spans="2:23" ht="15" customHeight="1">
      <c r="B33" s="153"/>
      <c r="C33" s="152"/>
      <c r="D33" s="149">
        <v>2022</v>
      </c>
      <c r="E33" s="267">
        <f>SUM(H33,K33,N33,'7.2(1)'!E33,'7.2(1)'!H33,'7.2(1)'!K33)</f>
        <v>1316</v>
      </c>
      <c r="F33" s="280">
        <f>SUM(I33,L33,O33,'7.2(1)'!F33,'7.2(1)'!I33,'7.2(1)'!L33)</f>
        <v>29329779.760000002</v>
      </c>
      <c r="G33" s="149"/>
      <c r="H33" s="182">
        <v>381</v>
      </c>
      <c r="I33" s="187">
        <v>13288346.17</v>
      </c>
      <c r="J33" s="187"/>
      <c r="K33" s="183">
        <v>52</v>
      </c>
      <c r="L33" s="187">
        <v>2498003.08</v>
      </c>
      <c r="M33" s="187"/>
      <c r="N33" s="183">
        <v>54</v>
      </c>
      <c r="O33" s="187">
        <v>1931420.01</v>
      </c>
      <c r="P33" s="181"/>
      <c r="Q33" s="171"/>
      <c r="R33" s="169"/>
      <c r="S33" s="168"/>
      <c r="T33" s="169"/>
      <c r="U33" s="170"/>
      <c r="V33" s="169"/>
      <c r="W33" s="167"/>
    </row>
    <row r="34" spans="2:23" ht="15" customHeight="1">
      <c r="B34" s="153"/>
      <c r="C34" s="152"/>
      <c r="D34" s="149">
        <v>2023</v>
      </c>
      <c r="E34" s="267">
        <f>SUM(H34,K34,N34,'7.2(1)'!E34,'7.2(1)'!H34,'7.2(1)'!K34)</f>
        <v>1573</v>
      </c>
      <c r="F34" s="280">
        <f>SUM(I34,L34,O34,'7.2(1)'!F34,'7.2(1)'!I34,'7.2(1)'!L34)</f>
        <v>40571207.759999998</v>
      </c>
      <c r="G34" s="149"/>
      <c r="H34" s="182">
        <v>367</v>
      </c>
      <c r="I34" s="187">
        <v>9076636.8900000006</v>
      </c>
      <c r="J34" s="187"/>
      <c r="K34" s="183">
        <v>77</v>
      </c>
      <c r="L34" s="187">
        <v>1070434.8500000001</v>
      </c>
      <c r="M34" s="187"/>
      <c r="N34" s="183">
        <v>46</v>
      </c>
      <c r="O34" s="187">
        <v>730279.43</v>
      </c>
      <c r="P34" s="181"/>
      <c r="Q34" s="171"/>
      <c r="R34" s="169"/>
      <c r="S34" s="168"/>
      <c r="T34" s="169"/>
      <c r="U34" s="170"/>
      <c r="V34" s="169"/>
      <c r="W34" s="167"/>
    </row>
    <row r="35" spans="2:23" ht="8.1" customHeight="1">
      <c r="B35" s="153"/>
      <c r="C35" s="154"/>
      <c r="D35" s="149"/>
      <c r="E35" s="149"/>
      <c r="F35" s="281"/>
      <c r="G35" s="149"/>
      <c r="H35" s="179"/>
      <c r="I35" s="184"/>
      <c r="J35" s="184"/>
      <c r="K35" s="253"/>
      <c r="L35" s="184"/>
      <c r="M35" s="184"/>
      <c r="N35" s="253"/>
      <c r="O35" s="186"/>
      <c r="P35" s="181"/>
      <c r="Q35" s="168"/>
      <c r="R35" s="169"/>
      <c r="S35" s="168"/>
      <c r="T35" s="169"/>
      <c r="U35" s="170"/>
      <c r="V35" s="169"/>
      <c r="W35" s="167"/>
    </row>
    <row r="36" spans="2:23" ht="15" customHeight="1">
      <c r="B36" s="151" t="s">
        <v>98</v>
      </c>
      <c r="C36" s="152"/>
      <c r="D36" s="149">
        <v>2021</v>
      </c>
      <c r="E36" s="267">
        <f>SUM(H36,K36,N36,'7.2(1)'!E36,'7.2(1)'!H36,'7.2(1)'!K36)</f>
        <v>2448</v>
      </c>
      <c r="F36" s="280">
        <f>SUM(I36,L36,O36,'7.2(1)'!F36,'7.2(1)'!I36,'7.2(1)'!L36)</f>
        <v>28146638.59</v>
      </c>
      <c r="G36" s="149"/>
      <c r="H36" s="182">
        <v>565</v>
      </c>
      <c r="I36" s="187">
        <v>8757613.75</v>
      </c>
      <c r="J36" s="187"/>
      <c r="K36" s="183">
        <v>95</v>
      </c>
      <c r="L36" s="187">
        <v>1030951.73</v>
      </c>
      <c r="M36" s="187"/>
      <c r="N36" s="183">
        <v>116</v>
      </c>
      <c r="O36" s="187">
        <v>1819840.25</v>
      </c>
      <c r="P36" s="181"/>
      <c r="Q36" s="168"/>
      <c r="R36" s="169"/>
      <c r="S36" s="168"/>
      <c r="T36" s="169"/>
      <c r="U36" s="170"/>
      <c r="V36" s="169"/>
      <c r="W36" s="167"/>
    </row>
    <row r="37" spans="2:23" ht="15" customHeight="1">
      <c r="B37" s="153"/>
      <c r="C37" s="152"/>
      <c r="D37" s="149">
        <v>2022</v>
      </c>
      <c r="E37" s="267">
        <f>SUM(H37,K37,N37,'7.2(1)'!E37,'7.2(1)'!H37,'7.2(1)'!K37)</f>
        <v>2501</v>
      </c>
      <c r="F37" s="280">
        <f>SUM(I37,L37,O37,'7.2(1)'!F37,'7.2(1)'!I37,'7.2(1)'!L37)</f>
        <v>42878202.709999993</v>
      </c>
      <c r="G37" s="149"/>
      <c r="H37" s="182">
        <v>883</v>
      </c>
      <c r="I37" s="187">
        <v>18334998.52</v>
      </c>
      <c r="J37" s="187"/>
      <c r="K37" s="183">
        <v>133</v>
      </c>
      <c r="L37" s="187">
        <v>5624101.9100000001</v>
      </c>
      <c r="M37" s="187"/>
      <c r="N37" s="183">
        <v>74</v>
      </c>
      <c r="O37" s="187">
        <v>1836809.54</v>
      </c>
      <c r="P37" s="181"/>
      <c r="Q37" s="168"/>
      <c r="R37" s="169"/>
      <c r="S37" s="168"/>
      <c r="T37" s="169"/>
      <c r="U37" s="170"/>
      <c r="V37" s="169"/>
      <c r="W37" s="167"/>
    </row>
    <row r="38" spans="2:23" ht="15" customHeight="1">
      <c r="B38" s="153"/>
      <c r="C38" s="152"/>
      <c r="D38" s="149">
        <v>2023</v>
      </c>
      <c r="E38" s="267">
        <f>SUM(H38,K38,N38,'7.2(1)'!E38,'7.2(1)'!H38,'7.2(1)'!K38)</f>
        <v>2705</v>
      </c>
      <c r="F38" s="280">
        <f>SUM(I38,L38,O38,'7.2(1)'!F38,'7.2(1)'!I38,'7.2(1)'!L38)</f>
        <v>48162590.469999999</v>
      </c>
      <c r="G38" s="149"/>
      <c r="H38" s="182">
        <v>708</v>
      </c>
      <c r="I38" s="187">
        <v>14104184.539999999</v>
      </c>
      <c r="J38" s="187"/>
      <c r="K38" s="183">
        <v>156</v>
      </c>
      <c r="L38" s="187">
        <v>1898518.3</v>
      </c>
      <c r="M38" s="187"/>
      <c r="N38" s="183">
        <v>81</v>
      </c>
      <c r="O38" s="187">
        <v>2638995.96</v>
      </c>
      <c r="P38" s="181"/>
      <c r="Q38" s="168"/>
      <c r="R38" s="169"/>
      <c r="S38" s="168"/>
      <c r="T38" s="169"/>
      <c r="U38" s="170"/>
      <c r="V38" s="169"/>
      <c r="W38" s="167"/>
    </row>
    <row r="39" spans="2:23" ht="8.1" customHeight="1">
      <c r="B39" s="153"/>
      <c r="C39" s="154"/>
      <c r="D39" s="149"/>
      <c r="E39" s="149"/>
      <c r="F39" s="281"/>
      <c r="G39" s="149"/>
      <c r="H39" s="179"/>
      <c r="I39" s="184"/>
      <c r="J39" s="184"/>
      <c r="K39" s="253"/>
      <c r="L39" s="184"/>
      <c r="M39" s="184"/>
      <c r="N39" s="253"/>
      <c r="O39" s="186"/>
      <c r="P39" s="181"/>
      <c r="Q39" s="168"/>
      <c r="R39" s="169"/>
      <c r="S39" s="168"/>
      <c r="T39" s="169"/>
      <c r="U39" s="170"/>
      <c r="V39" s="169"/>
      <c r="W39" s="167"/>
    </row>
    <row r="40" spans="2:23" ht="15" customHeight="1">
      <c r="B40" s="151" t="s">
        <v>99</v>
      </c>
      <c r="C40" s="152"/>
      <c r="D40" s="149">
        <v>2021</v>
      </c>
      <c r="E40" s="267">
        <f>SUM(H40,K40,N40,'7.2(1)'!E40,'7.2(1)'!H40,'7.2(1)'!K40)</f>
        <v>1531</v>
      </c>
      <c r="F40" s="280">
        <f>SUM(I40,L40,O40,'7.2(1)'!F40,'7.2(1)'!I40,'7.2(1)'!L40)</f>
        <v>25174207.52</v>
      </c>
      <c r="G40" s="149"/>
      <c r="H40" s="182">
        <v>285</v>
      </c>
      <c r="I40" s="187">
        <v>6677995.9000000004</v>
      </c>
      <c r="J40" s="187"/>
      <c r="K40" s="183">
        <v>33</v>
      </c>
      <c r="L40" s="187">
        <v>1965364.27</v>
      </c>
      <c r="M40" s="187"/>
      <c r="N40" s="183">
        <v>88</v>
      </c>
      <c r="O40" s="187">
        <v>1755377.33</v>
      </c>
      <c r="P40" s="181"/>
      <c r="Q40" s="168"/>
      <c r="R40" s="169"/>
      <c r="S40" s="168"/>
      <c r="T40" s="169"/>
      <c r="U40" s="170"/>
      <c r="V40" s="169"/>
      <c r="W40" s="167"/>
    </row>
    <row r="41" spans="2:23" ht="15" customHeight="1">
      <c r="B41" s="153"/>
      <c r="C41" s="152"/>
      <c r="D41" s="149">
        <v>2022</v>
      </c>
      <c r="E41" s="267">
        <f>SUM(H41,K41,N41,'7.2(1)'!E41,'7.2(1)'!H41,'7.2(1)'!K41)</f>
        <v>1813</v>
      </c>
      <c r="F41" s="280">
        <f>SUM(I41,L41,O41,'7.2(1)'!F41,'7.2(1)'!I41,'7.2(1)'!L41)</f>
        <v>35224729.619999997</v>
      </c>
      <c r="G41" s="149"/>
      <c r="H41" s="182">
        <v>494</v>
      </c>
      <c r="I41" s="187">
        <v>11539995.060000001</v>
      </c>
      <c r="J41" s="187"/>
      <c r="K41" s="183">
        <v>48</v>
      </c>
      <c r="L41" s="187">
        <v>1127519.98</v>
      </c>
      <c r="M41" s="187"/>
      <c r="N41" s="183">
        <v>68</v>
      </c>
      <c r="O41" s="187">
        <v>5539930</v>
      </c>
      <c r="P41" s="181"/>
      <c r="Q41" s="168"/>
      <c r="R41" s="169"/>
      <c r="S41" s="168"/>
      <c r="T41" s="169"/>
      <c r="U41" s="170"/>
      <c r="V41" s="169"/>
      <c r="W41" s="167"/>
    </row>
    <row r="42" spans="2:23" ht="15" customHeight="1">
      <c r="B42" s="153"/>
      <c r="C42" s="152"/>
      <c r="D42" s="149">
        <v>2023</v>
      </c>
      <c r="E42" s="267">
        <f>SUM(H42,K42,N42,'7.2(1)'!E42,'7.2(1)'!H42,'7.2(1)'!K42)</f>
        <v>2141</v>
      </c>
      <c r="F42" s="280">
        <f>SUM(I42,L42,O42,'7.2(1)'!F42,'7.2(1)'!I42,'7.2(1)'!L42)</f>
        <v>37528973.080000006</v>
      </c>
      <c r="G42" s="149"/>
      <c r="H42" s="182">
        <v>562</v>
      </c>
      <c r="I42" s="187">
        <v>14468150.92</v>
      </c>
      <c r="J42" s="187"/>
      <c r="K42" s="183">
        <v>87</v>
      </c>
      <c r="L42" s="187">
        <v>1036714.5</v>
      </c>
      <c r="M42" s="187"/>
      <c r="N42" s="183">
        <v>67</v>
      </c>
      <c r="O42" s="187">
        <v>1161595.8</v>
      </c>
      <c r="P42" s="178"/>
      <c r="S42" s="167"/>
      <c r="T42" s="167"/>
      <c r="U42" s="167"/>
      <c r="V42" s="167"/>
      <c r="W42" s="167"/>
    </row>
    <row r="43" spans="2:23" ht="8.1" customHeight="1">
      <c r="B43" s="153"/>
      <c r="C43" s="148"/>
      <c r="D43" s="149"/>
      <c r="E43" s="149"/>
      <c r="F43" s="281"/>
      <c r="G43" s="149"/>
      <c r="H43" s="179"/>
      <c r="I43" s="184"/>
      <c r="J43" s="184"/>
      <c r="K43" s="253"/>
      <c r="L43" s="184"/>
      <c r="M43" s="184"/>
      <c r="N43" s="253"/>
      <c r="O43" s="186"/>
      <c r="P43" s="178"/>
    </row>
    <row r="44" spans="2:23" ht="15" customHeight="1">
      <c r="B44" s="151" t="s">
        <v>100</v>
      </c>
      <c r="C44" s="152"/>
      <c r="D44" s="149">
        <v>2021</v>
      </c>
      <c r="E44" s="267">
        <f>SUM(H44,K44,N44,'7.2(1)'!E44,'7.2(1)'!H44,'7.2(1)'!K44)</f>
        <v>2792</v>
      </c>
      <c r="F44" s="280">
        <f>SUM(I44,L44,O44,'7.2(1)'!F44,'7.2(1)'!I44,'7.2(1)'!L44)</f>
        <v>89563618.310000002</v>
      </c>
      <c r="G44" s="149"/>
      <c r="H44" s="182">
        <v>829</v>
      </c>
      <c r="I44" s="187">
        <v>19010421.52</v>
      </c>
      <c r="J44" s="187"/>
      <c r="K44" s="183">
        <v>66</v>
      </c>
      <c r="L44" s="187">
        <v>11484089.33</v>
      </c>
      <c r="M44" s="187"/>
      <c r="N44" s="183">
        <v>132</v>
      </c>
      <c r="O44" s="187">
        <v>4748743.04</v>
      </c>
      <c r="P44" s="178"/>
    </row>
    <row r="45" spans="2:23" ht="15" customHeight="1">
      <c r="B45" s="151"/>
      <c r="C45" s="152"/>
      <c r="D45" s="149">
        <v>2022</v>
      </c>
      <c r="E45" s="267">
        <f>SUM(H45,K45,N45,'7.2(1)'!E45,'7.2(1)'!H45,'7.2(1)'!K45)</f>
        <v>2240</v>
      </c>
      <c r="F45" s="280">
        <f>SUM(I45,L45,O45,'7.2(1)'!F45,'7.2(1)'!I45,'7.2(1)'!L45)</f>
        <v>80254644.670000002</v>
      </c>
      <c r="G45" s="149"/>
      <c r="H45" s="182">
        <v>718</v>
      </c>
      <c r="I45" s="187">
        <v>23679229.07</v>
      </c>
      <c r="J45" s="187"/>
      <c r="K45" s="183">
        <v>93</v>
      </c>
      <c r="L45" s="187">
        <v>19671657.140000001</v>
      </c>
      <c r="M45" s="187"/>
      <c r="N45" s="183">
        <v>52</v>
      </c>
      <c r="O45" s="187">
        <v>6338727</v>
      </c>
      <c r="P45" s="178"/>
    </row>
    <row r="46" spans="2:23" ht="15" customHeight="1">
      <c r="B46" s="151"/>
      <c r="C46" s="152"/>
      <c r="D46" s="149">
        <v>2023</v>
      </c>
      <c r="E46" s="267">
        <f>SUM(H46,K46,N46,'7.2(1)'!E46,'7.2(1)'!H46,'7.2(1)'!K46)</f>
        <v>3011</v>
      </c>
      <c r="F46" s="280">
        <f>SUM(I46,L46,O46,'7.2(1)'!F46,'7.2(1)'!I46,'7.2(1)'!L46)</f>
        <v>99925847.38000001</v>
      </c>
      <c r="G46" s="149"/>
      <c r="H46" s="182">
        <v>949</v>
      </c>
      <c r="I46" s="187">
        <v>34731162.460000001</v>
      </c>
      <c r="J46" s="187"/>
      <c r="K46" s="183">
        <v>134</v>
      </c>
      <c r="L46" s="187">
        <v>2466463.91</v>
      </c>
      <c r="M46" s="187"/>
      <c r="N46" s="183">
        <v>73</v>
      </c>
      <c r="O46" s="187">
        <v>2914846.13</v>
      </c>
      <c r="P46" s="178"/>
    </row>
    <row r="47" spans="2:23" ht="8.1" customHeight="1">
      <c r="B47" s="151"/>
      <c r="C47" s="154"/>
      <c r="D47" s="149"/>
      <c r="E47" s="149"/>
      <c r="F47" s="281"/>
      <c r="G47" s="149"/>
      <c r="H47" s="179"/>
      <c r="I47" s="184"/>
      <c r="J47" s="184"/>
      <c r="K47" s="253"/>
      <c r="L47" s="184"/>
      <c r="M47" s="184"/>
      <c r="N47" s="253"/>
      <c r="O47" s="186"/>
      <c r="P47" s="178"/>
    </row>
    <row r="48" spans="2:23" ht="15" customHeight="1">
      <c r="B48" s="151" t="s">
        <v>101</v>
      </c>
      <c r="C48" s="152"/>
      <c r="D48" s="149">
        <v>2021</v>
      </c>
      <c r="E48" s="267">
        <f>SUM(H48,K48,N48,'7.2(1)'!E48,'7.2(1)'!H48,'7.2(1)'!K48)</f>
        <v>1710</v>
      </c>
      <c r="F48" s="280">
        <f>SUM(I48,L48,O48,'7.2(1)'!F48,'7.2(1)'!I48,'7.2(1)'!L48)</f>
        <v>39343264.399999999</v>
      </c>
      <c r="G48" s="149"/>
      <c r="H48" s="182">
        <v>432</v>
      </c>
      <c r="I48" s="187">
        <v>13194619.109999999</v>
      </c>
      <c r="J48" s="187"/>
      <c r="K48" s="183">
        <v>43</v>
      </c>
      <c r="L48" s="187">
        <v>1612396.65</v>
      </c>
      <c r="M48" s="187"/>
      <c r="N48" s="183">
        <v>92</v>
      </c>
      <c r="O48" s="187">
        <v>2963636.27</v>
      </c>
      <c r="P48" s="178"/>
    </row>
    <row r="49" spans="2:18" ht="15" customHeight="1">
      <c r="B49" s="153"/>
      <c r="C49" s="152"/>
      <c r="D49" s="149">
        <v>2022</v>
      </c>
      <c r="E49" s="267">
        <f>SUM(H49,K49,N49,'7.2(1)'!E49,'7.2(1)'!H49,'7.2(1)'!K49)</f>
        <v>1667</v>
      </c>
      <c r="F49" s="280">
        <f>SUM(I49,L49,O49,'7.2(1)'!F49,'7.2(1)'!I49,'7.2(1)'!L49)</f>
        <v>43005988.310000002</v>
      </c>
      <c r="G49" s="149"/>
      <c r="H49" s="182">
        <v>535</v>
      </c>
      <c r="I49" s="187">
        <v>18606754.690000001</v>
      </c>
      <c r="J49" s="187"/>
      <c r="K49" s="183">
        <v>62</v>
      </c>
      <c r="L49" s="187">
        <v>2016408.32</v>
      </c>
      <c r="M49" s="187"/>
      <c r="N49" s="183">
        <v>59</v>
      </c>
      <c r="O49" s="187">
        <v>2613542.63</v>
      </c>
      <c r="P49" s="178"/>
    </row>
    <row r="50" spans="2:18" ht="15" customHeight="1">
      <c r="B50" s="153"/>
      <c r="C50" s="152"/>
      <c r="D50" s="149">
        <v>2023</v>
      </c>
      <c r="E50" s="267">
        <f>SUM(H50,K50,N50,'7.2(1)'!E50,'7.2(1)'!H50,'7.2(1)'!K50)</f>
        <v>2395</v>
      </c>
      <c r="F50" s="280">
        <f>SUM(I50,L50,O50,'7.2(1)'!F50,'7.2(1)'!I50,'7.2(1)'!L50)</f>
        <v>63532684.209999993</v>
      </c>
      <c r="G50" s="149"/>
      <c r="H50" s="182">
        <v>733</v>
      </c>
      <c r="I50" s="187">
        <v>23405392.559999999</v>
      </c>
      <c r="J50" s="187"/>
      <c r="K50" s="183">
        <v>145</v>
      </c>
      <c r="L50" s="187">
        <v>3867021.56</v>
      </c>
      <c r="M50" s="187"/>
      <c r="N50" s="183">
        <v>61</v>
      </c>
      <c r="O50" s="187">
        <v>3318529.65</v>
      </c>
      <c r="P50" s="178"/>
    </row>
    <row r="51" spans="2:18" ht="8.1" customHeight="1">
      <c r="B51" s="153"/>
      <c r="C51" s="138"/>
      <c r="D51" s="149"/>
      <c r="E51" s="149"/>
      <c r="F51" s="281"/>
      <c r="G51" s="149"/>
      <c r="H51" s="179"/>
      <c r="I51" s="184"/>
      <c r="J51" s="184"/>
      <c r="K51" s="253"/>
      <c r="L51" s="184"/>
      <c r="M51" s="184"/>
      <c r="N51" s="253"/>
      <c r="O51" s="188"/>
      <c r="P51" s="178"/>
    </row>
    <row r="52" spans="2:18" ht="15" customHeight="1">
      <c r="B52" s="151" t="s">
        <v>102</v>
      </c>
      <c r="C52" s="152"/>
      <c r="D52" s="149">
        <v>2021</v>
      </c>
      <c r="E52" s="267">
        <f>SUM(H52,K52,N52,'7.2(1)'!E52,'7.2(1)'!H52,'7.2(1)'!K52)</f>
        <v>356</v>
      </c>
      <c r="F52" s="280">
        <f>SUM(I52,L52,O52,'7.2(1)'!F52,'7.2(1)'!I52,'7.2(1)'!L52)</f>
        <v>2995232.62</v>
      </c>
      <c r="G52" s="149"/>
      <c r="H52" s="182">
        <v>77</v>
      </c>
      <c r="I52" s="187">
        <v>1262194.04</v>
      </c>
      <c r="J52" s="187"/>
      <c r="K52" s="183">
        <v>13</v>
      </c>
      <c r="L52" s="187">
        <v>43133.91</v>
      </c>
      <c r="M52" s="187"/>
      <c r="N52" s="183">
        <v>26</v>
      </c>
      <c r="O52" s="187">
        <v>266150</v>
      </c>
      <c r="P52" s="178"/>
    </row>
    <row r="53" spans="2:18" ht="15" customHeight="1">
      <c r="B53" s="153"/>
      <c r="C53" s="152"/>
      <c r="D53" s="149">
        <v>2022</v>
      </c>
      <c r="E53" s="267">
        <f>SUM(H53,K53,N53,'7.2(1)'!E53,'7.2(1)'!H53,'7.2(1)'!K53)</f>
        <v>399</v>
      </c>
      <c r="F53" s="280">
        <f>SUM(I53,L53,O53,'7.2(1)'!F53,'7.2(1)'!I53,'7.2(1)'!L53)</f>
        <v>5203154.59</v>
      </c>
      <c r="G53" s="149"/>
      <c r="H53" s="182">
        <v>110</v>
      </c>
      <c r="I53" s="187">
        <v>2453566.36</v>
      </c>
      <c r="J53" s="187"/>
      <c r="K53" s="183">
        <v>29</v>
      </c>
      <c r="L53" s="187">
        <v>283856.99</v>
      </c>
      <c r="M53" s="187"/>
      <c r="N53" s="183">
        <v>12</v>
      </c>
      <c r="O53" s="187">
        <v>119630</v>
      </c>
      <c r="P53" s="178"/>
    </row>
    <row r="54" spans="2:18" ht="15" customHeight="1">
      <c r="B54" s="153"/>
      <c r="C54" s="152"/>
      <c r="D54" s="149">
        <v>2023</v>
      </c>
      <c r="E54" s="267">
        <f>SUM(H54,K54,N54,'7.2(1)'!E54,'7.2(1)'!H54,'7.2(1)'!K54)</f>
        <v>404</v>
      </c>
      <c r="F54" s="280">
        <f>SUM(I54,L54,O54,'7.2(1)'!F54,'7.2(1)'!I54,'7.2(1)'!L54)</f>
        <v>5552169.8200000003</v>
      </c>
      <c r="G54" s="149"/>
      <c r="H54" s="182">
        <v>139</v>
      </c>
      <c r="I54" s="187">
        <v>1852617.58</v>
      </c>
      <c r="J54" s="187"/>
      <c r="K54" s="183">
        <v>17</v>
      </c>
      <c r="L54" s="187">
        <v>191044.26</v>
      </c>
      <c r="M54" s="187"/>
      <c r="N54" s="183">
        <v>9</v>
      </c>
      <c r="O54" s="187">
        <v>78050</v>
      </c>
      <c r="P54" s="178"/>
    </row>
    <row r="55" spans="2:18" ht="8.1" customHeight="1">
      <c r="B55" s="153"/>
      <c r="C55" s="154"/>
      <c r="D55" s="149"/>
      <c r="E55" s="149"/>
      <c r="F55" s="281"/>
      <c r="G55" s="149"/>
      <c r="H55" s="179"/>
      <c r="I55" s="184"/>
      <c r="J55" s="184"/>
      <c r="K55" s="253"/>
      <c r="L55" s="184"/>
      <c r="M55" s="184"/>
      <c r="N55" s="253"/>
      <c r="O55" s="186"/>
      <c r="P55" s="178"/>
    </row>
    <row r="56" spans="2:18" ht="15" customHeight="1">
      <c r="B56" s="151" t="s">
        <v>103</v>
      </c>
      <c r="C56" s="152"/>
      <c r="D56" s="149">
        <v>2021</v>
      </c>
      <c r="E56" s="267">
        <f>SUM(H56,K56,N56,'7.2(1)'!E56,'7.2(1)'!H56,'7.2(1)'!K56)</f>
        <v>3439</v>
      </c>
      <c r="F56" s="280">
        <f>SUM(I56,L56,O56,'7.2(1)'!F56,'7.2(1)'!I56,'7.2(1)'!L56)</f>
        <v>153649198.76999998</v>
      </c>
      <c r="G56" s="149"/>
      <c r="H56" s="182">
        <v>820</v>
      </c>
      <c r="I56" s="187">
        <v>47464687.329999998</v>
      </c>
      <c r="J56" s="187"/>
      <c r="K56" s="183">
        <v>85</v>
      </c>
      <c r="L56" s="187">
        <v>10925872.699999999</v>
      </c>
      <c r="M56" s="187"/>
      <c r="N56" s="183">
        <v>208</v>
      </c>
      <c r="O56" s="187">
        <v>14789474.59</v>
      </c>
      <c r="P56" s="178"/>
    </row>
    <row r="57" spans="2:18" ht="15" customHeight="1">
      <c r="B57" s="153"/>
      <c r="C57" s="152"/>
      <c r="D57" s="149">
        <v>2022</v>
      </c>
      <c r="E57" s="267">
        <f>SUM(H57,K57,N57,'7.2(1)'!E57,'7.2(1)'!H57,'7.2(1)'!K57)</f>
        <v>2850</v>
      </c>
      <c r="F57" s="280">
        <f>SUM(I57,L57,O57,'7.2(1)'!F57,'7.2(1)'!I57,'7.2(1)'!L57)</f>
        <v>215139616.56999999</v>
      </c>
      <c r="G57" s="149"/>
      <c r="H57" s="182">
        <v>799</v>
      </c>
      <c r="I57" s="187">
        <v>75895678.459999993</v>
      </c>
      <c r="J57" s="187"/>
      <c r="K57" s="183">
        <v>127</v>
      </c>
      <c r="L57" s="187">
        <v>13030961.630000001</v>
      </c>
      <c r="M57" s="187"/>
      <c r="N57" s="183">
        <v>97</v>
      </c>
      <c r="O57" s="187">
        <v>13161139.050000001</v>
      </c>
      <c r="P57" s="178"/>
    </row>
    <row r="58" spans="2:18" ht="15" customHeight="1">
      <c r="B58" s="153"/>
      <c r="C58" s="152"/>
      <c r="D58" s="149">
        <v>2023</v>
      </c>
      <c r="E58" s="267">
        <f>SUM(H58,K58,N58,'7.2(1)'!E58,'7.2(1)'!H58,'7.2(1)'!K58)</f>
        <v>6240</v>
      </c>
      <c r="F58" s="280">
        <f>SUM(I58,L58,O58,'7.2(1)'!F58,'7.2(1)'!I58,'7.2(1)'!L58)</f>
        <v>331079726.65999997</v>
      </c>
      <c r="G58" s="149"/>
      <c r="H58" s="183">
        <v>1993</v>
      </c>
      <c r="I58" s="187">
        <v>81747183.620000005</v>
      </c>
      <c r="J58" s="187"/>
      <c r="K58" s="183">
        <v>358</v>
      </c>
      <c r="L58" s="187">
        <v>16392860.210000001</v>
      </c>
      <c r="M58" s="187"/>
      <c r="N58" s="183">
        <v>138</v>
      </c>
      <c r="O58" s="187">
        <v>10674424.039999999</v>
      </c>
      <c r="P58" s="178"/>
    </row>
    <row r="59" spans="2:18" ht="8.1" customHeight="1">
      <c r="B59" s="153"/>
      <c r="C59" s="148"/>
      <c r="D59" s="149"/>
      <c r="E59" s="149"/>
      <c r="F59" s="281"/>
      <c r="G59" s="149"/>
      <c r="H59" s="179"/>
      <c r="I59" s="184"/>
      <c r="J59" s="184"/>
      <c r="K59" s="253"/>
      <c r="L59" s="184"/>
      <c r="M59" s="184"/>
      <c r="N59" s="253"/>
      <c r="O59" s="186"/>
      <c r="P59" s="178"/>
    </row>
    <row r="60" spans="2:18" ht="15" customHeight="1">
      <c r="B60" s="151" t="s">
        <v>104</v>
      </c>
      <c r="C60" s="152"/>
      <c r="D60" s="149">
        <v>2021</v>
      </c>
      <c r="E60" s="267">
        <f>SUM(H60,K60,N60,'7.2(1)'!E60,'7.2(1)'!H60,'7.2(1)'!K60)</f>
        <v>1102</v>
      </c>
      <c r="F60" s="280">
        <f>SUM(I60,L60,O60,'7.2(1)'!F60,'7.2(1)'!I60,'7.2(1)'!L60)</f>
        <v>10608404.02</v>
      </c>
      <c r="G60" s="149"/>
      <c r="H60" s="182">
        <v>188</v>
      </c>
      <c r="I60" s="187">
        <v>2562454.79</v>
      </c>
      <c r="J60" s="187"/>
      <c r="K60" s="183">
        <v>70</v>
      </c>
      <c r="L60" s="187">
        <v>733718.14</v>
      </c>
      <c r="M60" s="187"/>
      <c r="N60" s="183">
        <v>81</v>
      </c>
      <c r="O60" s="187">
        <v>911600.65</v>
      </c>
      <c r="P60" s="178"/>
    </row>
    <row r="61" spans="2:18" ht="15" customHeight="1">
      <c r="B61" s="153"/>
      <c r="C61" s="152"/>
      <c r="D61" s="149">
        <v>2022</v>
      </c>
      <c r="E61" s="267">
        <f>SUM(H61,K61,N61,'7.2(1)'!E61,'7.2(1)'!H61,'7.2(1)'!K61)</f>
        <v>1198</v>
      </c>
      <c r="F61" s="280">
        <f>SUM(I61,L61,O61,'7.2(1)'!F61,'7.2(1)'!I61,'7.2(1)'!L61)</f>
        <v>20983210.170000002</v>
      </c>
      <c r="G61" s="149"/>
      <c r="H61" s="182">
        <v>345</v>
      </c>
      <c r="I61" s="187">
        <v>9220794.75</v>
      </c>
      <c r="J61" s="187"/>
      <c r="K61" s="183">
        <v>89</v>
      </c>
      <c r="L61" s="187">
        <v>1638309.36</v>
      </c>
      <c r="M61" s="187"/>
      <c r="N61" s="183">
        <v>36</v>
      </c>
      <c r="O61" s="187">
        <v>1003947</v>
      </c>
      <c r="P61" s="178"/>
    </row>
    <row r="62" spans="2:18" ht="15" customHeight="1">
      <c r="B62" s="153"/>
      <c r="C62" s="152"/>
      <c r="D62" s="149">
        <v>2023</v>
      </c>
      <c r="E62" s="267">
        <f>SUM(H62,K62,N62,'7.2(1)'!E62,'7.2(1)'!H62,'7.2(1)'!K62)</f>
        <v>1139</v>
      </c>
      <c r="F62" s="280">
        <f>SUM(I62,L62,O62,'7.2(1)'!F62,'7.2(1)'!I62,'7.2(1)'!L62)</f>
        <v>24033102.629999999</v>
      </c>
      <c r="G62" s="149"/>
      <c r="H62" s="182">
        <v>357</v>
      </c>
      <c r="I62" s="187">
        <v>9431414.3699999992</v>
      </c>
      <c r="J62" s="187"/>
      <c r="K62" s="183">
        <v>92</v>
      </c>
      <c r="L62" s="187">
        <v>1394507.73</v>
      </c>
      <c r="M62" s="187"/>
      <c r="N62" s="183">
        <v>41</v>
      </c>
      <c r="O62" s="187">
        <v>1007962.4</v>
      </c>
      <c r="P62" s="180"/>
      <c r="Q62" s="173"/>
      <c r="R62" s="173"/>
    </row>
    <row r="63" spans="2:18" ht="8.1" customHeight="1">
      <c r="B63" s="153"/>
      <c r="C63" s="154"/>
      <c r="D63" s="149"/>
      <c r="E63" s="149"/>
      <c r="F63" s="281"/>
      <c r="G63" s="149"/>
      <c r="H63" s="179"/>
      <c r="I63" s="184"/>
      <c r="J63" s="184"/>
      <c r="K63" s="253"/>
      <c r="L63" s="184"/>
      <c r="M63" s="184"/>
      <c r="N63" s="253"/>
      <c r="O63" s="186"/>
      <c r="P63" s="178"/>
    </row>
    <row r="64" spans="2:18" ht="15" customHeight="1">
      <c r="B64" s="151" t="s">
        <v>108</v>
      </c>
      <c r="C64" s="152"/>
      <c r="D64" s="149">
        <v>2021</v>
      </c>
      <c r="E64" s="267">
        <f>SUM(H64,K64,N64,'7.2(1)'!E64,'7.2(1)'!H64,'7.2(1)'!K64)</f>
        <v>1139</v>
      </c>
      <c r="F64" s="280">
        <f>SUM(I64,L64,O64,'7.2(1)'!F64,'7.2(1)'!I64,'7.2(1)'!L64)</f>
        <v>24586378.870000001</v>
      </c>
      <c r="G64" s="149"/>
      <c r="H64" s="182">
        <v>281</v>
      </c>
      <c r="I64" s="187">
        <v>7267482.75</v>
      </c>
      <c r="J64" s="187"/>
      <c r="K64" s="183">
        <v>45</v>
      </c>
      <c r="L64" s="187">
        <v>716963</v>
      </c>
      <c r="M64" s="187"/>
      <c r="N64" s="183">
        <v>50</v>
      </c>
      <c r="O64" s="187">
        <v>1755275.72</v>
      </c>
      <c r="P64" s="178"/>
    </row>
    <row r="65" spans="1:17" ht="15" customHeight="1">
      <c r="B65" s="153"/>
      <c r="C65" s="152"/>
      <c r="D65" s="149">
        <v>2022</v>
      </c>
      <c r="E65" s="267">
        <f>SUM(H65,K65,N65,'7.2(1)'!E65,'7.2(1)'!H65,'7.2(1)'!K65)</f>
        <v>1207</v>
      </c>
      <c r="F65" s="280">
        <f>SUM(I65,L65,O65,'7.2(1)'!F65,'7.2(1)'!I65,'7.2(1)'!L65)</f>
        <v>41659592.620000005</v>
      </c>
      <c r="G65" s="149"/>
      <c r="H65" s="182">
        <v>421</v>
      </c>
      <c r="I65" s="187">
        <v>22035971.739999998</v>
      </c>
      <c r="J65" s="187"/>
      <c r="K65" s="183">
        <v>48</v>
      </c>
      <c r="L65" s="187">
        <v>869807.19</v>
      </c>
      <c r="M65" s="187"/>
      <c r="N65" s="183">
        <v>18</v>
      </c>
      <c r="O65" s="187">
        <v>1536127.87</v>
      </c>
      <c r="P65" s="178"/>
    </row>
    <row r="66" spans="1:17" ht="15" customHeight="1">
      <c r="B66" s="153"/>
      <c r="C66" s="152"/>
      <c r="D66" s="149">
        <v>2023</v>
      </c>
      <c r="E66" s="267">
        <f>SUM(H66,K66,N66,'7.2(1)'!E66,'7.2(1)'!H66,'7.2(1)'!K66)</f>
        <v>1819</v>
      </c>
      <c r="F66" s="280">
        <f>SUM(I66,L66,O66,'7.2(1)'!F66,'7.2(1)'!I66,'7.2(1)'!L66)</f>
        <v>46987387.010000005</v>
      </c>
      <c r="G66" s="149"/>
      <c r="H66" s="182">
        <v>555</v>
      </c>
      <c r="I66" s="187">
        <v>12795123.380000001</v>
      </c>
      <c r="J66" s="187"/>
      <c r="K66" s="183">
        <v>100</v>
      </c>
      <c r="L66" s="187">
        <v>2053325.79</v>
      </c>
      <c r="M66" s="187"/>
      <c r="N66" s="183">
        <v>36</v>
      </c>
      <c r="O66" s="187">
        <v>4217696.1399999997</v>
      </c>
      <c r="P66" s="178"/>
    </row>
    <row r="67" spans="1:17" ht="8.1" customHeight="1">
      <c r="B67" s="155"/>
      <c r="C67" s="145"/>
      <c r="D67" s="149"/>
      <c r="E67" s="149"/>
      <c r="F67" s="281"/>
      <c r="G67" s="149"/>
      <c r="H67" s="179"/>
      <c r="I67" s="184"/>
      <c r="J67" s="184"/>
      <c r="K67" s="253"/>
      <c r="L67" s="184"/>
      <c r="M67" s="184"/>
      <c r="N67" s="253"/>
      <c r="O67" s="185"/>
      <c r="P67" s="178"/>
    </row>
    <row r="68" spans="1:17" ht="15" customHeight="1">
      <c r="B68" s="151" t="s">
        <v>105</v>
      </c>
      <c r="C68" s="152"/>
      <c r="D68" s="149">
        <v>2021</v>
      </c>
      <c r="E68" s="267">
        <f>SUM(H68,K68,N68,'7.2(1)'!E68,'7.2(1)'!H68,'7.2(1)'!K68)</f>
        <v>2152</v>
      </c>
      <c r="F68" s="280">
        <f>SUM(I68,L68,O68,'7.2(1)'!F68,'7.2(1)'!I68,'7.2(1)'!L68)</f>
        <v>39440090.950000003</v>
      </c>
      <c r="G68" s="149"/>
      <c r="H68" s="182">
        <v>499</v>
      </c>
      <c r="I68" s="187">
        <v>13125837.48</v>
      </c>
      <c r="J68" s="187"/>
      <c r="K68" s="183">
        <v>191</v>
      </c>
      <c r="L68" s="187">
        <v>5260925.93</v>
      </c>
      <c r="M68" s="187"/>
      <c r="N68" s="183">
        <v>104</v>
      </c>
      <c r="O68" s="187">
        <v>4513224.09</v>
      </c>
      <c r="P68" s="178"/>
    </row>
    <row r="69" spans="1:17" ht="15" customHeight="1">
      <c r="B69" s="153"/>
      <c r="C69" s="152"/>
      <c r="D69" s="149">
        <v>2022</v>
      </c>
      <c r="E69" s="267">
        <f>SUM(H69,K69,N69,'7.2(1)'!E69,'7.2(1)'!H69,'7.2(1)'!K69)</f>
        <v>1865</v>
      </c>
      <c r="F69" s="280">
        <f>SUM(I69,L69,O69,'7.2(1)'!F69,'7.2(1)'!I69,'7.2(1)'!L69)</f>
        <v>41104547.769999996</v>
      </c>
      <c r="G69" s="149"/>
      <c r="H69" s="182">
        <v>503</v>
      </c>
      <c r="I69" s="187">
        <v>18360057.629999999</v>
      </c>
      <c r="J69" s="187"/>
      <c r="K69" s="183">
        <v>192</v>
      </c>
      <c r="L69" s="187">
        <v>2796302.27</v>
      </c>
      <c r="M69" s="187"/>
      <c r="N69" s="183">
        <v>49</v>
      </c>
      <c r="O69" s="187">
        <v>2349682.35</v>
      </c>
      <c r="P69" s="178"/>
    </row>
    <row r="70" spans="1:17" ht="15" customHeight="1">
      <c r="B70" s="153"/>
      <c r="C70" s="152"/>
      <c r="D70" s="149">
        <v>2023</v>
      </c>
      <c r="E70" s="267">
        <f>SUM(H70,K70,N70,'7.2(1)'!E70,'7.2(1)'!H70,'7.2(1)'!K70)</f>
        <v>2318</v>
      </c>
      <c r="F70" s="280">
        <f>SUM(I70,L70,O70,'7.2(1)'!F70,'7.2(1)'!I70,'7.2(1)'!L70)</f>
        <v>75811965.75</v>
      </c>
      <c r="G70" s="149"/>
      <c r="H70" s="182">
        <v>586</v>
      </c>
      <c r="I70" s="187">
        <v>21915961.73</v>
      </c>
      <c r="J70" s="187"/>
      <c r="K70" s="183">
        <v>204</v>
      </c>
      <c r="L70" s="187">
        <v>11546497.09</v>
      </c>
      <c r="M70" s="187"/>
      <c r="N70" s="183">
        <v>58</v>
      </c>
      <c r="O70" s="187">
        <v>3639120</v>
      </c>
      <c r="P70" s="178"/>
    </row>
    <row r="71" spans="1:17" ht="8.1" customHeight="1">
      <c r="B71" s="153"/>
      <c r="C71" s="151"/>
      <c r="D71" s="149"/>
      <c r="E71" s="149"/>
      <c r="F71" s="281"/>
      <c r="G71" s="149"/>
      <c r="H71" s="179"/>
      <c r="I71" s="184"/>
      <c r="J71" s="184"/>
      <c r="K71" s="253"/>
      <c r="L71" s="184"/>
      <c r="M71" s="184"/>
      <c r="N71" s="253"/>
      <c r="O71" s="186"/>
      <c r="P71" s="178"/>
    </row>
    <row r="72" spans="1:17" ht="15" customHeight="1">
      <c r="B72" s="151" t="s">
        <v>109</v>
      </c>
      <c r="C72" s="152"/>
      <c r="D72" s="149">
        <v>2021</v>
      </c>
      <c r="E72" s="267">
        <f>SUM(H72,K72,N72,'7.2(1)'!E72,'7.2(1)'!H72,'7.2(1)'!K72)</f>
        <v>3504</v>
      </c>
      <c r="F72" s="280">
        <f>SUM(I72,L72,O72,'7.2(1)'!F72,'7.2(1)'!I72,'7.2(1)'!L72)</f>
        <v>163178985.73999998</v>
      </c>
      <c r="G72" s="149"/>
      <c r="H72" s="183">
        <v>1028</v>
      </c>
      <c r="I72" s="187">
        <v>39422183.140000001</v>
      </c>
      <c r="J72" s="187"/>
      <c r="K72" s="183">
        <v>82</v>
      </c>
      <c r="L72" s="187">
        <v>33135808.969999999</v>
      </c>
      <c r="M72" s="187"/>
      <c r="N72" s="183">
        <v>216</v>
      </c>
      <c r="O72" s="187">
        <v>10696119.58</v>
      </c>
      <c r="P72" s="178"/>
    </row>
    <row r="73" spans="1:17" ht="15" customHeight="1">
      <c r="B73" s="153"/>
      <c r="C73" s="152"/>
      <c r="D73" s="149">
        <v>2022</v>
      </c>
      <c r="E73" s="267">
        <f>SUM(H73,K73,N73,'7.2(1)'!E73,'7.2(1)'!H73,'7.2(1)'!K73)</f>
        <v>3553</v>
      </c>
      <c r="F73" s="280">
        <f>SUM(I73,L73,O73,'7.2(1)'!F73,'7.2(1)'!I73,'7.2(1)'!L73)</f>
        <v>148695270.04000002</v>
      </c>
      <c r="G73" s="149"/>
      <c r="H73" s="183">
        <v>1094</v>
      </c>
      <c r="I73" s="187">
        <v>50752901.659999996</v>
      </c>
      <c r="J73" s="187"/>
      <c r="K73" s="183">
        <v>152</v>
      </c>
      <c r="L73" s="187">
        <v>14570189.85</v>
      </c>
      <c r="M73" s="187"/>
      <c r="N73" s="183">
        <v>111</v>
      </c>
      <c r="O73" s="187">
        <v>8741230.0099999998</v>
      </c>
      <c r="P73" s="178"/>
    </row>
    <row r="74" spans="1:17" ht="15" customHeight="1">
      <c r="B74" s="151"/>
      <c r="C74" s="152"/>
      <c r="D74" s="149">
        <v>2023</v>
      </c>
      <c r="E74" s="267">
        <f>SUM(H74,K74,N74,'7.2(1)'!E74,'7.2(1)'!H74,'7.2(1)'!K74)</f>
        <v>4184</v>
      </c>
      <c r="F74" s="280">
        <f>SUM(I74,L74,O74,'7.2(1)'!F74,'7.2(1)'!I74,'7.2(1)'!L74)</f>
        <v>247012164.47000003</v>
      </c>
      <c r="G74" s="149"/>
      <c r="H74" s="183">
        <v>1491</v>
      </c>
      <c r="I74" s="187">
        <v>68480601.540000007</v>
      </c>
      <c r="J74" s="187"/>
      <c r="K74" s="183">
        <v>223</v>
      </c>
      <c r="L74" s="187">
        <v>41734607.32</v>
      </c>
      <c r="M74" s="187"/>
      <c r="N74" s="183">
        <v>125</v>
      </c>
      <c r="O74" s="187">
        <v>7424335.1799999997</v>
      </c>
      <c r="P74" s="178"/>
    </row>
    <row r="75" spans="1:17" ht="8.1" customHeight="1">
      <c r="B75" s="151"/>
      <c r="C75" s="153"/>
      <c r="D75" s="149"/>
      <c r="E75" s="149"/>
      <c r="F75" s="149"/>
      <c r="G75" s="149"/>
      <c r="H75" s="179"/>
      <c r="I75" s="179"/>
      <c r="J75" s="179"/>
      <c r="K75" s="179"/>
      <c r="L75" s="179"/>
      <c r="M75" s="179"/>
      <c r="N75" s="179"/>
      <c r="O75" s="178"/>
      <c r="P75" s="178"/>
    </row>
    <row r="76" spans="1:17" ht="8.1" customHeight="1" thickBot="1">
      <c r="A76" s="156"/>
      <c r="B76" s="156"/>
      <c r="C76" s="156"/>
      <c r="D76" s="157"/>
      <c r="E76" s="157"/>
      <c r="F76" s="157"/>
      <c r="G76" s="157"/>
      <c r="H76" s="158"/>
      <c r="I76" s="158"/>
      <c r="J76" s="158"/>
      <c r="K76" s="158"/>
      <c r="L76" s="158"/>
      <c r="M76" s="158"/>
      <c r="N76" s="158"/>
      <c r="O76" s="156"/>
      <c r="P76" s="156"/>
      <c r="Q76" s="193"/>
    </row>
    <row r="77" spans="1:17" ht="15" customHeight="1">
      <c r="B77" s="159"/>
      <c r="C77" s="160"/>
      <c r="D77" s="161"/>
      <c r="E77" s="161"/>
      <c r="F77" s="161"/>
      <c r="G77" s="161"/>
      <c r="H77" s="162"/>
      <c r="I77" s="163"/>
      <c r="J77" s="163"/>
      <c r="K77" s="163"/>
      <c r="L77" s="163"/>
      <c r="M77" s="163"/>
      <c r="N77" s="163"/>
      <c r="O77" s="164"/>
      <c r="P77" s="92" t="s">
        <v>19</v>
      </c>
    </row>
    <row r="78" spans="1:17" ht="15" customHeight="1">
      <c r="D78" s="165"/>
      <c r="E78" s="165"/>
      <c r="F78" s="165"/>
      <c r="G78" s="165"/>
      <c r="H78" s="163"/>
      <c r="I78" s="163"/>
      <c r="J78" s="163"/>
      <c r="K78" s="163"/>
      <c r="N78" s="162"/>
      <c r="O78" s="166"/>
      <c r="P78" s="93" t="s">
        <v>20</v>
      </c>
    </row>
    <row r="79" spans="1:17" ht="15" customHeight="1">
      <c r="B79" s="138"/>
      <c r="C79" s="138"/>
      <c r="D79" s="139"/>
      <c r="E79" s="139"/>
      <c r="F79" s="139"/>
      <c r="G79" s="139"/>
      <c r="H79" s="140"/>
      <c r="I79" s="140"/>
      <c r="J79" s="140"/>
      <c r="K79" s="140"/>
      <c r="L79" s="140"/>
      <c r="M79" s="140"/>
      <c r="N79" s="140"/>
    </row>
  </sheetData>
  <mergeCells count="9">
    <mergeCell ref="Q6:R6"/>
    <mergeCell ref="N11:O11"/>
    <mergeCell ref="N10:O10"/>
    <mergeCell ref="E10:F10"/>
    <mergeCell ref="E11:F11"/>
    <mergeCell ref="H11:I11"/>
    <mergeCell ref="K11:L11"/>
    <mergeCell ref="H10:I10"/>
    <mergeCell ref="K10:L10"/>
  </mergeCells>
  <printOptions horizontalCentered="1"/>
  <pageMargins left="0.39370078740157483" right="0.39370078740157483" top="0.39370078740157483" bottom="0.39370078740157483" header="0.31496062992125984" footer="0.31496062992125984"/>
  <pageSetup paperSize="9" scale="65" fitToWidth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71"/>
  <sheetViews>
    <sheetView tabSelected="1" view="pageBreakPreview" zoomScale="95" zoomScaleNormal="100" zoomScaleSheetLayoutView="95" workbookViewId="0">
      <selection activeCell="M12" sqref="M12"/>
    </sheetView>
  </sheetViews>
  <sheetFormatPr defaultColWidth="7.140625" defaultRowHeight="16.5"/>
  <cols>
    <col min="1" max="1" width="1.7109375" style="209" customWidth="1"/>
    <col min="2" max="2" width="11.7109375" style="209" customWidth="1"/>
    <col min="3" max="3" width="7.7109375" style="209" customWidth="1"/>
    <col min="4" max="4" width="14.5703125" style="209" customWidth="1"/>
    <col min="5" max="5" width="10.42578125" style="209" customWidth="1"/>
    <col min="6" max="6" width="19.5703125" style="209" customWidth="1"/>
    <col min="7" max="7" width="2.5703125" style="174" customWidth="1"/>
    <col min="8" max="8" width="10.42578125" style="209" customWidth="1"/>
    <col min="9" max="9" width="19.5703125" style="209" customWidth="1"/>
    <col min="10" max="10" width="1.85546875" style="209" customWidth="1"/>
    <col min="11" max="11" width="10.42578125" style="209" customWidth="1"/>
    <col min="12" max="12" width="19.5703125" style="209" customWidth="1"/>
    <col min="13" max="13" width="2" style="174" customWidth="1"/>
    <col min="14" max="14" width="7.140625" style="174"/>
    <col min="15" max="15" width="14.140625" style="174" customWidth="1"/>
    <col min="16" max="16" width="7.140625" style="209"/>
    <col min="17" max="17" width="14.140625" style="209" customWidth="1"/>
    <col min="18" max="18" width="7.140625" style="209"/>
    <col min="19" max="19" width="14.140625" style="209" customWidth="1"/>
    <col min="20" max="16384" width="7.140625" style="209"/>
  </cols>
  <sheetData>
    <row r="1" spans="1:16" s="240" customFormat="1" ht="15" customHeight="1">
      <c r="B1" s="241"/>
      <c r="C1" s="241"/>
      <c r="D1" s="242"/>
      <c r="E1" s="243"/>
      <c r="F1" s="243"/>
      <c r="G1" s="243"/>
      <c r="H1" s="243"/>
      <c r="I1" s="243"/>
      <c r="J1" s="243"/>
      <c r="K1" s="295"/>
      <c r="L1" s="295"/>
      <c r="M1" s="295"/>
    </row>
    <row r="2" spans="1:16" s="240" customFormat="1">
      <c r="B2" s="241"/>
      <c r="C2" s="241"/>
      <c r="D2" s="242"/>
      <c r="E2" s="243"/>
      <c r="F2" s="243"/>
      <c r="G2" s="243"/>
      <c r="H2" s="243"/>
      <c r="I2" s="243"/>
      <c r="J2" s="243"/>
      <c r="K2" s="243"/>
      <c r="L2" s="243"/>
      <c r="M2" s="263" t="s">
        <v>7</v>
      </c>
    </row>
    <row r="3" spans="1:16" s="240" customFormat="1">
      <c r="B3" s="241"/>
      <c r="C3" s="241"/>
      <c r="D3" s="242"/>
      <c r="E3" s="243"/>
      <c r="F3" s="243"/>
      <c r="G3" s="243"/>
      <c r="H3" s="243"/>
      <c r="I3" s="243"/>
      <c r="J3" s="243"/>
      <c r="K3" s="243"/>
      <c r="L3" s="243"/>
      <c r="M3" s="244" t="s">
        <v>55</v>
      </c>
    </row>
    <row r="4" spans="1:16" s="240" customFormat="1">
      <c r="B4" s="245"/>
      <c r="C4" s="245"/>
      <c r="D4" s="242"/>
    </row>
    <row r="5" spans="1:16" ht="15" customHeight="1">
      <c r="B5" s="246" t="s">
        <v>5</v>
      </c>
      <c r="C5" s="247" t="s">
        <v>149</v>
      </c>
      <c r="D5" s="248"/>
      <c r="E5" s="249"/>
    </row>
    <row r="6" spans="1:16" ht="15" customHeight="1">
      <c r="B6" s="250" t="s">
        <v>6</v>
      </c>
      <c r="C6" s="251" t="s">
        <v>119</v>
      </c>
      <c r="D6" s="252"/>
      <c r="E6" s="245"/>
    </row>
    <row r="7" spans="1:16" ht="8.1" customHeight="1">
      <c r="B7" s="112"/>
      <c r="C7" s="113"/>
      <c r="D7" s="114"/>
    </row>
    <row r="8" spans="1:16" ht="15.95" customHeight="1" thickBot="1">
      <c r="B8" s="116"/>
      <c r="D8" s="117"/>
      <c r="E8" s="118"/>
      <c r="F8" s="118"/>
      <c r="G8" s="209"/>
      <c r="H8" s="118"/>
      <c r="I8" s="118"/>
      <c r="J8" s="118"/>
      <c r="L8" s="118"/>
      <c r="M8" s="196"/>
      <c r="N8" s="196"/>
    </row>
    <row r="9" spans="1:16" ht="8.1" customHeight="1" thickTop="1">
      <c r="A9" s="119"/>
      <c r="B9" s="120"/>
      <c r="C9" s="121"/>
      <c r="D9" s="122"/>
      <c r="E9" s="123"/>
      <c r="F9" s="123"/>
      <c r="G9" s="119"/>
      <c r="H9" s="123"/>
      <c r="I9" s="123"/>
      <c r="J9" s="123"/>
      <c r="K9" s="119"/>
      <c r="L9" s="123"/>
      <c r="M9" s="197"/>
      <c r="N9" s="197"/>
      <c r="O9" s="172"/>
    </row>
    <row r="10" spans="1:16" ht="18.75" customHeight="1">
      <c r="A10" s="124"/>
      <c r="B10" s="125" t="s">
        <v>90</v>
      </c>
      <c r="C10" s="126"/>
      <c r="D10" s="262" t="s">
        <v>91</v>
      </c>
      <c r="E10" s="292" t="s">
        <v>126</v>
      </c>
      <c r="F10" s="292"/>
      <c r="G10" s="177"/>
      <c r="H10" s="292" t="s">
        <v>127</v>
      </c>
      <c r="I10" s="292"/>
      <c r="J10" s="116"/>
      <c r="K10" s="292" t="s">
        <v>128</v>
      </c>
      <c r="L10" s="292"/>
      <c r="M10" s="234"/>
    </row>
    <row r="11" spans="1:16" ht="18.75" customHeight="1">
      <c r="A11" s="124"/>
      <c r="B11" s="129" t="s">
        <v>92</v>
      </c>
      <c r="C11" s="126"/>
      <c r="D11" s="130" t="s">
        <v>93</v>
      </c>
      <c r="E11" s="294" t="s">
        <v>134</v>
      </c>
      <c r="F11" s="294"/>
      <c r="G11" s="177"/>
      <c r="H11" s="294" t="s">
        <v>136</v>
      </c>
      <c r="I11" s="294"/>
      <c r="J11" s="116"/>
      <c r="K11" s="296" t="s">
        <v>137</v>
      </c>
      <c r="L11" s="296"/>
      <c r="M11" s="277"/>
      <c r="N11" s="277"/>
      <c r="O11" s="277"/>
      <c r="P11" s="277"/>
    </row>
    <row r="12" spans="1:16" ht="18.75" customHeight="1">
      <c r="A12" s="124"/>
      <c r="B12" s="125"/>
      <c r="C12" s="126"/>
      <c r="D12" s="262"/>
      <c r="E12" s="265" t="s">
        <v>110</v>
      </c>
      <c r="F12" s="265" t="s">
        <v>111</v>
      </c>
      <c r="G12" s="235"/>
      <c r="H12" s="265" t="s">
        <v>110</v>
      </c>
      <c r="I12" s="265" t="s">
        <v>111</v>
      </c>
      <c r="J12" s="265"/>
      <c r="K12" s="265" t="s">
        <v>110</v>
      </c>
      <c r="L12" s="265" t="s">
        <v>111</v>
      </c>
      <c r="M12" s="195"/>
      <c r="N12" s="194"/>
      <c r="O12" s="197"/>
    </row>
    <row r="13" spans="1:16" ht="18.75" customHeight="1">
      <c r="A13" s="124"/>
      <c r="B13" s="131"/>
      <c r="C13" s="132"/>
      <c r="D13" s="133"/>
      <c r="E13" s="202" t="s">
        <v>117</v>
      </c>
      <c r="F13" s="134"/>
      <c r="G13" s="177"/>
      <c r="H13" s="202" t="s">
        <v>117</v>
      </c>
      <c r="I13" s="134"/>
      <c r="J13" s="116"/>
      <c r="K13" s="202" t="s">
        <v>117</v>
      </c>
      <c r="L13" s="134"/>
      <c r="M13" s="199"/>
    </row>
    <row r="14" spans="1:16" ht="8.1" customHeight="1">
      <c r="A14" s="135"/>
      <c r="B14" s="136"/>
      <c r="C14" s="135"/>
      <c r="D14" s="135"/>
      <c r="E14" s="135"/>
      <c r="F14" s="137"/>
      <c r="G14" s="137"/>
      <c r="H14" s="137"/>
      <c r="I14" s="137"/>
      <c r="J14" s="137"/>
      <c r="K14" s="137"/>
      <c r="L14" s="137"/>
      <c r="M14" s="172"/>
    </row>
    <row r="15" spans="1:16" ht="8.1" customHeight="1">
      <c r="A15" s="138"/>
      <c r="B15" s="138"/>
      <c r="C15" s="138"/>
      <c r="D15" s="146"/>
      <c r="E15" s="116"/>
      <c r="F15" s="116"/>
      <c r="G15" s="177"/>
      <c r="H15" s="116"/>
      <c r="I15" s="116"/>
      <c r="J15" s="116"/>
      <c r="K15" s="116"/>
      <c r="L15" s="116"/>
      <c r="M15" s="177"/>
    </row>
    <row r="16" spans="1:16" ht="15" customHeight="1">
      <c r="B16" s="144" t="s">
        <v>107</v>
      </c>
      <c r="C16" s="145"/>
      <c r="D16" s="147">
        <v>2021</v>
      </c>
      <c r="E16" s="211">
        <f t="shared" ref="E16:F18" si="0">SUM(E20,E24,E28,E32,E36,E40,E44,E48,E52,E56,E60,E64,E68,E72)</f>
        <v>9499</v>
      </c>
      <c r="F16" s="236">
        <f t="shared" si="0"/>
        <v>73027317.829999998</v>
      </c>
      <c r="G16" s="237"/>
      <c r="H16" s="211">
        <f t="shared" ref="H16:I18" si="1">SUM(H20,H24,H28,H32,H36,H40,H44,H48,H52,H56,H60,H64,H68,H72)</f>
        <v>4784</v>
      </c>
      <c r="I16" s="236">
        <f t="shared" si="1"/>
        <v>50604323.670000002</v>
      </c>
      <c r="J16" s="236"/>
      <c r="K16" s="211">
        <f t="shared" ref="K16:L18" si="2">SUM(K20,K24,K28,K32,K36,K40,K44,K48,K52,K56,K60,K64,K68,K72)</f>
        <v>3195</v>
      </c>
      <c r="L16" s="236">
        <f t="shared" si="2"/>
        <v>245055388.81</v>
      </c>
      <c r="M16" s="177"/>
    </row>
    <row r="17" spans="2:20" ht="15" customHeight="1">
      <c r="B17" s="145"/>
      <c r="C17" s="145"/>
      <c r="D17" s="146">
        <v>2022</v>
      </c>
      <c r="E17" s="211">
        <f t="shared" si="0"/>
        <v>9258</v>
      </c>
      <c r="F17" s="236">
        <f t="shared" si="0"/>
        <v>139985807.93000001</v>
      </c>
      <c r="G17" s="237"/>
      <c r="H17" s="211">
        <f t="shared" si="1"/>
        <v>3174</v>
      </c>
      <c r="I17" s="236">
        <f t="shared" si="1"/>
        <v>37447095.970000006</v>
      </c>
      <c r="J17" s="236"/>
      <c r="K17" s="211">
        <f t="shared" si="2"/>
        <v>3266</v>
      </c>
      <c r="L17" s="236">
        <f t="shared" si="2"/>
        <v>219836460.13999999</v>
      </c>
      <c r="M17" s="177"/>
    </row>
    <row r="18" spans="2:20" ht="15" customHeight="1">
      <c r="B18" s="145"/>
      <c r="C18" s="145"/>
      <c r="D18" s="146">
        <v>2023</v>
      </c>
      <c r="E18" s="211">
        <f t="shared" si="0"/>
        <v>11481</v>
      </c>
      <c r="F18" s="236">
        <f t="shared" si="0"/>
        <v>204264114.66999999</v>
      </c>
      <c r="G18" s="237"/>
      <c r="H18" s="211">
        <f t="shared" si="1"/>
        <v>4263</v>
      </c>
      <c r="I18" s="236">
        <f t="shared" si="1"/>
        <v>40762815.850000001</v>
      </c>
      <c r="J18" s="236"/>
      <c r="K18" s="211">
        <f t="shared" si="2"/>
        <v>5393</v>
      </c>
      <c r="L18" s="236">
        <f t="shared" si="2"/>
        <v>472829073.44999999</v>
      </c>
      <c r="M18" s="178"/>
    </row>
    <row r="19" spans="2:20" ht="8.1" customHeight="1">
      <c r="B19" s="145"/>
      <c r="C19" s="148"/>
      <c r="D19" s="149"/>
      <c r="E19" s="254"/>
      <c r="F19" s="186"/>
      <c r="G19" s="186"/>
      <c r="H19" s="254"/>
      <c r="I19" s="186"/>
      <c r="J19" s="186"/>
      <c r="K19" s="254"/>
      <c r="L19" s="178"/>
      <c r="M19" s="178"/>
    </row>
    <row r="20" spans="2:20" ht="15" customHeight="1">
      <c r="B20" s="151" t="s">
        <v>94</v>
      </c>
      <c r="C20" s="152"/>
      <c r="D20" s="149">
        <v>2021</v>
      </c>
      <c r="E20" s="183">
        <v>844</v>
      </c>
      <c r="F20" s="187">
        <v>8977727.1400000006</v>
      </c>
      <c r="G20" s="187"/>
      <c r="H20" s="183">
        <v>516</v>
      </c>
      <c r="I20" s="187">
        <v>6285023.7400000002</v>
      </c>
      <c r="J20" s="187"/>
      <c r="K20" s="255">
        <v>383</v>
      </c>
      <c r="L20" s="187">
        <v>16316690.960000001</v>
      </c>
      <c r="M20" s="178"/>
    </row>
    <row r="21" spans="2:20" ht="15" customHeight="1">
      <c r="B21" s="153"/>
      <c r="C21" s="152"/>
      <c r="D21" s="149">
        <v>2022</v>
      </c>
      <c r="E21" s="183">
        <v>889</v>
      </c>
      <c r="F21" s="187">
        <v>16552901.25</v>
      </c>
      <c r="G21" s="187"/>
      <c r="H21" s="183">
        <v>299</v>
      </c>
      <c r="I21" s="187">
        <v>3518799.57</v>
      </c>
      <c r="J21" s="187"/>
      <c r="K21" s="255">
        <v>306</v>
      </c>
      <c r="L21" s="187">
        <v>19476331.359999999</v>
      </c>
      <c r="M21" s="178"/>
    </row>
    <row r="22" spans="2:20" ht="15" customHeight="1">
      <c r="B22" s="153"/>
      <c r="C22" s="152"/>
      <c r="D22" s="149">
        <v>2023</v>
      </c>
      <c r="E22" s="183">
        <v>1117</v>
      </c>
      <c r="F22" s="187">
        <v>20707759.489999998</v>
      </c>
      <c r="G22" s="187"/>
      <c r="H22" s="183">
        <v>511</v>
      </c>
      <c r="I22" s="187">
        <v>5308987.17</v>
      </c>
      <c r="J22" s="187"/>
      <c r="K22" s="183">
        <v>617</v>
      </c>
      <c r="L22" s="187">
        <v>49569113.310000002</v>
      </c>
      <c r="M22" s="178"/>
    </row>
    <row r="23" spans="2:20" ht="8.1" customHeight="1">
      <c r="B23" s="153"/>
      <c r="C23" s="154"/>
      <c r="D23" s="149"/>
      <c r="E23" s="254"/>
      <c r="F23" s="186"/>
      <c r="G23" s="186"/>
      <c r="H23" s="254"/>
      <c r="I23" s="186"/>
      <c r="J23" s="186"/>
      <c r="K23" s="254"/>
      <c r="L23" s="186"/>
      <c r="M23" s="178"/>
    </row>
    <row r="24" spans="2:20" ht="15" customHeight="1">
      <c r="B24" s="151" t="s">
        <v>95</v>
      </c>
      <c r="C24" s="152"/>
      <c r="D24" s="149">
        <v>2021</v>
      </c>
      <c r="E24" s="183">
        <v>599</v>
      </c>
      <c r="F24" s="187">
        <v>3717342.3</v>
      </c>
      <c r="G24" s="187"/>
      <c r="H24" s="183">
        <v>299</v>
      </c>
      <c r="I24" s="187">
        <v>2855183.82</v>
      </c>
      <c r="J24" s="187"/>
      <c r="K24" s="255">
        <v>220</v>
      </c>
      <c r="L24" s="187">
        <v>7942224.7999999998</v>
      </c>
      <c r="M24" s="178"/>
    </row>
    <row r="25" spans="2:20" ht="15" customHeight="1">
      <c r="B25" s="151"/>
      <c r="C25" s="152"/>
      <c r="D25" s="149">
        <v>2022</v>
      </c>
      <c r="E25" s="183">
        <v>545</v>
      </c>
      <c r="F25" s="187">
        <v>7765761.5800000001</v>
      </c>
      <c r="G25" s="187"/>
      <c r="H25" s="183">
        <v>216</v>
      </c>
      <c r="I25" s="187">
        <v>2565361.4300000002</v>
      </c>
      <c r="J25" s="187"/>
      <c r="K25" s="255">
        <v>230</v>
      </c>
      <c r="L25" s="187">
        <v>8563948.1500000004</v>
      </c>
      <c r="M25" s="178"/>
    </row>
    <row r="26" spans="2:20" ht="15" customHeight="1">
      <c r="B26" s="151"/>
      <c r="C26" s="152"/>
      <c r="D26" s="149">
        <v>2023</v>
      </c>
      <c r="E26" s="183">
        <v>573</v>
      </c>
      <c r="F26" s="187">
        <v>6914626.1699999999</v>
      </c>
      <c r="G26" s="187"/>
      <c r="H26" s="183">
        <v>281</v>
      </c>
      <c r="I26" s="187">
        <v>2719240.25</v>
      </c>
      <c r="J26" s="187"/>
      <c r="K26" s="183">
        <v>326</v>
      </c>
      <c r="L26" s="187">
        <v>14124391.49</v>
      </c>
      <c r="M26" s="178"/>
      <c r="P26" s="174"/>
      <c r="Q26" s="174"/>
      <c r="R26" s="174"/>
      <c r="S26" s="174"/>
      <c r="T26" s="174"/>
    </row>
    <row r="27" spans="2:20" ht="8.1" customHeight="1">
      <c r="B27" s="151"/>
      <c r="C27" s="154"/>
      <c r="D27" s="149"/>
      <c r="E27" s="254"/>
      <c r="F27" s="186"/>
      <c r="G27" s="186"/>
      <c r="H27" s="254"/>
      <c r="I27" s="186"/>
      <c r="J27" s="186"/>
      <c r="K27" s="254"/>
      <c r="L27" s="186"/>
      <c r="M27" s="178"/>
      <c r="P27" s="174"/>
      <c r="Q27" s="174"/>
      <c r="R27" s="174"/>
      <c r="S27" s="174"/>
      <c r="T27" s="174"/>
    </row>
    <row r="28" spans="2:20" ht="15" customHeight="1">
      <c r="B28" s="151" t="s">
        <v>96</v>
      </c>
      <c r="C28" s="152"/>
      <c r="D28" s="149">
        <v>2021</v>
      </c>
      <c r="E28" s="183">
        <v>350</v>
      </c>
      <c r="F28" s="187">
        <v>1978331.53</v>
      </c>
      <c r="G28" s="187"/>
      <c r="H28" s="183">
        <v>130</v>
      </c>
      <c r="I28" s="187">
        <v>1376485.3</v>
      </c>
      <c r="J28" s="187"/>
      <c r="K28" s="255">
        <v>90</v>
      </c>
      <c r="L28" s="187">
        <v>2172830.12</v>
      </c>
      <c r="M28" s="181"/>
      <c r="N28" s="176"/>
      <c r="O28" s="175"/>
      <c r="P28" s="176"/>
      <c r="Q28" s="175"/>
      <c r="R28" s="210"/>
      <c r="S28" s="175"/>
      <c r="T28" s="174"/>
    </row>
    <row r="29" spans="2:20" ht="15" customHeight="1">
      <c r="B29" s="153"/>
      <c r="C29" s="152"/>
      <c r="D29" s="149">
        <v>2022</v>
      </c>
      <c r="E29" s="183">
        <v>298</v>
      </c>
      <c r="F29" s="187">
        <v>3732594.24</v>
      </c>
      <c r="G29" s="187"/>
      <c r="H29" s="183">
        <v>109</v>
      </c>
      <c r="I29" s="187">
        <v>879092.54</v>
      </c>
      <c r="J29" s="187"/>
      <c r="K29" s="255">
        <v>135</v>
      </c>
      <c r="L29" s="187">
        <v>4203434.38</v>
      </c>
      <c r="M29" s="181"/>
      <c r="N29" s="176"/>
      <c r="O29" s="175"/>
      <c r="P29" s="176"/>
      <c r="Q29" s="175"/>
      <c r="R29" s="210"/>
      <c r="S29" s="175"/>
      <c r="T29" s="174"/>
    </row>
    <row r="30" spans="2:20" ht="15" customHeight="1">
      <c r="B30" s="153"/>
      <c r="C30" s="152"/>
      <c r="D30" s="149">
        <v>2023</v>
      </c>
      <c r="E30" s="183">
        <v>308</v>
      </c>
      <c r="F30" s="187">
        <v>3184169.54</v>
      </c>
      <c r="G30" s="187"/>
      <c r="H30" s="183">
        <v>95</v>
      </c>
      <c r="I30" s="187">
        <v>1100363.03</v>
      </c>
      <c r="J30" s="187"/>
      <c r="K30" s="183">
        <v>148</v>
      </c>
      <c r="L30" s="187">
        <v>7495794.1200000001</v>
      </c>
      <c r="M30" s="181"/>
      <c r="N30" s="176"/>
      <c r="O30" s="175"/>
      <c r="P30" s="176"/>
      <c r="Q30" s="175"/>
      <c r="R30" s="210"/>
      <c r="S30" s="175"/>
      <c r="T30" s="174"/>
    </row>
    <row r="31" spans="2:20" ht="8.1" customHeight="1">
      <c r="B31" s="153"/>
      <c r="C31" s="148"/>
      <c r="D31" s="149"/>
      <c r="E31" s="255"/>
      <c r="F31" s="187"/>
      <c r="G31" s="187"/>
      <c r="H31" s="183"/>
      <c r="I31" s="187"/>
      <c r="J31" s="187"/>
      <c r="K31" s="183"/>
      <c r="L31" s="187"/>
      <c r="M31" s="181"/>
      <c r="N31" s="176"/>
      <c r="O31" s="175"/>
      <c r="P31" s="176"/>
      <c r="Q31" s="175"/>
      <c r="R31" s="210"/>
      <c r="S31" s="175"/>
      <c r="T31" s="174"/>
    </row>
    <row r="32" spans="2:20" ht="15" customHeight="1">
      <c r="B32" s="151" t="s">
        <v>97</v>
      </c>
      <c r="C32" s="152"/>
      <c r="D32" s="149">
        <v>2021</v>
      </c>
      <c r="E32" s="183">
        <v>340</v>
      </c>
      <c r="F32" s="187">
        <v>2882936.31</v>
      </c>
      <c r="G32" s="187"/>
      <c r="H32" s="183">
        <v>211</v>
      </c>
      <c r="I32" s="187">
        <v>2113148.2599999998</v>
      </c>
      <c r="J32" s="187"/>
      <c r="K32" s="255">
        <v>163</v>
      </c>
      <c r="L32" s="187">
        <v>5257242.2</v>
      </c>
      <c r="M32" s="181"/>
      <c r="N32" s="233"/>
      <c r="O32" s="175"/>
      <c r="P32" s="176"/>
      <c r="Q32" s="175"/>
      <c r="R32" s="210"/>
      <c r="S32" s="175"/>
      <c r="T32" s="174"/>
    </row>
    <row r="33" spans="2:20" ht="15" customHeight="1">
      <c r="B33" s="153"/>
      <c r="C33" s="152"/>
      <c r="D33" s="149">
        <v>2022</v>
      </c>
      <c r="E33" s="183">
        <v>469</v>
      </c>
      <c r="F33" s="187">
        <v>4967247.22</v>
      </c>
      <c r="G33" s="187"/>
      <c r="H33" s="183">
        <v>180</v>
      </c>
      <c r="I33" s="187">
        <v>1537540.58</v>
      </c>
      <c r="J33" s="187"/>
      <c r="K33" s="255">
        <v>180</v>
      </c>
      <c r="L33" s="187">
        <v>5107222.7</v>
      </c>
      <c r="M33" s="181"/>
      <c r="N33" s="233"/>
      <c r="O33" s="175"/>
      <c r="P33" s="176"/>
      <c r="Q33" s="175"/>
      <c r="R33" s="210"/>
      <c r="S33" s="175"/>
      <c r="T33" s="174"/>
    </row>
    <row r="34" spans="2:20" ht="15" customHeight="1">
      <c r="B34" s="153"/>
      <c r="C34" s="152"/>
      <c r="D34" s="149">
        <v>2023</v>
      </c>
      <c r="E34" s="183">
        <v>528</v>
      </c>
      <c r="F34" s="187">
        <v>5963514.6200000001</v>
      </c>
      <c r="G34" s="187"/>
      <c r="H34" s="183">
        <v>259</v>
      </c>
      <c r="I34" s="187">
        <v>1885451.29</v>
      </c>
      <c r="J34" s="187"/>
      <c r="K34" s="183">
        <v>296</v>
      </c>
      <c r="L34" s="187">
        <v>21844890.68</v>
      </c>
      <c r="M34" s="181"/>
      <c r="N34" s="233"/>
      <c r="O34" s="175"/>
      <c r="P34" s="176"/>
      <c r="Q34" s="175"/>
      <c r="R34" s="210"/>
      <c r="S34" s="175"/>
      <c r="T34" s="174"/>
    </row>
    <row r="35" spans="2:20" ht="8.1" customHeight="1">
      <c r="B35" s="153"/>
      <c r="C35" s="154"/>
      <c r="D35" s="149"/>
      <c r="E35" s="255"/>
      <c r="F35" s="187"/>
      <c r="G35" s="187"/>
      <c r="H35" s="183"/>
      <c r="I35" s="187"/>
      <c r="J35" s="187"/>
      <c r="K35" s="183"/>
      <c r="L35" s="187"/>
      <c r="M35" s="181"/>
      <c r="N35" s="176"/>
      <c r="O35" s="175"/>
      <c r="P35" s="176"/>
      <c r="Q35" s="175"/>
      <c r="R35" s="210"/>
      <c r="S35" s="175"/>
      <c r="T35" s="174"/>
    </row>
    <row r="36" spans="2:20" ht="15" customHeight="1">
      <c r="B36" s="151" t="s">
        <v>98</v>
      </c>
      <c r="C36" s="152"/>
      <c r="D36" s="149">
        <v>2021</v>
      </c>
      <c r="E36" s="183">
        <v>1002</v>
      </c>
      <c r="F36" s="187">
        <v>4302590.58</v>
      </c>
      <c r="G36" s="187"/>
      <c r="H36" s="183">
        <v>439</v>
      </c>
      <c r="I36" s="187">
        <v>3737114.26</v>
      </c>
      <c r="J36" s="187"/>
      <c r="K36" s="255">
        <v>231</v>
      </c>
      <c r="L36" s="187">
        <v>8498528.0199999996</v>
      </c>
      <c r="M36" s="181"/>
      <c r="N36" s="176"/>
      <c r="O36" s="175"/>
      <c r="P36" s="176"/>
      <c r="Q36" s="175"/>
      <c r="R36" s="210"/>
      <c r="S36" s="175"/>
      <c r="T36" s="174"/>
    </row>
    <row r="37" spans="2:20" ht="15" customHeight="1">
      <c r="B37" s="153"/>
      <c r="C37" s="152"/>
      <c r="D37" s="149">
        <v>2022</v>
      </c>
      <c r="E37" s="183">
        <v>751</v>
      </c>
      <c r="F37" s="187">
        <v>5849898.0499999998</v>
      </c>
      <c r="G37" s="187"/>
      <c r="H37" s="183">
        <v>336</v>
      </c>
      <c r="I37" s="187">
        <v>2518375.75</v>
      </c>
      <c r="J37" s="187"/>
      <c r="K37" s="255">
        <v>324</v>
      </c>
      <c r="L37" s="187">
        <v>8714018.9399999995</v>
      </c>
      <c r="M37" s="181"/>
      <c r="N37" s="176"/>
      <c r="O37" s="175"/>
      <c r="P37" s="176"/>
      <c r="Q37" s="175"/>
      <c r="R37" s="210"/>
      <c r="S37" s="175"/>
      <c r="T37" s="174"/>
    </row>
    <row r="38" spans="2:20" ht="15" customHeight="1">
      <c r="B38" s="153"/>
      <c r="C38" s="152"/>
      <c r="D38" s="149">
        <v>2023</v>
      </c>
      <c r="E38" s="183">
        <v>971</v>
      </c>
      <c r="F38" s="187">
        <v>9788819.9800000004</v>
      </c>
      <c r="G38" s="187"/>
      <c r="H38" s="183">
        <v>389</v>
      </c>
      <c r="I38" s="187">
        <v>2595406.81</v>
      </c>
      <c r="J38" s="187"/>
      <c r="K38" s="183">
        <v>400</v>
      </c>
      <c r="L38" s="187">
        <v>17136664.879999999</v>
      </c>
      <c r="M38" s="181"/>
      <c r="N38" s="176"/>
      <c r="O38" s="175"/>
      <c r="P38" s="176"/>
      <c r="Q38" s="175"/>
      <c r="R38" s="210"/>
      <c r="S38" s="175"/>
      <c r="T38" s="174"/>
    </row>
    <row r="39" spans="2:20" ht="8.1" customHeight="1">
      <c r="B39" s="153"/>
      <c r="C39" s="154"/>
      <c r="D39" s="149"/>
      <c r="E39" s="255"/>
      <c r="F39" s="187"/>
      <c r="G39" s="187"/>
      <c r="H39" s="183"/>
      <c r="I39" s="187"/>
      <c r="J39" s="187"/>
      <c r="K39" s="183"/>
      <c r="L39" s="187"/>
      <c r="M39" s="181"/>
      <c r="N39" s="176"/>
      <c r="O39" s="175"/>
      <c r="P39" s="176"/>
      <c r="Q39" s="175"/>
      <c r="R39" s="210"/>
      <c r="S39" s="175"/>
      <c r="T39" s="174"/>
    </row>
    <row r="40" spans="2:20" ht="15" customHeight="1">
      <c r="B40" s="151" t="s">
        <v>99</v>
      </c>
      <c r="C40" s="152"/>
      <c r="D40" s="149">
        <v>2021</v>
      </c>
      <c r="E40" s="183">
        <v>633</v>
      </c>
      <c r="F40" s="187">
        <v>4436502.3499999996</v>
      </c>
      <c r="G40" s="187"/>
      <c r="H40" s="183">
        <v>331</v>
      </c>
      <c r="I40" s="187">
        <v>3043532.7999999998</v>
      </c>
      <c r="J40" s="187"/>
      <c r="K40" s="255">
        <v>161</v>
      </c>
      <c r="L40" s="187">
        <v>7295434.8700000001</v>
      </c>
      <c r="M40" s="181"/>
      <c r="N40" s="176"/>
      <c r="O40" s="175"/>
      <c r="P40" s="176"/>
      <c r="Q40" s="175"/>
      <c r="R40" s="210"/>
      <c r="S40" s="175"/>
      <c r="T40" s="174"/>
    </row>
    <row r="41" spans="2:20" ht="15" customHeight="1">
      <c r="B41" s="153"/>
      <c r="C41" s="152"/>
      <c r="D41" s="149">
        <v>2022</v>
      </c>
      <c r="E41" s="183">
        <v>707</v>
      </c>
      <c r="F41" s="187">
        <v>7621167.8700000001</v>
      </c>
      <c r="G41" s="187"/>
      <c r="H41" s="183">
        <v>253</v>
      </c>
      <c r="I41" s="187">
        <v>3127424.92</v>
      </c>
      <c r="J41" s="187"/>
      <c r="K41" s="255">
        <v>243</v>
      </c>
      <c r="L41" s="187">
        <v>6268691.79</v>
      </c>
      <c r="M41" s="181"/>
      <c r="N41" s="176"/>
      <c r="O41" s="175"/>
      <c r="P41" s="176"/>
      <c r="Q41" s="175"/>
      <c r="R41" s="210"/>
      <c r="S41" s="175"/>
      <c r="T41" s="174"/>
    </row>
    <row r="42" spans="2:20" ht="15" customHeight="1">
      <c r="B42" s="153"/>
      <c r="C42" s="152"/>
      <c r="D42" s="149">
        <v>2023</v>
      </c>
      <c r="E42" s="183">
        <v>742</v>
      </c>
      <c r="F42" s="187">
        <v>8068363.9800000004</v>
      </c>
      <c r="G42" s="187"/>
      <c r="H42" s="183">
        <v>322</v>
      </c>
      <c r="I42" s="187">
        <v>2267573.3199999998</v>
      </c>
      <c r="J42" s="187"/>
      <c r="K42" s="183">
        <v>361</v>
      </c>
      <c r="L42" s="187">
        <v>10526574.560000001</v>
      </c>
      <c r="M42" s="178"/>
      <c r="P42" s="174"/>
      <c r="Q42" s="174"/>
      <c r="R42" s="174"/>
      <c r="S42" s="174"/>
      <c r="T42" s="174"/>
    </row>
    <row r="43" spans="2:20" ht="8.1" customHeight="1">
      <c r="B43" s="153"/>
      <c r="C43" s="148"/>
      <c r="D43" s="149"/>
      <c r="E43" s="254"/>
      <c r="F43" s="186"/>
      <c r="G43" s="186"/>
      <c r="H43" s="254"/>
      <c r="I43" s="186"/>
      <c r="J43" s="186"/>
      <c r="K43" s="254"/>
      <c r="L43" s="186"/>
      <c r="M43" s="178"/>
    </row>
    <row r="44" spans="2:20" ht="15" customHeight="1">
      <c r="B44" s="151" t="s">
        <v>100</v>
      </c>
      <c r="C44" s="152"/>
      <c r="D44" s="149">
        <v>2021</v>
      </c>
      <c r="E44" s="183">
        <v>958</v>
      </c>
      <c r="F44" s="187">
        <v>7484766.6100000003</v>
      </c>
      <c r="G44" s="187"/>
      <c r="H44" s="183">
        <v>405</v>
      </c>
      <c r="I44" s="187">
        <v>4640735.74</v>
      </c>
      <c r="J44" s="187"/>
      <c r="K44" s="255">
        <v>402</v>
      </c>
      <c r="L44" s="187">
        <v>42194862.07</v>
      </c>
      <c r="M44" s="178"/>
    </row>
    <row r="45" spans="2:20" ht="15" customHeight="1">
      <c r="B45" s="151"/>
      <c r="C45" s="152"/>
      <c r="D45" s="149">
        <v>2022</v>
      </c>
      <c r="E45" s="183">
        <v>839</v>
      </c>
      <c r="F45" s="187">
        <v>14731560.17</v>
      </c>
      <c r="G45" s="187"/>
      <c r="H45" s="183">
        <v>261</v>
      </c>
      <c r="I45" s="187">
        <v>2748468.74</v>
      </c>
      <c r="J45" s="187"/>
      <c r="K45" s="255">
        <v>277</v>
      </c>
      <c r="L45" s="187">
        <v>13085002.550000001</v>
      </c>
      <c r="M45" s="178"/>
    </row>
    <row r="46" spans="2:20" ht="15" customHeight="1">
      <c r="B46" s="151"/>
      <c r="C46" s="152"/>
      <c r="D46" s="149">
        <v>2023</v>
      </c>
      <c r="E46" s="183">
        <v>1017</v>
      </c>
      <c r="F46" s="187">
        <v>16707838.02</v>
      </c>
      <c r="G46" s="187"/>
      <c r="H46" s="183">
        <v>376</v>
      </c>
      <c r="I46" s="187">
        <v>3753189.29</v>
      </c>
      <c r="J46" s="187"/>
      <c r="K46" s="183">
        <v>462</v>
      </c>
      <c r="L46" s="187">
        <v>39352347.57</v>
      </c>
      <c r="M46" s="178"/>
    </row>
    <row r="47" spans="2:20" ht="8.1" customHeight="1">
      <c r="B47" s="151"/>
      <c r="C47" s="154"/>
      <c r="D47" s="149"/>
      <c r="E47" s="254"/>
      <c r="F47" s="186"/>
      <c r="G47" s="186"/>
      <c r="H47" s="254"/>
      <c r="I47" s="186"/>
      <c r="J47" s="186"/>
      <c r="K47" s="254"/>
      <c r="L47" s="186"/>
      <c r="M47" s="178"/>
    </row>
    <row r="48" spans="2:20" ht="15" customHeight="1">
      <c r="B48" s="151" t="s">
        <v>101</v>
      </c>
      <c r="C48" s="152"/>
      <c r="D48" s="149">
        <v>2021</v>
      </c>
      <c r="E48" s="183">
        <v>657</v>
      </c>
      <c r="F48" s="187">
        <v>4928469.33</v>
      </c>
      <c r="G48" s="187"/>
      <c r="H48" s="183">
        <v>287</v>
      </c>
      <c r="I48" s="187">
        <v>3223202.97</v>
      </c>
      <c r="J48" s="187"/>
      <c r="K48" s="255">
        <v>199</v>
      </c>
      <c r="L48" s="187">
        <v>13420940.07</v>
      </c>
      <c r="M48" s="178"/>
    </row>
    <row r="49" spans="2:15" ht="15" customHeight="1">
      <c r="B49" s="153"/>
      <c r="C49" s="152"/>
      <c r="D49" s="149">
        <v>2022</v>
      </c>
      <c r="E49" s="183">
        <v>612</v>
      </c>
      <c r="F49" s="187">
        <v>8236097.6500000004</v>
      </c>
      <c r="G49" s="187"/>
      <c r="H49" s="183">
        <v>200</v>
      </c>
      <c r="I49" s="187">
        <v>2214339.66</v>
      </c>
      <c r="J49" s="187"/>
      <c r="K49" s="255">
        <v>199</v>
      </c>
      <c r="L49" s="187">
        <v>9318845.3599999994</v>
      </c>
      <c r="M49" s="178"/>
    </row>
    <row r="50" spans="2:15" ht="15" customHeight="1">
      <c r="B50" s="153"/>
      <c r="C50" s="152"/>
      <c r="D50" s="149">
        <v>2023</v>
      </c>
      <c r="E50" s="183">
        <v>750</v>
      </c>
      <c r="F50" s="187">
        <v>9452105.0800000001</v>
      </c>
      <c r="G50" s="187"/>
      <c r="H50" s="183">
        <v>320</v>
      </c>
      <c r="I50" s="187">
        <v>3018670</v>
      </c>
      <c r="J50" s="187"/>
      <c r="K50" s="183">
        <v>386</v>
      </c>
      <c r="L50" s="187">
        <v>20470965.359999999</v>
      </c>
      <c r="M50" s="178"/>
    </row>
    <row r="51" spans="2:15" ht="8.1" customHeight="1">
      <c r="B51" s="153"/>
      <c r="C51" s="138"/>
      <c r="D51" s="149"/>
      <c r="E51" s="254"/>
      <c r="F51" s="186"/>
      <c r="G51" s="186"/>
      <c r="H51" s="256"/>
      <c r="I51" s="186"/>
      <c r="J51" s="186"/>
      <c r="K51" s="254"/>
      <c r="L51" s="186"/>
      <c r="M51" s="178"/>
    </row>
    <row r="52" spans="2:15" ht="15" customHeight="1">
      <c r="B52" s="151" t="s">
        <v>102</v>
      </c>
      <c r="C52" s="152"/>
      <c r="D52" s="149">
        <v>2021</v>
      </c>
      <c r="E52" s="183">
        <v>151</v>
      </c>
      <c r="F52" s="187">
        <v>417945.41</v>
      </c>
      <c r="G52" s="187"/>
      <c r="H52" s="183">
        <v>49</v>
      </c>
      <c r="I52" s="187">
        <v>401416.81</v>
      </c>
      <c r="J52" s="187"/>
      <c r="K52" s="255">
        <v>40</v>
      </c>
      <c r="L52" s="187">
        <v>604392.44999999995</v>
      </c>
      <c r="M52" s="178"/>
    </row>
    <row r="53" spans="2:15" ht="15" customHeight="1">
      <c r="B53" s="153"/>
      <c r="C53" s="152"/>
      <c r="D53" s="149">
        <v>2022</v>
      </c>
      <c r="E53" s="183">
        <v>147</v>
      </c>
      <c r="F53" s="187">
        <v>1392777.04</v>
      </c>
      <c r="G53" s="187"/>
      <c r="H53" s="183">
        <v>53</v>
      </c>
      <c r="I53" s="187">
        <v>324186.17</v>
      </c>
      <c r="J53" s="187"/>
      <c r="K53" s="255">
        <v>48</v>
      </c>
      <c r="L53" s="187">
        <v>629138.03</v>
      </c>
      <c r="M53" s="178"/>
    </row>
    <row r="54" spans="2:15" ht="15" customHeight="1">
      <c r="B54" s="153"/>
      <c r="C54" s="152"/>
      <c r="D54" s="149">
        <v>2023</v>
      </c>
      <c r="E54" s="183">
        <v>115</v>
      </c>
      <c r="F54" s="187">
        <v>850620.8</v>
      </c>
      <c r="G54" s="187"/>
      <c r="H54" s="183">
        <v>62</v>
      </c>
      <c r="I54" s="187">
        <v>530395.24</v>
      </c>
      <c r="J54" s="187"/>
      <c r="K54" s="183">
        <v>62</v>
      </c>
      <c r="L54" s="187">
        <v>2049441.94</v>
      </c>
      <c r="M54" s="178"/>
    </row>
    <row r="55" spans="2:15" ht="8.1" customHeight="1">
      <c r="B55" s="153"/>
      <c r="C55" s="154"/>
      <c r="D55" s="149"/>
      <c r="E55" s="254"/>
      <c r="F55" s="186"/>
      <c r="G55" s="186"/>
      <c r="H55" s="254"/>
      <c r="I55" s="186"/>
      <c r="J55" s="186"/>
      <c r="K55" s="254"/>
      <c r="L55" s="186"/>
      <c r="M55" s="178"/>
    </row>
    <row r="56" spans="2:15" ht="15" customHeight="1">
      <c r="B56" s="151" t="s">
        <v>103</v>
      </c>
      <c r="C56" s="152"/>
      <c r="D56" s="149">
        <v>2021</v>
      </c>
      <c r="E56" s="183">
        <v>1202</v>
      </c>
      <c r="F56" s="187">
        <v>12409164.85</v>
      </c>
      <c r="G56" s="187"/>
      <c r="H56" s="183">
        <v>649</v>
      </c>
      <c r="I56" s="187">
        <v>8251377.6100000003</v>
      </c>
      <c r="J56" s="187"/>
      <c r="K56" s="255">
        <v>475</v>
      </c>
      <c r="L56" s="187">
        <v>59808621.689999998</v>
      </c>
      <c r="M56" s="178"/>
    </row>
    <row r="57" spans="2:15" ht="15" customHeight="1">
      <c r="B57" s="153"/>
      <c r="C57" s="152"/>
      <c r="D57" s="149">
        <v>2022</v>
      </c>
      <c r="E57" s="183">
        <v>1115</v>
      </c>
      <c r="F57" s="187">
        <v>25054325.949999999</v>
      </c>
      <c r="G57" s="187"/>
      <c r="H57" s="183">
        <v>304</v>
      </c>
      <c r="I57" s="187">
        <v>6660116.29</v>
      </c>
      <c r="J57" s="187"/>
      <c r="K57" s="255">
        <v>408</v>
      </c>
      <c r="L57" s="187">
        <v>81337395.189999998</v>
      </c>
      <c r="M57" s="178"/>
    </row>
    <row r="58" spans="2:15" ht="15" customHeight="1">
      <c r="B58" s="153"/>
      <c r="C58" s="152"/>
      <c r="D58" s="149">
        <v>2023</v>
      </c>
      <c r="E58" s="183">
        <v>2156</v>
      </c>
      <c r="F58" s="187">
        <v>65077024.189999998</v>
      </c>
      <c r="G58" s="187"/>
      <c r="H58" s="183">
        <v>577</v>
      </c>
      <c r="I58" s="187">
        <v>7667114.0999999996</v>
      </c>
      <c r="J58" s="187"/>
      <c r="K58" s="183">
        <v>1018</v>
      </c>
      <c r="L58" s="187">
        <v>149521120.5</v>
      </c>
      <c r="M58" s="178"/>
    </row>
    <row r="59" spans="2:15" ht="8.1" customHeight="1">
      <c r="B59" s="153"/>
      <c r="C59" s="148"/>
      <c r="D59" s="149"/>
      <c r="E59" s="254"/>
      <c r="F59" s="186"/>
      <c r="G59" s="186"/>
      <c r="H59" s="254"/>
      <c r="I59" s="186"/>
      <c r="J59" s="186"/>
      <c r="K59" s="254"/>
      <c r="L59" s="186"/>
      <c r="M59" s="178"/>
    </row>
    <row r="60" spans="2:15" ht="15" customHeight="1">
      <c r="B60" s="151" t="s">
        <v>104</v>
      </c>
      <c r="C60" s="152"/>
      <c r="D60" s="149">
        <v>2021</v>
      </c>
      <c r="E60" s="183">
        <v>472</v>
      </c>
      <c r="F60" s="187">
        <v>2164802.2000000002</v>
      </c>
      <c r="G60" s="187"/>
      <c r="H60" s="183">
        <v>185</v>
      </c>
      <c r="I60" s="187">
        <v>1315681.93</v>
      </c>
      <c r="J60" s="187"/>
      <c r="K60" s="255">
        <v>106</v>
      </c>
      <c r="L60" s="187">
        <v>2920146.31</v>
      </c>
      <c r="M60" s="178"/>
    </row>
    <row r="61" spans="2:15" ht="15" customHeight="1">
      <c r="B61" s="153"/>
      <c r="C61" s="152"/>
      <c r="D61" s="149">
        <v>2022</v>
      </c>
      <c r="E61" s="183">
        <v>396</v>
      </c>
      <c r="F61" s="187">
        <v>4336149.91</v>
      </c>
      <c r="G61" s="187"/>
      <c r="H61" s="183">
        <v>154</v>
      </c>
      <c r="I61" s="187">
        <v>1290693.8700000001</v>
      </c>
      <c r="J61" s="187"/>
      <c r="K61" s="255">
        <v>178</v>
      </c>
      <c r="L61" s="187">
        <v>3493315.28</v>
      </c>
      <c r="M61" s="178"/>
    </row>
    <row r="62" spans="2:15" ht="15" customHeight="1">
      <c r="B62" s="153"/>
      <c r="C62" s="152"/>
      <c r="D62" s="149">
        <v>2023</v>
      </c>
      <c r="E62" s="183">
        <v>367</v>
      </c>
      <c r="F62" s="187">
        <v>4137239.1</v>
      </c>
      <c r="G62" s="187"/>
      <c r="H62" s="183">
        <v>99</v>
      </c>
      <c r="I62" s="187">
        <v>800739.6</v>
      </c>
      <c r="J62" s="187"/>
      <c r="K62" s="183">
        <v>183</v>
      </c>
      <c r="L62" s="187">
        <v>7261239.4299999997</v>
      </c>
      <c r="M62" s="180"/>
      <c r="N62" s="173"/>
      <c r="O62" s="173"/>
    </row>
    <row r="63" spans="2:15" ht="8.1" customHeight="1">
      <c r="B63" s="153"/>
      <c r="C63" s="154"/>
      <c r="D63" s="149"/>
      <c r="E63" s="254"/>
      <c r="F63" s="185"/>
      <c r="G63" s="185"/>
      <c r="H63" s="254"/>
      <c r="I63" s="186"/>
      <c r="J63" s="186"/>
      <c r="K63" s="254"/>
      <c r="L63" s="186"/>
      <c r="M63" s="178"/>
    </row>
    <row r="64" spans="2:15" ht="15" customHeight="1">
      <c r="B64" s="151" t="s">
        <v>108</v>
      </c>
      <c r="C64" s="152"/>
      <c r="D64" s="149">
        <v>2021</v>
      </c>
      <c r="E64" s="183">
        <v>437</v>
      </c>
      <c r="F64" s="187">
        <v>3814883.59</v>
      </c>
      <c r="G64" s="187"/>
      <c r="H64" s="183">
        <v>220</v>
      </c>
      <c r="I64" s="187">
        <v>3213542.12</v>
      </c>
      <c r="J64" s="187"/>
      <c r="K64" s="255">
        <v>106</v>
      </c>
      <c r="L64" s="187">
        <v>7818231.6900000004</v>
      </c>
      <c r="M64" s="178"/>
    </row>
    <row r="65" spans="1:14" ht="15" customHeight="1">
      <c r="B65" s="153"/>
      <c r="C65" s="152"/>
      <c r="D65" s="149">
        <v>2022</v>
      </c>
      <c r="E65" s="183">
        <v>417</v>
      </c>
      <c r="F65" s="187">
        <v>6783454.2699999996</v>
      </c>
      <c r="G65" s="187"/>
      <c r="H65" s="183">
        <v>136</v>
      </c>
      <c r="I65" s="187">
        <v>2373913.66</v>
      </c>
      <c r="J65" s="187"/>
      <c r="K65" s="255">
        <v>167</v>
      </c>
      <c r="L65" s="187">
        <v>8060317.8899999997</v>
      </c>
      <c r="M65" s="178"/>
    </row>
    <row r="66" spans="1:14" ht="15" customHeight="1">
      <c r="B66" s="153"/>
      <c r="C66" s="152"/>
      <c r="D66" s="149">
        <v>2023</v>
      </c>
      <c r="E66" s="183">
        <v>683</v>
      </c>
      <c r="F66" s="187">
        <v>7592289.6399999997</v>
      </c>
      <c r="G66" s="187"/>
      <c r="H66" s="183">
        <v>199</v>
      </c>
      <c r="I66" s="187">
        <v>1819475.87</v>
      </c>
      <c r="J66" s="187"/>
      <c r="K66" s="183">
        <v>246</v>
      </c>
      <c r="L66" s="187">
        <v>18509476.190000001</v>
      </c>
      <c r="M66" s="178"/>
    </row>
    <row r="67" spans="1:14" ht="8.1" customHeight="1">
      <c r="B67" s="155"/>
      <c r="C67" s="145"/>
      <c r="D67" s="149"/>
      <c r="E67" s="254"/>
      <c r="F67" s="186"/>
      <c r="G67" s="186"/>
      <c r="H67" s="254"/>
      <c r="I67" s="186"/>
      <c r="J67" s="186"/>
      <c r="K67" s="254"/>
      <c r="L67" s="186"/>
      <c r="M67" s="178"/>
    </row>
    <row r="68" spans="1:14" ht="15" customHeight="1">
      <c r="B68" s="151" t="s">
        <v>105</v>
      </c>
      <c r="C68" s="152"/>
      <c r="D68" s="149">
        <v>2021</v>
      </c>
      <c r="E68" s="183">
        <v>786</v>
      </c>
      <c r="F68" s="187">
        <v>4629948.8899999997</v>
      </c>
      <c r="G68" s="187"/>
      <c r="H68" s="183">
        <v>436</v>
      </c>
      <c r="I68" s="187">
        <v>3889564.63</v>
      </c>
      <c r="J68" s="187"/>
      <c r="K68" s="255">
        <v>136</v>
      </c>
      <c r="L68" s="187">
        <v>8020589.9299999997</v>
      </c>
      <c r="M68" s="178"/>
    </row>
    <row r="69" spans="1:14" ht="15" customHeight="1">
      <c r="B69" s="153"/>
      <c r="C69" s="152"/>
      <c r="D69" s="149">
        <v>2022</v>
      </c>
      <c r="E69" s="183">
        <v>745</v>
      </c>
      <c r="F69" s="187">
        <v>8245941.1600000001</v>
      </c>
      <c r="G69" s="187"/>
      <c r="H69" s="183">
        <v>232</v>
      </c>
      <c r="I69" s="187">
        <v>2588853.34</v>
      </c>
      <c r="J69" s="187"/>
      <c r="K69" s="255">
        <v>144</v>
      </c>
      <c r="L69" s="187">
        <v>6763711.0199999996</v>
      </c>
      <c r="M69" s="178"/>
    </row>
    <row r="70" spans="1:14" ht="15" customHeight="1">
      <c r="B70" s="153"/>
      <c r="C70" s="152"/>
      <c r="D70" s="149">
        <v>2023</v>
      </c>
      <c r="E70" s="183">
        <v>908</v>
      </c>
      <c r="F70" s="187">
        <v>12541095.310000001</v>
      </c>
      <c r="G70" s="187"/>
      <c r="H70" s="183">
        <v>309</v>
      </c>
      <c r="I70" s="187">
        <v>2509323.9900000002</v>
      </c>
      <c r="J70" s="187"/>
      <c r="K70" s="183">
        <v>253</v>
      </c>
      <c r="L70" s="187">
        <v>23659967.629999999</v>
      </c>
      <c r="M70" s="178"/>
    </row>
    <row r="71" spans="1:14" ht="8.1" customHeight="1">
      <c r="B71" s="153"/>
      <c r="C71" s="151"/>
      <c r="D71" s="149"/>
      <c r="E71" s="254"/>
      <c r="F71" s="185"/>
      <c r="G71" s="185"/>
      <c r="H71" s="254"/>
      <c r="I71" s="186"/>
      <c r="J71" s="186"/>
      <c r="K71" s="254"/>
      <c r="L71" s="186"/>
      <c r="M71" s="178"/>
    </row>
    <row r="72" spans="1:14" ht="15" customHeight="1">
      <c r="B72" s="151" t="s">
        <v>109</v>
      </c>
      <c r="C72" s="152"/>
      <c r="D72" s="149">
        <v>2021</v>
      </c>
      <c r="E72" s="183">
        <v>1068</v>
      </c>
      <c r="F72" s="187">
        <v>10881906.74</v>
      </c>
      <c r="G72" s="187"/>
      <c r="H72" s="183">
        <v>627</v>
      </c>
      <c r="I72" s="187">
        <v>6258313.6799999997</v>
      </c>
      <c r="J72" s="187"/>
      <c r="K72" s="255">
        <v>483</v>
      </c>
      <c r="L72" s="187">
        <v>62784653.630000003</v>
      </c>
      <c r="M72" s="178"/>
    </row>
    <row r="73" spans="1:14" ht="15" customHeight="1">
      <c r="B73" s="153"/>
      <c r="C73" s="152"/>
      <c r="D73" s="149">
        <v>2022</v>
      </c>
      <c r="E73" s="183">
        <v>1328</v>
      </c>
      <c r="F73" s="187">
        <v>24715931.57</v>
      </c>
      <c r="G73" s="187"/>
      <c r="H73" s="183">
        <v>441</v>
      </c>
      <c r="I73" s="187">
        <v>5099929.45</v>
      </c>
      <c r="J73" s="187"/>
      <c r="K73" s="255">
        <v>427</v>
      </c>
      <c r="L73" s="187">
        <v>44815087.5</v>
      </c>
      <c r="M73" s="178"/>
    </row>
    <row r="74" spans="1:14" ht="15" customHeight="1">
      <c r="B74" s="151"/>
      <c r="C74" s="152"/>
      <c r="D74" s="149">
        <v>2023</v>
      </c>
      <c r="E74" s="183">
        <v>1246</v>
      </c>
      <c r="F74" s="187">
        <v>33278648.75</v>
      </c>
      <c r="G74" s="187"/>
      <c r="H74" s="183">
        <v>464</v>
      </c>
      <c r="I74" s="187">
        <v>4786885.8899999997</v>
      </c>
      <c r="J74" s="187"/>
      <c r="K74" s="183">
        <v>635</v>
      </c>
      <c r="L74" s="187">
        <v>91307085.790000007</v>
      </c>
      <c r="M74" s="178"/>
    </row>
    <row r="75" spans="1:14" ht="8.1" customHeight="1">
      <c r="B75" s="151"/>
      <c r="C75" s="153"/>
      <c r="D75" s="149"/>
      <c r="E75" s="178"/>
      <c r="F75" s="178"/>
      <c r="G75" s="178"/>
      <c r="H75" s="178"/>
      <c r="I75" s="178"/>
      <c r="J75" s="178"/>
      <c r="K75" s="178"/>
      <c r="L75" s="178"/>
      <c r="M75" s="178"/>
    </row>
    <row r="76" spans="1:14" ht="8.1" customHeight="1" thickBot="1">
      <c r="A76" s="156"/>
      <c r="B76" s="156"/>
      <c r="C76" s="156"/>
      <c r="D76" s="157"/>
      <c r="E76" s="156"/>
      <c r="F76" s="157"/>
      <c r="G76" s="158"/>
      <c r="H76" s="158"/>
      <c r="I76" s="158"/>
      <c r="J76" s="158"/>
      <c r="K76" s="158"/>
      <c r="L76" s="158"/>
      <c r="M76" s="158"/>
      <c r="N76" s="193"/>
    </row>
    <row r="77" spans="1:14" ht="15" customHeight="1">
      <c r="B77" s="212"/>
      <c r="C77" s="213"/>
      <c r="D77" s="214"/>
      <c r="E77" s="116"/>
      <c r="F77" s="116"/>
      <c r="G77" s="177"/>
      <c r="H77" s="116"/>
      <c r="I77" s="116"/>
      <c r="J77" s="116"/>
      <c r="K77" s="116"/>
      <c r="L77" s="116"/>
      <c r="M77" s="238" t="s">
        <v>19</v>
      </c>
    </row>
    <row r="78" spans="1:14" ht="15" customHeight="1">
      <c r="B78" s="116"/>
      <c r="C78" s="116"/>
      <c r="D78" s="217"/>
      <c r="E78" s="116"/>
      <c r="F78" s="116"/>
      <c r="G78" s="177"/>
      <c r="H78" s="116"/>
      <c r="I78" s="116"/>
      <c r="J78" s="116"/>
      <c r="K78" s="116"/>
      <c r="L78" s="116"/>
      <c r="M78" s="239" t="s">
        <v>20</v>
      </c>
    </row>
    <row r="79" spans="1:14" ht="15" customHeight="1">
      <c r="B79" s="138"/>
      <c r="C79" s="138"/>
      <c r="D79" s="139"/>
      <c r="E79" s="116"/>
      <c r="F79" s="116"/>
      <c r="G79" s="177"/>
      <c r="H79" s="116"/>
      <c r="I79" s="116"/>
      <c r="J79" s="116"/>
      <c r="K79" s="116"/>
      <c r="L79" s="116"/>
      <c r="M79" s="177"/>
    </row>
    <row r="80" spans="1:14" ht="15" customHeight="1">
      <c r="B80" s="138"/>
      <c r="C80" s="138"/>
      <c r="D80" s="139"/>
      <c r="E80" s="116"/>
      <c r="F80" s="116"/>
      <c r="G80" s="177"/>
      <c r="H80" s="116"/>
      <c r="I80" s="116"/>
      <c r="J80" s="116"/>
      <c r="K80" s="116"/>
      <c r="L80" s="116"/>
      <c r="M80" s="177"/>
    </row>
    <row r="81" spans="2:13" ht="15" customHeight="1">
      <c r="B81" s="138"/>
      <c r="C81" s="138"/>
      <c r="D81" s="139"/>
      <c r="E81" s="116"/>
      <c r="F81" s="116"/>
      <c r="G81" s="177"/>
      <c r="H81" s="116"/>
      <c r="I81" s="116"/>
      <c r="J81" s="116"/>
      <c r="K81" s="116"/>
      <c r="L81" s="116"/>
      <c r="M81" s="177"/>
    </row>
    <row r="82" spans="2:13" ht="15" customHeight="1">
      <c r="B82" s="138"/>
      <c r="C82" s="138"/>
      <c r="D82" s="139"/>
      <c r="E82" s="116"/>
      <c r="F82" s="116"/>
      <c r="G82" s="177"/>
      <c r="H82" s="116"/>
      <c r="I82" s="116"/>
      <c r="J82" s="116"/>
      <c r="K82" s="116"/>
      <c r="L82" s="116"/>
      <c r="M82" s="177"/>
    </row>
    <row r="83" spans="2:13" ht="15" customHeight="1">
      <c r="B83" s="138"/>
      <c r="C83" s="138"/>
      <c r="D83" s="139"/>
      <c r="E83" s="116"/>
      <c r="F83" s="116"/>
      <c r="G83" s="177"/>
      <c r="H83" s="116"/>
      <c r="I83" s="116"/>
      <c r="J83" s="116"/>
      <c r="K83" s="116"/>
      <c r="L83" s="116"/>
      <c r="M83" s="177"/>
    </row>
    <row r="84" spans="2:13" ht="15" customHeight="1">
      <c r="B84" s="138"/>
      <c r="C84" s="138"/>
      <c r="D84" s="139"/>
      <c r="E84" s="116"/>
      <c r="F84" s="116"/>
      <c r="G84" s="177"/>
      <c r="H84" s="116"/>
      <c r="I84" s="116"/>
      <c r="J84" s="116"/>
      <c r="K84" s="116"/>
      <c r="L84" s="116"/>
      <c r="M84" s="177"/>
    </row>
    <row r="85" spans="2:13" ht="15" customHeight="1">
      <c r="B85" s="138"/>
      <c r="C85" s="138"/>
      <c r="D85" s="139"/>
      <c r="E85" s="116"/>
      <c r="F85" s="116"/>
      <c r="G85" s="177"/>
      <c r="H85" s="116"/>
      <c r="I85" s="116"/>
      <c r="J85" s="116"/>
      <c r="K85" s="116"/>
      <c r="L85" s="116"/>
      <c r="M85" s="177"/>
    </row>
    <row r="86" spans="2:13" ht="15" customHeight="1">
      <c r="B86" s="138"/>
      <c r="C86" s="138"/>
      <c r="D86" s="139"/>
    </row>
    <row r="87" spans="2:13" ht="15" customHeight="1">
      <c r="B87" s="138"/>
      <c r="C87" s="138"/>
      <c r="D87" s="139"/>
    </row>
    <row r="88" spans="2:13" ht="15" customHeight="1">
      <c r="B88" s="138"/>
      <c r="C88" s="138"/>
      <c r="D88" s="139"/>
    </row>
    <row r="89" spans="2:13" ht="15" customHeight="1">
      <c r="B89" s="138"/>
      <c r="C89" s="138"/>
      <c r="D89" s="139"/>
    </row>
    <row r="90" spans="2:13" ht="15" customHeight="1">
      <c r="B90" s="138"/>
      <c r="C90" s="138"/>
      <c r="D90" s="139"/>
    </row>
    <row r="91" spans="2:13" ht="15" customHeight="1">
      <c r="B91" s="138"/>
      <c r="C91" s="138"/>
      <c r="D91" s="139"/>
    </row>
    <row r="92" spans="2:13" ht="15" customHeight="1">
      <c r="B92" s="138"/>
      <c r="C92" s="138"/>
      <c r="D92" s="139"/>
    </row>
    <row r="93" spans="2:13" ht="15" customHeight="1">
      <c r="B93" s="138"/>
      <c r="C93" s="138"/>
      <c r="D93" s="139"/>
    </row>
    <row r="94" spans="2:13" ht="15" customHeight="1">
      <c r="B94" s="138"/>
      <c r="C94" s="138"/>
      <c r="D94" s="139"/>
    </row>
    <row r="95" spans="2:13" ht="15" customHeight="1">
      <c r="B95" s="138"/>
      <c r="C95" s="138"/>
      <c r="D95" s="139"/>
    </row>
    <row r="96" spans="2:13" ht="15" customHeight="1">
      <c r="B96" s="138"/>
      <c r="C96" s="138"/>
      <c r="D96" s="139"/>
    </row>
    <row r="97" spans="2:4" ht="15" customHeight="1">
      <c r="B97" s="138"/>
      <c r="C97" s="138"/>
      <c r="D97" s="139"/>
    </row>
    <row r="98" spans="2:4" ht="15" customHeight="1">
      <c r="B98" s="138"/>
      <c r="C98" s="138"/>
      <c r="D98" s="139"/>
    </row>
    <row r="99" spans="2:4" ht="15" customHeight="1">
      <c r="B99" s="138"/>
      <c r="C99" s="138"/>
      <c r="D99" s="139"/>
    </row>
    <row r="100" spans="2:4" ht="15" customHeight="1">
      <c r="B100" s="138"/>
      <c r="C100" s="138"/>
      <c r="D100" s="139"/>
    </row>
    <row r="101" spans="2:4" ht="15" customHeight="1">
      <c r="B101" s="138"/>
      <c r="C101" s="138"/>
      <c r="D101" s="139"/>
    </row>
    <row r="102" spans="2:4" ht="15" customHeight="1">
      <c r="B102" s="138"/>
      <c r="C102" s="138"/>
      <c r="D102" s="139"/>
    </row>
    <row r="103" spans="2:4" ht="15" customHeight="1">
      <c r="B103" s="138"/>
      <c r="C103" s="138"/>
      <c r="D103" s="139"/>
    </row>
    <row r="104" spans="2:4" ht="15" customHeight="1">
      <c r="B104" s="138"/>
      <c r="C104" s="138"/>
      <c r="D104" s="139"/>
    </row>
    <row r="105" spans="2:4" ht="15" customHeight="1">
      <c r="B105" s="138"/>
      <c r="C105" s="138"/>
      <c r="D105" s="139"/>
    </row>
    <row r="106" spans="2:4" ht="15" customHeight="1">
      <c r="B106" s="138"/>
      <c r="C106" s="138"/>
      <c r="D106" s="139"/>
    </row>
    <row r="107" spans="2:4" ht="15" customHeight="1">
      <c r="B107" s="138"/>
      <c r="C107" s="138"/>
      <c r="D107" s="139"/>
    </row>
    <row r="108" spans="2:4" ht="15" customHeight="1">
      <c r="B108" s="138"/>
      <c r="C108" s="138"/>
      <c r="D108" s="139"/>
    </row>
    <row r="109" spans="2:4" ht="15" customHeight="1">
      <c r="B109" s="138"/>
      <c r="C109" s="138"/>
      <c r="D109" s="139"/>
    </row>
    <row r="110" spans="2:4" ht="15" customHeight="1">
      <c r="B110" s="138"/>
      <c r="C110" s="138"/>
      <c r="D110" s="139"/>
    </row>
    <row r="111" spans="2:4" ht="15" customHeight="1">
      <c r="B111" s="138"/>
      <c r="C111" s="138"/>
      <c r="D111" s="139"/>
    </row>
    <row r="112" spans="2:4" ht="15" customHeight="1">
      <c r="B112" s="138"/>
      <c r="C112" s="138"/>
      <c r="D112" s="139"/>
    </row>
    <row r="113" spans="2:4" ht="15" customHeight="1">
      <c r="B113" s="138"/>
      <c r="C113" s="138"/>
      <c r="D113" s="139"/>
    </row>
    <row r="114" spans="2:4" ht="15" customHeight="1">
      <c r="B114" s="138"/>
      <c r="C114" s="138"/>
      <c r="D114" s="139"/>
    </row>
    <row r="115" spans="2:4" ht="15" customHeight="1">
      <c r="B115" s="138"/>
      <c r="C115" s="138"/>
      <c r="D115" s="139"/>
    </row>
    <row r="116" spans="2:4" ht="15" customHeight="1">
      <c r="B116" s="138"/>
      <c r="C116" s="138"/>
      <c r="D116" s="139"/>
    </row>
    <row r="117" spans="2:4" ht="15" customHeight="1">
      <c r="B117" s="138"/>
      <c r="C117" s="138"/>
      <c r="D117" s="139"/>
    </row>
    <row r="118" spans="2:4" ht="15" customHeight="1">
      <c r="B118" s="138"/>
      <c r="C118" s="138"/>
      <c r="D118" s="139"/>
    </row>
    <row r="119" spans="2:4" ht="15" customHeight="1">
      <c r="B119" s="138"/>
      <c r="C119" s="138"/>
      <c r="D119" s="139"/>
    </row>
    <row r="120" spans="2:4" ht="15" customHeight="1">
      <c r="B120" s="138"/>
      <c r="C120" s="138"/>
      <c r="D120" s="139"/>
    </row>
    <row r="121" spans="2:4" ht="15" customHeight="1">
      <c r="B121" s="138"/>
      <c r="C121" s="138"/>
      <c r="D121" s="139"/>
    </row>
    <row r="122" spans="2:4" ht="15" customHeight="1">
      <c r="B122" s="138"/>
      <c r="C122" s="138"/>
      <c r="D122" s="139"/>
    </row>
    <row r="123" spans="2:4" ht="15" customHeight="1">
      <c r="B123" s="138"/>
      <c r="C123" s="138"/>
      <c r="D123" s="139"/>
    </row>
    <row r="124" spans="2:4" ht="15" customHeight="1">
      <c r="B124" s="138"/>
      <c r="C124" s="138"/>
      <c r="D124" s="139"/>
    </row>
    <row r="125" spans="2:4" ht="15" customHeight="1">
      <c r="B125" s="138"/>
      <c r="C125" s="138"/>
      <c r="D125" s="139"/>
    </row>
    <row r="126" spans="2:4" ht="15" customHeight="1">
      <c r="B126" s="138"/>
      <c r="C126" s="138"/>
      <c r="D126" s="139"/>
    </row>
    <row r="127" spans="2:4" ht="15" customHeight="1">
      <c r="B127" s="138"/>
      <c r="C127" s="138"/>
      <c r="D127" s="139"/>
    </row>
    <row r="128" spans="2:4" ht="15" customHeight="1">
      <c r="B128" s="138"/>
      <c r="C128" s="138"/>
      <c r="D128" s="139"/>
    </row>
    <row r="129" spans="2:4" ht="15" customHeight="1">
      <c r="B129" s="138"/>
      <c r="C129" s="138"/>
      <c r="D129" s="139"/>
    </row>
    <row r="130" spans="2:4" ht="15" customHeight="1">
      <c r="B130" s="138"/>
      <c r="C130" s="138"/>
      <c r="D130" s="139"/>
    </row>
    <row r="131" spans="2:4" ht="15" customHeight="1">
      <c r="B131" s="138"/>
      <c r="C131" s="138"/>
      <c r="D131" s="139"/>
    </row>
    <row r="132" spans="2:4" ht="15" customHeight="1">
      <c r="B132" s="138"/>
      <c r="C132" s="138"/>
      <c r="D132" s="139"/>
    </row>
    <row r="133" spans="2:4" ht="15" customHeight="1">
      <c r="B133" s="138"/>
      <c r="C133" s="138"/>
      <c r="D133" s="139"/>
    </row>
    <row r="134" spans="2:4" ht="15" customHeight="1">
      <c r="B134" s="138"/>
      <c r="C134" s="138"/>
      <c r="D134" s="139"/>
    </row>
    <row r="135" spans="2:4" ht="15" customHeight="1">
      <c r="B135" s="138"/>
      <c r="C135" s="138"/>
      <c r="D135" s="139"/>
    </row>
    <row r="136" spans="2:4" ht="15" customHeight="1">
      <c r="B136" s="138"/>
      <c r="C136" s="138"/>
      <c r="D136" s="139"/>
    </row>
    <row r="137" spans="2:4" ht="15" customHeight="1">
      <c r="B137" s="138"/>
      <c r="C137" s="138"/>
      <c r="D137" s="139"/>
    </row>
    <row r="138" spans="2:4" ht="15" customHeight="1">
      <c r="B138" s="138"/>
      <c r="C138" s="138"/>
      <c r="D138" s="139"/>
    </row>
    <row r="139" spans="2:4" ht="15" customHeight="1">
      <c r="B139" s="138"/>
      <c r="C139" s="138"/>
      <c r="D139" s="139"/>
    </row>
    <row r="140" spans="2:4" ht="15" customHeight="1">
      <c r="B140" s="138"/>
      <c r="C140" s="138"/>
      <c r="D140" s="139"/>
    </row>
    <row r="141" spans="2:4" ht="15" customHeight="1">
      <c r="B141" s="138"/>
      <c r="C141" s="138"/>
      <c r="D141" s="139"/>
    </row>
    <row r="142" spans="2:4" ht="15" customHeight="1">
      <c r="B142" s="138"/>
      <c r="C142" s="138"/>
      <c r="D142" s="139"/>
    </row>
    <row r="143" spans="2:4" ht="15" customHeight="1">
      <c r="B143" s="138"/>
      <c r="C143" s="138"/>
      <c r="D143" s="139"/>
    </row>
    <row r="144" spans="2:4" ht="15" customHeight="1">
      <c r="B144" s="138"/>
      <c r="C144" s="138"/>
      <c r="D144" s="139"/>
    </row>
    <row r="145" spans="2:4" ht="15" customHeight="1">
      <c r="B145" s="138"/>
      <c r="C145" s="138"/>
      <c r="D145" s="139"/>
    </row>
    <row r="146" spans="2:4" ht="15" customHeight="1">
      <c r="B146" s="138"/>
      <c r="C146" s="138"/>
      <c r="D146" s="139"/>
    </row>
    <row r="147" spans="2:4" ht="15" customHeight="1">
      <c r="B147" s="138"/>
      <c r="C147" s="138"/>
      <c r="D147" s="139"/>
    </row>
    <row r="148" spans="2:4" ht="15" customHeight="1">
      <c r="B148" s="138"/>
      <c r="C148" s="138"/>
      <c r="D148" s="139"/>
    </row>
    <row r="149" spans="2:4" ht="15" customHeight="1">
      <c r="B149" s="138"/>
      <c r="C149" s="138"/>
      <c r="D149" s="139"/>
    </row>
    <row r="150" spans="2:4" ht="15" customHeight="1">
      <c r="B150" s="138"/>
      <c r="C150" s="138"/>
      <c r="D150" s="139"/>
    </row>
    <row r="151" spans="2:4" ht="15" customHeight="1">
      <c r="B151" s="138"/>
      <c r="C151" s="138"/>
      <c r="D151" s="139"/>
    </row>
    <row r="152" spans="2:4" ht="15" customHeight="1">
      <c r="B152" s="138"/>
      <c r="C152" s="138"/>
      <c r="D152" s="139"/>
    </row>
    <row r="153" spans="2:4" ht="15" customHeight="1">
      <c r="B153" s="138"/>
      <c r="C153" s="138"/>
      <c r="D153" s="139"/>
    </row>
    <row r="154" spans="2:4" ht="15" customHeight="1">
      <c r="B154" s="138"/>
      <c r="C154" s="138"/>
      <c r="D154" s="139"/>
    </row>
    <row r="155" spans="2:4" ht="15" customHeight="1">
      <c r="B155" s="138"/>
      <c r="C155" s="138"/>
      <c r="D155" s="139"/>
    </row>
    <row r="156" spans="2:4" ht="15" customHeight="1">
      <c r="B156" s="138"/>
      <c r="C156" s="138"/>
      <c r="D156" s="139"/>
    </row>
    <row r="157" spans="2:4" ht="15" customHeight="1">
      <c r="B157" s="138"/>
      <c r="C157" s="138"/>
      <c r="D157" s="139"/>
    </row>
    <row r="158" spans="2:4" ht="15" customHeight="1">
      <c r="B158" s="138"/>
      <c r="C158" s="138"/>
      <c r="D158" s="139"/>
    </row>
    <row r="159" spans="2:4" ht="15" customHeight="1">
      <c r="B159" s="138"/>
      <c r="C159" s="138"/>
      <c r="D159" s="139"/>
    </row>
    <row r="160" spans="2:4" ht="15" customHeight="1">
      <c r="B160" s="138"/>
      <c r="C160" s="138"/>
      <c r="D160" s="139"/>
    </row>
    <row r="161" spans="2:4" ht="15" customHeight="1">
      <c r="B161" s="138"/>
      <c r="C161" s="138"/>
      <c r="D161" s="139"/>
    </row>
    <row r="162" spans="2:4" ht="15" customHeight="1">
      <c r="B162" s="138"/>
      <c r="C162" s="138"/>
      <c r="D162" s="139"/>
    </row>
    <row r="163" spans="2:4" ht="15" customHeight="1">
      <c r="B163" s="138"/>
      <c r="C163" s="138"/>
      <c r="D163" s="139"/>
    </row>
    <row r="164" spans="2:4" ht="15" customHeight="1">
      <c r="B164" s="138"/>
      <c r="C164" s="138"/>
      <c r="D164" s="139"/>
    </row>
    <row r="165" spans="2:4" ht="15" customHeight="1">
      <c r="B165" s="138"/>
      <c r="C165" s="138"/>
      <c r="D165" s="139"/>
    </row>
    <row r="166" spans="2:4" ht="15" customHeight="1">
      <c r="B166" s="138"/>
      <c r="C166" s="138"/>
      <c r="D166" s="139"/>
    </row>
    <row r="167" spans="2:4" ht="15" customHeight="1">
      <c r="B167" s="138"/>
      <c r="C167" s="138"/>
      <c r="D167" s="139"/>
    </row>
    <row r="168" spans="2:4" ht="15" customHeight="1">
      <c r="B168" s="138"/>
      <c r="C168" s="138"/>
      <c r="D168" s="139"/>
    </row>
    <row r="169" spans="2:4" ht="15" customHeight="1">
      <c r="B169" s="138"/>
      <c r="C169" s="138"/>
      <c r="D169" s="139"/>
    </row>
    <row r="170" spans="2:4" ht="15" customHeight="1">
      <c r="B170" s="138"/>
      <c r="C170" s="138"/>
      <c r="D170" s="139"/>
    </row>
    <row r="171" spans="2:4" ht="15" customHeight="1">
      <c r="B171" s="138"/>
      <c r="C171" s="138"/>
      <c r="D171" s="139"/>
    </row>
  </sheetData>
  <mergeCells count="7">
    <mergeCell ref="K1:M1"/>
    <mergeCell ref="E10:F10"/>
    <mergeCell ref="H10:I10"/>
    <mergeCell ref="K10:L10"/>
    <mergeCell ref="E11:F11"/>
    <mergeCell ref="H11:I11"/>
    <mergeCell ref="K11:L11"/>
  </mergeCells>
  <printOptions horizontalCentered="1"/>
  <pageMargins left="0.39370078740157483" right="0.39370078740157483" top="0.39370078740157483" bottom="0.39370078740157483" header="0.31496062992125984" footer="0.31496062992125984"/>
  <pageSetup paperSize="9" scale="65" fitToWidth="0" orientation="portrait" r:id="rId1"/>
  <colBreaks count="1" manualBreakCount="1">
    <brk id="13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73"/>
  <sheetViews>
    <sheetView tabSelected="1" view="pageBreakPreview" zoomScale="77" zoomScaleNormal="84" zoomScaleSheetLayoutView="77" workbookViewId="0">
      <selection activeCell="M12" sqref="M12"/>
    </sheetView>
  </sheetViews>
  <sheetFormatPr defaultColWidth="7.140625" defaultRowHeight="13.5"/>
  <cols>
    <col min="1" max="1" width="1.7109375" style="116" customWidth="1"/>
    <col min="2" max="2" width="10.5703125" style="116" customWidth="1"/>
    <col min="3" max="3" width="7.28515625" style="116" customWidth="1"/>
    <col min="4" max="4" width="10.7109375" style="116" customWidth="1"/>
    <col min="5" max="10" width="13.7109375" style="116" customWidth="1"/>
    <col min="11" max="11" width="1.7109375" style="116" customWidth="1"/>
    <col min="12" max="16384" width="7.140625" style="116"/>
  </cols>
  <sheetData>
    <row r="1" spans="1:11" s="1" customFormat="1" ht="15" customHeight="1">
      <c r="B1" s="2"/>
      <c r="C1" s="2"/>
      <c r="D1" s="3"/>
      <c r="E1" s="201"/>
      <c r="F1" s="201"/>
      <c r="G1" s="201"/>
      <c r="H1" s="201"/>
      <c r="I1" s="201"/>
      <c r="J1" s="201"/>
    </row>
    <row r="2" spans="1:11" s="1" customFormat="1">
      <c r="B2" s="2"/>
      <c r="C2" s="2"/>
      <c r="D2" s="3"/>
      <c r="E2" s="201"/>
      <c r="F2" s="201"/>
      <c r="G2" s="201"/>
      <c r="H2" s="201"/>
      <c r="I2" s="201"/>
      <c r="J2" s="201"/>
      <c r="K2" s="264" t="s">
        <v>7</v>
      </c>
    </row>
    <row r="3" spans="1:11" s="1" customFormat="1">
      <c r="B3" s="2"/>
      <c r="C3" s="2"/>
      <c r="D3" s="3"/>
      <c r="E3" s="201"/>
      <c r="F3" s="201"/>
      <c r="G3" s="201"/>
      <c r="H3" s="201"/>
      <c r="I3" s="201"/>
      <c r="J3" s="201"/>
      <c r="K3" s="5" t="s">
        <v>55</v>
      </c>
    </row>
    <row r="4" spans="1:11" s="1" customFormat="1">
      <c r="B4" s="7"/>
      <c r="C4" s="7"/>
      <c r="D4" s="3"/>
    </row>
    <row r="5" spans="1:11" ht="15" customHeight="1">
      <c r="B5" s="8" t="s">
        <v>88</v>
      </c>
      <c r="C5" s="9" t="s">
        <v>138</v>
      </c>
      <c r="D5" s="117"/>
      <c r="E5" s="118"/>
      <c r="F5" s="118"/>
      <c r="G5" s="118"/>
      <c r="H5" s="118"/>
      <c r="I5" s="118"/>
      <c r="J5" s="118"/>
      <c r="K5" s="118"/>
    </row>
    <row r="6" spans="1:11" ht="15" customHeight="1">
      <c r="B6" s="12" t="s">
        <v>89</v>
      </c>
      <c r="C6" s="13" t="s">
        <v>143</v>
      </c>
      <c r="D6" s="114"/>
      <c r="E6" s="115"/>
      <c r="F6" s="115"/>
      <c r="G6" s="115"/>
      <c r="H6" s="115"/>
      <c r="I6" s="115"/>
      <c r="J6" s="115"/>
      <c r="K6" s="115"/>
    </row>
    <row r="7" spans="1:11" ht="8.1" customHeight="1">
      <c r="B7" s="112"/>
      <c r="C7" s="113"/>
      <c r="D7" s="114"/>
      <c r="E7" s="115"/>
      <c r="F7" s="115"/>
      <c r="G7" s="115"/>
      <c r="H7" s="115"/>
      <c r="I7" s="115"/>
      <c r="J7" s="115"/>
      <c r="K7" s="115"/>
    </row>
    <row r="8" spans="1:11" ht="15.95" customHeight="1" thickBot="1">
      <c r="D8" s="117"/>
      <c r="E8" s="118"/>
      <c r="F8" s="118"/>
      <c r="G8" s="118"/>
      <c r="H8" s="118"/>
      <c r="I8" s="118"/>
      <c r="J8" s="118"/>
      <c r="K8" s="118"/>
    </row>
    <row r="9" spans="1:11" ht="8.1" customHeight="1" thickTop="1">
      <c r="A9" s="119"/>
      <c r="B9" s="120"/>
      <c r="C9" s="121"/>
      <c r="D9" s="122"/>
      <c r="E9" s="123"/>
      <c r="F9" s="123"/>
      <c r="G9" s="123"/>
      <c r="H9" s="123"/>
      <c r="I9" s="123"/>
      <c r="J9" s="123"/>
      <c r="K9" s="123"/>
    </row>
    <row r="10" spans="1:11" ht="15" customHeight="1">
      <c r="A10" s="124"/>
      <c r="B10" s="125" t="s">
        <v>90</v>
      </c>
      <c r="C10" s="126"/>
      <c r="D10" s="262" t="s">
        <v>91</v>
      </c>
      <c r="E10" s="292" t="s">
        <v>0</v>
      </c>
      <c r="F10" s="292"/>
      <c r="G10" s="292"/>
      <c r="H10" s="292"/>
      <c r="I10" s="292"/>
      <c r="J10" s="292"/>
      <c r="K10" s="262"/>
    </row>
    <row r="11" spans="1:11" ht="15" customHeight="1">
      <c r="A11" s="124"/>
      <c r="B11" s="129" t="s">
        <v>92</v>
      </c>
      <c r="C11" s="126"/>
      <c r="D11" s="130" t="s">
        <v>93</v>
      </c>
      <c r="E11" s="293" t="s">
        <v>1</v>
      </c>
      <c r="F11" s="293"/>
      <c r="G11" s="293"/>
      <c r="H11" s="293"/>
      <c r="I11" s="293"/>
      <c r="J11" s="293"/>
      <c r="K11" s="265"/>
    </row>
    <row r="12" spans="1:11" ht="15" customHeight="1">
      <c r="A12" s="124"/>
      <c r="B12" s="125"/>
      <c r="C12" s="126"/>
      <c r="D12" s="262"/>
      <c r="E12" s="172"/>
      <c r="F12" s="172"/>
      <c r="G12" s="192"/>
      <c r="H12" s="192"/>
      <c r="I12" s="192"/>
      <c r="J12" s="192"/>
      <c r="K12" s="192"/>
    </row>
    <row r="13" spans="1:11" ht="15" customHeight="1">
      <c r="A13" s="124"/>
      <c r="B13" s="125"/>
      <c r="C13" s="126"/>
      <c r="D13" s="262"/>
      <c r="E13" s="278" t="s">
        <v>112</v>
      </c>
      <c r="F13" s="278" t="s">
        <v>113</v>
      </c>
      <c r="G13" s="278" t="s">
        <v>114</v>
      </c>
      <c r="H13" s="278" t="s">
        <v>115</v>
      </c>
      <c r="I13" s="278" t="s">
        <v>116</v>
      </c>
      <c r="J13" s="278" t="s">
        <v>132</v>
      </c>
      <c r="K13" s="230"/>
    </row>
    <row r="14" spans="1:11" ht="8.1" customHeight="1">
      <c r="A14" s="135"/>
      <c r="B14" s="136"/>
      <c r="C14" s="135"/>
      <c r="D14" s="135"/>
      <c r="E14" s="137"/>
      <c r="F14" s="137"/>
      <c r="G14" s="137"/>
      <c r="H14" s="137"/>
      <c r="I14" s="137"/>
      <c r="J14" s="137"/>
      <c r="K14" s="137"/>
    </row>
    <row r="15" spans="1:11" ht="8.1" customHeight="1">
      <c r="A15" s="138"/>
      <c r="B15" s="138"/>
      <c r="C15" s="138"/>
      <c r="D15" s="146"/>
      <c r="E15" s="140"/>
      <c r="F15" s="140"/>
      <c r="G15" s="140"/>
      <c r="H15" s="141"/>
      <c r="I15" s="142"/>
      <c r="J15" s="142"/>
      <c r="K15" s="142"/>
    </row>
    <row r="16" spans="1:11" ht="15" customHeight="1">
      <c r="B16" s="144" t="s">
        <v>107</v>
      </c>
      <c r="C16" s="145"/>
      <c r="D16" s="147">
        <v>2021</v>
      </c>
      <c r="E16" s="211">
        <f>SUM('7.3 (samb1)'!E16,'7.3 (samb1)'!L16,'7.3 (samb2)'!E16,'7.3 (samb2)'!L16,'7.3 (samb3)'!E16,'7.3 (samb3)'!L16)</f>
        <v>2108</v>
      </c>
      <c r="F16" s="211">
        <f>SUM('7.3 (samb1)'!F16,'7.3 (samb1)'!M16,'7.3 (samb2)'!F16,'7.3 (samb2)'!M16,'7.3 (samb3)'!F16,'7.3 (samb3)'!M16)</f>
        <v>9132</v>
      </c>
      <c r="G16" s="211">
        <f>SUM('7.3 (samb1)'!G16,'7.3 (samb1)'!N16,'7.3 (samb2)'!G16,'7.3 (samb2)'!N16,'7.3 (samb3)'!G16,'7.3 (samb3)'!N16)</f>
        <v>6582</v>
      </c>
      <c r="H16" s="211">
        <f>SUM('7.3 (samb1)'!H16,'7.3 (samb1)'!O16,'7.3 (samb2)'!H16,'7.3 (samb2)'!O16,'7.3 (samb3)'!H16,'7.3 (samb3)'!O16)</f>
        <v>4440</v>
      </c>
      <c r="I16" s="211">
        <f>SUM('7.3 (samb1)'!I16,'7.3 (samb1)'!P16,'7.3 (samb2)'!I16,'7.3 (samb2)'!P16,'7.3 (samb3)'!I16,'7.3 (samb3)'!P16)</f>
        <v>2596</v>
      </c>
      <c r="J16" s="211">
        <f>SUM('7.3 (samb1)'!J16,'7.3 (samb1)'!Q16,'7.3 (samb2)'!J16,'7.3 (samb2)'!Q16,'7.3 (samb3)'!J16,'7.3 (samb3)'!Q16)</f>
        <v>1399</v>
      </c>
      <c r="K16" s="211"/>
    </row>
    <row r="17" spans="2:19" ht="15" customHeight="1">
      <c r="B17" s="145"/>
      <c r="C17" s="145"/>
      <c r="D17" s="146">
        <v>2022</v>
      </c>
      <c r="E17" s="211">
        <f>SUM('7.3 (samb1)'!E17,'7.3 (samb1)'!L17,'7.3 (samb2)'!E17,'7.3 (samb2)'!L17,'7.3 (samb3)'!E17,'7.3 (samb3)'!L17)</f>
        <v>1620</v>
      </c>
      <c r="F17" s="211">
        <f>SUM('7.3 (samb1)'!F17,'7.3 (samb1)'!M17,'7.3 (samb2)'!F17,'7.3 (samb2)'!M17,'7.3 (samb3)'!F17,'7.3 (samb3)'!M17)</f>
        <v>8428</v>
      </c>
      <c r="G17" s="211">
        <f>SUM('7.3 (samb1)'!G17,'7.3 (samb1)'!N17,'7.3 (samb2)'!G17,'7.3 (samb2)'!N17,'7.3 (samb3)'!G17,'7.3 (samb3)'!N17)</f>
        <v>6871</v>
      </c>
      <c r="H17" s="211">
        <f>SUM('7.3 (samb1)'!H17,'7.3 (samb1)'!O17,'7.3 (samb2)'!H17,'7.3 (samb2)'!O17,'7.3 (samb3)'!H17,'7.3 (samb3)'!O17)</f>
        <v>4513</v>
      </c>
      <c r="I17" s="211">
        <f>SUM('7.3 (samb1)'!I17,'7.3 (samb1)'!P17,'7.3 (samb2)'!I17,'7.3 (samb2)'!P17,'7.3 (samb3)'!I17,'7.3 (samb3)'!P17)</f>
        <v>2598</v>
      </c>
      <c r="J17" s="211">
        <f>SUM('7.3 (samb1)'!J17,'7.3 (samb1)'!Q17,'7.3 (samb2)'!J17,'7.3 (samb2)'!Q17,'7.3 (samb3)'!J17,'7.3 (samb3)'!Q17)</f>
        <v>1449</v>
      </c>
      <c r="K17" s="211"/>
    </row>
    <row r="18" spans="2:19" ht="15" customHeight="1">
      <c r="B18" s="145"/>
      <c r="C18" s="145"/>
      <c r="D18" s="146">
        <v>2023</v>
      </c>
      <c r="E18" s="211">
        <f>SUM('7.3 (samb1)'!E18,'7.3 (samb1)'!L18,'7.3 (samb2)'!E18,'7.3 (samb2)'!L18,'7.3 (samb3)'!E18,'7.3 (samb3)'!L18)</f>
        <v>2066</v>
      </c>
      <c r="F18" s="211">
        <f>SUM('7.3 (samb1)'!F18,'7.3 (samb1)'!M18,'7.3 (samb2)'!F18,'7.3 (samb2)'!M18,'7.3 (samb3)'!F18,'7.3 (samb3)'!M18)</f>
        <v>10538</v>
      </c>
      <c r="G18" s="211">
        <f>SUM('7.3 (samb1)'!G18,'7.3 (samb1)'!N18,'7.3 (samb2)'!G18,'7.3 (samb2)'!N18,'7.3 (samb3)'!G18,'7.3 (samb3)'!N18)</f>
        <v>8928</v>
      </c>
      <c r="H18" s="211">
        <f>SUM('7.3 (samb1)'!H18,'7.3 (samb1)'!O18,'7.3 (samb2)'!H18,'7.3 (samb2)'!O18,'7.3 (samb3)'!H18,'7.3 (samb3)'!O18)</f>
        <v>6274</v>
      </c>
      <c r="I18" s="211">
        <f>SUM('7.3 (samb1)'!I18,'7.3 (samb1)'!P18,'7.3 (samb2)'!I18,'7.3 (samb2)'!P18,'7.3 (samb3)'!I18,'7.3 (samb3)'!P18)</f>
        <v>4094</v>
      </c>
      <c r="J18" s="211">
        <f>SUM('7.3 (samb1)'!J18,'7.3 (samb1)'!Q18,'7.3 (samb2)'!J18,'7.3 (samb2)'!Q18,'7.3 (samb3)'!J18,'7.3 (samb3)'!Q18)</f>
        <v>2595</v>
      </c>
      <c r="K18" s="211"/>
      <c r="N18" s="261"/>
    </row>
    <row r="19" spans="2:19" ht="8.1" customHeight="1">
      <c r="B19" s="145"/>
      <c r="C19" s="148"/>
      <c r="D19" s="149"/>
      <c r="E19" s="179"/>
      <c r="F19" s="184"/>
      <c r="G19" s="184"/>
      <c r="H19" s="184"/>
      <c r="I19" s="184"/>
      <c r="J19" s="184"/>
      <c r="K19" s="184"/>
    </row>
    <row r="20" spans="2:19" ht="15" customHeight="1">
      <c r="B20" s="151" t="s">
        <v>94</v>
      </c>
      <c r="C20" s="152"/>
      <c r="D20" s="149">
        <v>2021</v>
      </c>
      <c r="E20" s="211">
        <f>SUM('7.3 (samb1)'!E20,'7.3 (samb1)'!L20,'7.3 (samb2)'!E20,'7.3 (samb2)'!L20,'7.3 (samb3)'!E20,'7.3 (samb3)'!L20)</f>
        <v>194</v>
      </c>
      <c r="F20" s="211">
        <f>SUM('7.3 (samb1)'!F20,'7.3 (samb1)'!M20,'7.3 (samb2)'!F20,'7.3 (samb2)'!M20,'7.3 (samb3)'!F20,'7.3 (samb3)'!M20)</f>
        <v>836</v>
      </c>
      <c r="G20" s="211">
        <f>SUM('7.3 (samb1)'!G20,'7.3 (samb1)'!N20,'7.3 (samb2)'!G20,'7.3 (samb2)'!N20,'7.3 (samb3)'!G20,'7.3 (samb3)'!N20)</f>
        <v>635</v>
      </c>
      <c r="H20" s="211">
        <f>SUM('7.3 (samb1)'!H20,'7.3 (samb1)'!O20,'7.3 (samb2)'!H20,'7.3 (samb2)'!O20,'7.3 (samb3)'!H20,'7.3 (samb3)'!O20)</f>
        <v>475</v>
      </c>
      <c r="I20" s="211">
        <f>SUM('7.3 (samb1)'!I20,'7.3 (samb1)'!P20,'7.3 (samb2)'!I20,'7.3 (samb2)'!P20,'7.3 (samb3)'!I20,'7.3 (samb3)'!P20)</f>
        <v>258</v>
      </c>
      <c r="J20" s="211">
        <f>SUM('7.3 (samb1)'!J20,'7.3 (samb1)'!Q20,'7.3 (samb2)'!J20,'7.3 (samb2)'!Q20,'7.3 (samb3)'!J20,'7.3 (samb3)'!Q20)</f>
        <v>153</v>
      </c>
      <c r="K20" s="222"/>
      <c r="P20" s="211"/>
    </row>
    <row r="21" spans="2:19" ht="15" customHeight="1">
      <c r="B21" s="153"/>
      <c r="C21" s="152"/>
      <c r="D21" s="149">
        <v>2022</v>
      </c>
      <c r="E21" s="211">
        <f>SUM('7.3 (samb1)'!E21,'7.3 (samb1)'!L21,'7.3 (samb2)'!E21,'7.3 (samb2)'!L21,'7.3 (samb3)'!E21,'7.3 (samb3)'!L21)</f>
        <v>145</v>
      </c>
      <c r="F21" s="211">
        <f>SUM('7.3 (samb1)'!F21,'7.3 (samb1)'!M21,'7.3 (samb2)'!F21,'7.3 (samb2)'!M21,'7.3 (samb3)'!F21,'7.3 (samb3)'!M21)</f>
        <v>753</v>
      </c>
      <c r="G21" s="211">
        <f>SUM('7.3 (samb1)'!G21,'7.3 (samb1)'!N21,'7.3 (samb2)'!G21,'7.3 (samb2)'!N21,'7.3 (samb3)'!G21,'7.3 (samb3)'!N21)</f>
        <v>612</v>
      </c>
      <c r="H21" s="211">
        <f>SUM('7.3 (samb1)'!H21,'7.3 (samb1)'!O21,'7.3 (samb2)'!H21,'7.3 (samb2)'!O21,'7.3 (samb3)'!H21,'7.3 (samb3)'!O21)</f>
        <v>488</v>
      </c>
      <c r="I21" s="211">
        <f>SUM('7.3 (samb1)'!I21,'7.3 (samb1)'!P21,'7.3 (samb2)'!I21,'7.3 (samb2)'!P21,'7.3 (samb3)'!I21,'7.3 (samb3)'!P21)</f>
        <v>264</v>
      </c>
      <c r="J21" s="211">
        <f>SUM('7.3 (samb1)'!J21,'7.3 (samb1)'!Q21,'7.3 (samb2)'!J21,'7.3 (samb2)'!Q21,'7.3 (samb3)'!J21,'7.3 (samb3)'!Q21)</f>
        <v>145</v>
      </c>
      <c r="K21" s="222"/>
    </row>
    <row r="22" spans="2:19" ht="15" customHeight="1">
      <c r="B22" s="153"/>
      <c r="C22" s="152"/>
      <c r="D22" s="149">
        <v>2023</v>
      </c>
      <c r="E22" s="211">
        <f>SUM('7.3 (samb1)'!E22,'7.3 (samb1)'!L22,'7.3 (samb2)'!E22,'7.3 (samb2)'!L22,'7.3 (samb3)'!E22,'7.3 (samb3)'!L22)</f>
        <v>204</v>
      </c>
      <c r="F22" s="211">
        <f>SUM('7.3 (samb1)'!F22,'7.3 (samb1)'!M22,'7.3 (samb2)'!F22,'7.3 (samb2)'!M22,'7.3 (samb3)'!F22,'7.3 (samb3)'!M22)</f>
        <v>1147</v>
      </c>
      <c r="G22" s="211">
        <f>SUM('7.3 (samb1)'!G22,'7.3 (samb1)'!N22,'7.3 (samb2)'!G22,'7.3 (samb2)'!N22,'7.3 (samb3)'!G22,'7.3 (samb3)'!N22)</f>
        <v>946</v>
      </c>
      <c r="H22" s="211">
        <f>SUM('7.3 (samb1)'!H22,'7.3 (samb1)'!O22,'7.3 (samb2)'!H22,'7.3 (samb2)'!O22,'7.3 (samb3)'!H22,'7.3 (samb3)'!O22)</f>
        <v>696</v>
      </c>
      <c r="I22" s="211">
        <f>SUM('7.3 (samb1)'!I22,'7.3 (samb1)'!P22,'7.3 (samb2)'!I22,'7.3 (samb2)'!P22,'7.3 (samb3)'!I22,'7.3 (samb3)'!P22)</f>
        <v>481</v>
      </c>
      <c r="J22" s="211">
        <f>SUM('7.3 (samb1)'!J22,'7.3 (samb1)'!Q22,'7.3 (samb2)'!J22,'7.3 (samb2)'!Q22,'7.3 (samb3)'!J22,'7.3 (samb3)'!Q22)</f>
        <v>261</v>
      </c>
      <c r="K22" s="222"/>
    </row>
    <row r="23" spans="2:19" ht="8.1" customHeight="1">
      <c r="B23" s="153"/>
      <c r="C23" s="154"/>
      <c r="D23" s="149"/>
      <c r="E23" s="150"/>
      <c r="F23" s="203"/>
      <c r="G23" s="203"/>
      <c r="H23" s="203"/>
      <c r="I23" s="203"/>
      <c r="J23" s="203"/>
      <c r="K23" s="203"/>
      <c r="S23" s="116" t="s">
        <v>142</v>
      </c>
    </row>
    <row r="24" spans="2:19" ht="15" customHeight="1">
      <c r="B24" s="151" t="s">
        <v>95</v>
      </c>
      <c r="C24" s="152"/>
      <c r="D24" s="149">
        <v>2021</v>
      </c>
      <c r="E24" s="211">
        <f>SUM('7.3 (samb1)'!E24,'7.3 (samb1)'!L24,'7.3 (samb2)'!E24,'7.3 (samb2)'!L24,'7.3 (samb3)'!E24,'7.3 (samb3)'!L24)</f>
        <v>150</v>
      </c>
      <c r="F24" s="211">
        <f>SUM('7.3 (samb1)'!F24,'7.3 (samb1)'!M24,'7.3 (samb2)'!F24,'7.3 (samb2)'!M24,'7.3 (samb3)'!F24,'7.3 (samb3)'!M24)</f>
        <v>589</v>
      </c>
      <c r="G24" s="211">
        <f>SUM('7.3 (samb1)'!G24,'7.3 (samb1)'!N24,'7.3 (samb2)'!G24,'7.3 (samb2)'!N24,'7.3 (samb3)'!G24,'7.3 (samb3)'!N24)</f>
        <v>399</v>
      </c>
      <c r="H24" s="211">
        <f>SUM('7.3 (samb1)'!H24,'7.3 (samb1)'!O24,'7.3 (samb2)'!H24,'7.3 (samb2)'!O24,'7.3 (samb3)'!H24,'7.3 (samb3)'!O24)</f>
        <v>263</v>
      </c>
      <c r="I24" s="211">
        <f>SUM('7.3 (samb1)'!I24,'7.3 (samb1)'!P24,'7.3 (samb2)'!I24,'7.3 (samb2)'!P24,'7.3 (samb3)'!I24,'7.3 (samb3)'!P24)</f>
        <v>168</v>
      </c>
      <c r="J24" s="211">
        <f>SUM('7.3 (samb1)'!J24,'7.3 (samb1)'!Q24,'7.3 (samb2)'!J24,'7.3 (samb2)'!Q24,'7.3 (samb3)'!J24,'7.3 (samb3)'!Q24)</f>
        <v>73</v>
      </c>
      <c r="K24" s="222"/>
      <c r="M24" s="211"/>
    </row>
    <row r="25" spans="2:19" ht="15" customHeight="1">
      <c r="B25" s="151"/>
      <c r="C25" s="152"/>
      <c r="D25" s="149">
        <v>2022</v>
      </c>
      <c r="E25" s="211">
        <f>SUM('7.3 (samb1)'!E25,'7.3 (samb1)'!L25,'7.3 (samb2)'!E25,'7.3 (samb2)'!L25,'7.3 (samb3)'!E25,'7.3 (samb3)'!L25)</f>
        <v>125</v>
      </c>
      <c r="F25" s="211">
        <f>SUM('7.3 (samb1)'!F25,'7.3 (samb1)'!M25,'7.3 (samb2)'!F25,'7.3 (samb2)'!M25,'7.3 (samb3)'!F25,'7.3 (samb3)'!M25)</f>
        <v>533</v>
      </c>
      <c r="G25" s="211">
        <f>SUM('7.3 (samb1)'!G25,'7.3 (samb1)'!N25,'7.3 (samb2)'!G25,'7.3 (samb2)'!N25,'7.3 (samb3)'!G25,'7.3 (samb3)'!N25)</f>
        <v>387</v>
      </c>
      <c r="H25" s="211">
        <f>SUM('7.3 (samb1)'!H25,'7.3 (samb1)'!O25,'7.3 (samb2)'!H25,'7.3 (samb2)'!O25,'7.3 (samb3)'!H25,'7.3 (samb3)'!O25)</f>
        <v>275</v>
      </c>
      <c r="I25" s="211">
        <f>SUM('7.3 (samb1)'!I25,'7.3 (samb1)'!P25,'7.3 (samb2)'!I25,'7.3 (samb2)'!P25,'7.3 (samb3)'!I25,'7.3 (samb3)'!P25)</f>
        <v>163</v>
      </c>
      <c r="J25" s="211">
        <f>SUM('7.3 (samb1)'!J25,'7.3 (samb1)'!Q25,'7.3 (samb2)'!J25,'7.3 (samb2)'!Q25,'7.3 (samb3)'!J25,'7.3 (samb3)'!Q25)</f>
        <v>94</v>
      </c>
      <c r="K25" s="222"/>
    </row>
    <row r="26" spans="2:19" ht="15" customHeight="1">
      <c r="B26" s="151"/>
      <c r="C26" s="152"/>
      <c r="D26" s="149">
        <v>2023</v>
      </c>
      <c r="E26" s="211">
        <f>SUM('7.3 (samb1)'!E26,'7.3 (samb1)'!L26,'7.3 (samb2)'!E26,'7.3 (samb2)'!L26,'7.3 (samb3)'!E26,'7.3 (samb3)'!L26)</f>
        <v>125</v>
      </c>
      <c r="F26" s="211">
        <f>SUM('7.3 (samb1)'!F26,'7.3 (samb1)'!M26,'7.3 (samb2)'!F26,'7.3 (samb2)'!M26,'7.3 (samb3)'!F26,'7.3 (samb3)'!M26)</f>
        <v>589</v>
      </c>
      <c r="G26" s="211">
        <f>SUM('7.3 (samb1)'!G26,'7.3 (samb1)'!N26,'7.3 (samb2)'!G26,'7.3 (samb2)'!N26,'7.3 (samb3)'!G26,'7.3 (samb3)'!N26)</f>
        <v>482</v>
      </c>
      <c r="H26" s="211">
        <f>SUM('7.3 (samb1)'!H26,'7.3 (samb1)'!O26,'7.3 (samb2)'!H26,'7.3 (samb2)'!O26,'7.3 (samb3)'!H26,'7.3 (samb3)'!O26)</f>
        <v>358</v>
      </c>
      <c r="I26" s="211">
        <f>SUM('7.3 (samb1)'!I26,'7.3 (samb1)'!P26,'7.3 (samb2)'!I26,'7.3 (samb2)'!P26,'7.3 (samb3)'!I26,'7.3 (samb3)'!P26)</f>
        <v>232</v>
      </c>
      <c r="J26" s="211">
        <f>SUM('7.3 (samb1)'!J26,'7.3 (samb1)'!Q26,'7.3 (samb2)'!J26,'7.3 (samb2)'!Q26,'7.3 (samb3)'!J26,'7.3 (samb3)'!Q26)</f>
        <v>133</v>
      </c>
      <c r="K26" s="222"/>
    </row>
    <row r="27" spans="2:19" ht="8.1" customHeight="1">
      <c r="B27" s="151"/>
      <c r="C27" s="154"/>
      <c r="D27" s="149"/>
      <c r="E27" s="150"/>
      <c r="F27" s="203"/>
      <c r="G27" s="203"/>
      <c r="H27" s="203"/>
      <c r="I27" s="203"/>
      <c r="J27" s="203"/>
      <c r="K27" s="203"/>
    </row>
    <row r="28" spans="2:19" ht="15" customHeight="1">
      <c r="B28" s="151" t="s">
        <v>96</v>
      </c>
      <c r="C28" s="152"/>
      <c r="D28" s="149">
        <v>2021</v>
      </c>
      <c r="E28" s="211">
        <f>SUM('7.3 (samb1)'!E28,'7.3 (samb1)'!L28,'7.3 (samb2)'!E28,'7.3 (samb2)'!L28,'7.3 (samb3)'!E28,'7.3 (samb3)'!L28)</f>
        <v>99</v>
      </c>
      <c r="F28" s="211">
        <f>SUM('7.3 (samb1)'!F28,'7.3 (samb1)'!M28,'7.3 (samb2)'!F28,'7.3 (samb2)'!M28,'7.3 (samb3)'!F28,'7.3 (samb3)'!M28)</f>
        <v>273</v>
      </c>
      <c r="G28" s="211">
        <f>SUM('7.3 (samb1)'!G28,'7.3 (samb1)'!N28,'7.3 (samb2)'!G28,'7.3 (samb2)'!N28,'7.3 (samb3)'!G28,'7.3 (samb3)'!N28)</f>
        <v>189</v>
      </c>
      <c r="H28" s="211">
        <f>SUM('7.3 (samb1)'!H28,'7.3 (samb1)'!O28,'7.3 (samb2)'!H28,'7.3 (samb2)'!O28,'7.3 (samb3)'!H28,'7.3 (samb3)'!O28)</f>
        <v>131</v>
      </c>
      <c r="I28" s="211">
        <f>SUM('7.3 (samb1)'!I28,'7.3 (samb1)'!P28,'7.3 (samb2)'!I28,'7.3 (samb2)'!P28,'7.3 (samb3)'!I28,'7.3 (samb3)'!P28)</f>
        <v>76</v>
      </c>
      <c r="J28" s="211">
        <f>SUM('7.3 (samb1)'!J28,'7.3 (samb1)'!Q28,'7.3 (samb2)'!J28,'7.3 (samb2)'!Q28,'7.3 (samb3)'!J28,'7.3 (samb3)'!Q28)</f>
        <v>24</v>
      </c>
      <c r="K28" s="222"/>
    </row>
    <row r="29" spans="2:19" ht="15" customHeight="1">
      <c r="B29" s="153"/>
      <c r="C29" s="152"/>
      <c r="D29" s="149">
        <v>2022</v>
      </c>
      <c r="E29" s="211">
        <f>SUM('7.3 (samb1)'!E29,'7.3 (samb1)'!L29,'7.3 (samb2)'!E29,'7.3 (samb2)'!L29,'7.3 (samb3)'!E29,'7.3 (samb3)'!L29)</f>
        <v>70</v>
      </c>
      <c r="F29" s="211">
        <f>SUM('7.3 (samb1)'!F29,'7.3 (samb1)'!M29,'7.3 (samb2)'!F29,'7.3 (samb2)'!M29,'7.3 (samb3)'!F29,'7.3 (samb3)'!M29)</f>
        <v>300</v>
      </c>
      <c r="G29" s="211">
        <f>SUM('7.3 (samb1)'!G29,'7.3 (samb1)'!N29,'7.3 (samb2)'!G29,'7.3 (samb2)'!N29,'7.3 (samb3)'!G29,'7.3 (samb3)'!N29)</f>
        <v>224</v>
      </c>
      <c r="H29" s="211">
        <f>SUM('7.3 (samb1)'!H29,'7.3 (samb1)'!O29,'7.3 (samb2)'!H29,'7.3 (samb2)'!O29,'7.3 (samb3)'!H29,'7.3 (samb3)'!O29)</f>
        <v>153</v>
      </c>
      <c r="I29" s="211">
        <f>SUM('7.3 (samb1)'!I29,'7.3 (samb1)'!P29,'7.3 (samb2)'!I29,'7.3 (samb2)'!P29,'7.3 (samb3)'!I29,'7.3 (samb3)'!P29)</f>
        <v>93</v>
      </c>
      <c r="J29" s="211">
        <f>SUM('7.3 (samb1)'!J29,'7.3 (samb1)'!Q29,'7.3 (samb2)'!J29,'7.3 (samb2)'!Q29,'7.3 (samb3)'!J29,'7.3 (samb3)'!Q29)</f>
        <v>46</v>
      </c>
      <c r="K29" s="222"/>
    </row>
    <row r="30" spans="2:19" ht="15" customHeight="1">
      <c r="B30" s="153"/>
      <c r="C30" s="152"/>
      <c r="D30" s="149">
        <v>2023</v>
      </c>
      <c r="E30" s="211">
        <f>SUM('7.3 (samb1)'!E30,'7.3 (samb1)'!L30,'7.3 (samb2)'!E30,'7.3 (samb2)'!L30,'7.3 (samb3)'!E30,'7.3 (samb3)'!L30)</f>
        <v>50</v>
      </c>
      <c r="F30" s="211">
        <f>SUM('7.3 (samb1)'!F30,'7.3 (samb1)'!M30,'7.3 (samb2)'!F30,'7.3 (samb2)'!M30,'7.3 (samb3)'!F30,'7.3 (samb3)'!M30)</f>
        <v>271</v>
      </c>
      <c r="G30" s="211">
        <f>SUM('7.3 (samb1)'!G30,'7.3 (samb1)'!N30,'7.3 (samb2)'!G30,'7.3 (samb2)'!N30,'7.3 (samb3)'!G30,'7.3 (samb3)'!N30)</f>
        <v>243</v>
      </c>
      <c r="H30" s="211">
        <f>SUM('7.3 (samb1)'!H30,'7.3 (samb1)'!O30,'7.3 (samb2)'!H30,'7.3 (samb2)'!O30,'7.3 (samb3)'!H30,'7.3 (samb3)'!O30)</f>
        <v>167</v>
      </c>
      <c r="I30" s="211">
        <f>SUM('7.3 (samb1)'!I30,'7.3 (samb1)'!P30,'7.3 (samb2)'!I30,'7.3 (samb2)'!P30,'7.3 (samb3)'!I30,'7.3 (samb3)'!P30)</f>
        <v>121</v>
      </c>
      <c r="J30" s="211">
        <f>SUM('7.3 (samb1)'!J30,'7.3 (samb1)'!Q30,'7.3 (samb2)'!J30,'7.3 (samb2)'!Q30,'7.3 (samb3)'!J30,'7.3 (samb3)'!Q30)</f>
        <v>95</v>
      </c>
      <c r="K30" s="222"/>
    </row>
    <row r="31" spans="2:19" ht="8.1" customHeight="1">
      <c r="B31" s="153"/>
      <c r="C31" s="148"/>
      <c r="D31" s="149"/>
      <c r="E31" s="150"/>
      <c r="F31" s="203"/>
      <c r="G31" s="203"/>
      <c r="H31" s="203"/>
      <c r="I31" s="203"/>
      <c r="J31" s="203"/>
      <c r="K31" s="203"/>
    </row>
    <row r="32" spans="2:19" ht="15" customHeight="1">
      <c r="B32" s="151" t="s">
        <v>97</v>
      </c>
      <c r="C32" s="152"/>
      <c r="D32" s="149">
        <v>2021</v>
      </c>
      <c r="E32" s="211">
        <f>SUM('7.3 (samb1)'!E32,'7.3 (samb1)'!L32,'7.3 (samb2)'!E32,'7.3 (samb2)'!L32,'7.3 (samb3)'!E32,'7.3 (samb3)'!L32)</f>
        <v>90</v>
      </c>
      <c r="F32" s="211">
        <f>SUM('7.3 (samb1)'!F32,'7.3 (samb1)'!M32,'7.3 (samb2)'!F32,'7.3 (samb2)'!M32,'7.3 (samb3)'!F32,'7.3 (samb3)'!M32)</f>
        <v>360</v>
      </c>
      <c r="G32" s="211">
        <f>SUM('7.3 (samb1)'!G32,'7.3 (samb1)'!N32,'7.3 (samb2)'!G32,'7.3 (samb2)'!N32,'7.3 (samb3)'!G32,'7.3 (samb3)'!N32)</f>
        <v>273</v>
      </c>
      <c r="H32" s="211">
        <f>SUM('7.3 (samb1)'!H32,'7.3 (samb1)'!O32,'7.3 (samb2)'!H32,'7.3 (samb2)'!O32,'7.3 (samb3)'!H32,'7.3 (samb3)'!O32)</f>
        <v>193</v>
      </c>
      <c r="I32" s="211">
        <f>SUM('7.3 (samb1)'!I32,'7.3 (samb1)'!P32,'7.3 (samb2)'!I32,'7.3 (samb2)'!P32,'7.3 (samb3)'!I32,'7.3 (samb3)'!P32)</f>
        <v>108</v>
      </c>
      <c r="J32" s="211">
        <f>SUM('7.3 (samb1)'!J32,'7.3 (samb1)'!Q32,'7.3 (samb2)'!J32,'7.3 (samb2)'!Q32,'7.3 (samb3)'!J32,'7.3 (samb3)'!Q32)</f>
        <v>75</v>
      </c>
      <c r="K32" s="222"/>
    </row>
    <row r="33" spans="2:11" ht="15" customHeight="1">
      <c r="B33" s="153"/>
      <c r="C33" s="152"/>
      <c r="D33" s="149">
        <v>2022</v>
      </c>
      <c r="E33" s="211">
        <f>SUM('7.3 (samb1)'!E33,'7.3 (samb1)'!L33,'7.3 (samb2)'!E33,'7.3 (samb2)'!L33,'7.3 (samb3)'!E33,'7.3 (samb3)'!L33)</f>
        <v>91</v>
      </c>
      <c r="F33" s="211">
        <f>SUM('7.3 (samb1)'!F33,'7.3 (samb1)'!M33,'7.3 (samb2)'!F33,'7.3 (samb2)'!M33,'7.3 (samb3)'!F33,'7.3 (samb3)'!M33)</f>
        <v>469</v>
      </c>
      <c r="G33" s="211">
        <f>SUM('7.3 (samb1)'!G33,'7.3 (samb1)'!N33,'7.3 (samb2)'!G33,'7.3 (samb2)'!N33,'7.3 (samb3)'!G33,'7.3 (samb3)'!N33)</f>
        <v>338</v>
      </c>
      <c r="H33" s="211">
        <f>SUM('7.3 (samb1)'!H33,'7.3 (samb1)'!O33,'7.3 (samb2)'!H33,'7.3 (samb2)'!O33,'7.3 (samb3)'!H33,'7.3 (samb3)'!O33)</f>
        <v>211</v>
      </c>
      <c r="I33" s="211">
        <f>SUM('7.3 (samb1)'!I33,'7.3 (samb1)'!P33,'7.3 (samb2)'!I33,'7.3 (samb2)'!P33,'7.3 (samb3)'!I33,'7.3 (samb3)'!P33)</f>
        <v>139</v>
      </c>
      <c r="J33" s="211">
        <f>SUM('7.3 (samb1)'!J33,'7.3 (samb1)'!Q33,'7.3 (samb2)'!J33,'7.3 (samb2)'!Q33,'7.3 (samb3)'!J33,'7.3 (samb3)'!Q33)</f>
        <v>68</v>
      </c>
      <c r="K33" s="222"/>
    </row>
    <row r="34" spans="2:11" ht="15" customHeight="1">
      <c r="B34" s="153"/>
      <c r="C34" s="152"/>
      <c r="D34" s="149">
        <v>2023</v>
      </c>
      <c r="E34" s="211">
        <f>SUM('7.3 (samb1)'!E34,'7.3 (samb1)'!L34,'7.3 (samb2)'!E34,'7.3 (samb2)'!L34,'7.3 (samb3)'!E34,'7.3 (samb3)'!L34)</f>
        <v>103</v>
      </c>
      <c r="F34" s="211">
        <f>SUM('7.3 (samb1)'!F34,'7.3 (samb1)'!M34,'7.3 (samb2)'!F34,'7.3 (samb2)'!M34,'7.3 (samb3)'!F34,'7.3 (samb3)'!M34)</f>
        <v>531</v>
      </c>
      <c r="G34" s="211">
        <f>SUM('7.3 (samb1)'!G34,'7.3 (samb1)'!N34,'7.3 (samb2)'!G34,'7.3 (samb2)'!N34,'7.3 (samb3)'!G34,'7.3 (samb3)'!N34)</f>
        <v>395</v>
      </c>
      <c r="H34" s="211">
        <f>SUM('7.3 (samb1)'!H34,'7.3 (samb1)'!O34,'7.3 (samb2)'!H34,'7.3 (samb2)'!O34,'7.3 (samb3)'!H34,'7.3 (samb3)'!O34)</f>
        <v>246</v>
      </c>
      <c r="I34" s="211">
        <f>SUM('7.3 (samb1)'!I34,'7.3 (samb1)'!P34,'7.3 (samb2)'!I34,'7.3 (samb2)'!P34,'7.3 (samb3)'!I34,'7.3 (samb3)'!P34)</f>
        <v>198</v>
      </c>
      <c r="J34" s="211">
        <f>SUM('7.3 (samb1)'!J34,'7.3 (samb1)'!Q34,'7.3 (samb2)'!J34,'7.3 (samb2)'!Q34,'7.3 (samb3)'!J34,'7.3 (samb3)'!Q34)</f>
        <v>100</v>
      </c>
      <c r="K34" s="222"/>
    </row>
    <row r="35" spans="2:11" ht="8.1" customHeight="1">
      <c r="B35" s="153"/>
      <c r="C35" s="154"/>
      <c r="D35" s="149"/>
      <c r="E35" s="150"/>
      <c r="F35" s="203"/>
      <c r="G35" s="203"/>
      <c r="H35" s="203"/>
      <c r="I35" s="203"/>
      <c r="J35" s="203"/>
      <c r="K35" s="203"/>
    </row>
    <row r="36" spans="2:11" ht="15" customHeight="1">
      <c r="B36" s="151" t="s">
        <v>98</v>
      </c>
      <c r="C36" s="152"/>
      <c r="D36" s="149">
        <v>2021</v>
      </c>
      <c r="E36" s="211">
        <f>SUM('7.3 (samb1)'!E36,'7.3 (samb1)'!L36,'7.3 (samb2)'!E36,'7.3 (samb2)'!L36,'7.3 (samb3)'!E36,'7.3 (samb3)'!L36)</f>
        <v>236</v>
      </c>
      <c r="F36" s="211">
        <f>SUM('7.3 (samb1)'!F36,'7.3 (samb1)'!M36,'7.3 (samb2)'!F36,'7.3 (samb2)'!M36,'7.3 (samb3)'!F36,'7.3 (samb3)'!M36)</f>
        <v>894</v>
      </c>
      <c r="G36" s="211">
        <f>SUM('7.3 (samb1)'!G36,'7.3 (samb1)'!N36,'7.3 (samb2)'!G36,'7.3 (samb2)'!N36,'7.3 (samb3)'!G36,'7.3 (samb3)'!N36)</f>
        <v>610</v>
      </c>
      <c r="H36" s="211">
        <f>SUM('7.3 (samb1)'!H36,'7.3 (samb1)'!O36,'7.3 (samb2)'!H36,'7.3 (samb2)'!O36,'7.3 (samb3)'!H36,'7.3 (samb3)'!O36)</f>
        <v>397</v>
      </c>
      <c r="I36" s="211">
        <f>SUM('7.3 (samb1)'!I36,'7.3 (samb1)'!P36,'7.3 (samb2)'!I36,'7.3 (samb2)'!P36,'7.3 (samb3)'!I36,'7.3 (samb3)'!P36)</f>
        <v>201</v>
      </c>
      <c r="J36" s="211">
        <f>SUM('7.3 (samb1)'!J36,'7.3 (samb1)'!Q36,'7.3 (samb2)'!J36,'7.3 (samb2)'!Q36,'7.3 (samb3)'!J36,'7.3 (samb3)'!Q36)</f>
        <v>112</v>
      </c>
      <c r="K36" s="222"/>
    </row>
    <row r="37" spans="2:11" ht="15" customHeight="1">
      <c r="B37" s="153"/>
      <c r="C37" s="152"/>
      <c r="D37" s="149">
        <v>2022</v>
      </c>
      <c r="E37" s="211">
        <f>SUM('7.3 (samb1)'!E37,'7.3 (samb1)'!L37,'7.3 (samb2)'!E37,'7.3 (samb2)'!L37,'7.3 (samb3)'!E37,'7.3 (samb3)'!L37)</f>
        <v>205</v>
      </c>
      <c r="F37" s="211">
        <f>SUM('7.3 (samb1)'!F37,'7.3 (samb1)'!M37,'7.3 (samb2)'!F37,'7.3 (samb2)'!M37,'7.3 (samb3)'!F37,'7.3 (samb3)'!M37)</f>
        <v>808</v>
      </c>
      <c r="G37" s="211">
        <f>SUM('7.3 (samb1)'!G37,'7.3 (samb1)'!N37,'7.3 (samb2)'!G37,'7.3 (samb2)'!N37,'7.3 (samb3)'!G37,'7.3 (samb3)'!N37)</f>
        <v>653</v>
      </c>
      <c r="H37" s="211">
        <f>SUM('7.3 (samb1)'!H37,'7.3 (samb1)'!O37,'7.3 (samb2)'!H37,'7.3 (samb2)'!O37,'7.3 (samb3)'!H37,'7.3 (samb3)'!O37)</f>
        <v>437</v>
      </c>
      <c r="I37" s="211">
        <f>SUM('7.3 (samb1)'!I37,'7.3 (samb1)'!P37,'7.3 (samb2)'!I37,'7.3 (samb2)'!P37,'7.3 (samb3)'!I37,'7.3 (samb3)'!P37)</f>
        <v>257</v>
      </c>
      <c r="J37" s="211">
        <f>SUM('7.3 (samb1)'!J37,'7.3 (samb1)'!Q37,'7.3 (samb2)'!J37,'7.3 (samb2)'!Q37,'7.3 (samb3)'!J37,'7.3 (samb3)'!Q37)</f>
        <v>141</v>
      </c>
      <c r="K37" s="222"/>
    </row>
    <row r="38" spans="2:11" ht="15" customHeight="1">
      <c r="B38" s="153"/>
      <c r="C38" s="152"/>
      <c r="D38" s="149">
        <v>2023</v>
      </c>
      <c r="E38" s="211">
        <f>SUM('7.3 (samb1)'!E38,'7.3 (samb1)'!L38,'7.3 (samb2)'!E38,'7.3 (samb2)'!L38,'7.3 (samb3)'!E38,'7.3 (samb3)'!L38)</f>
        <v>200</v>
      </c>
      <c r="F38" s="211">
        <f>SUM('7.3 (samb1)'!F38,'7.3 (samb1)'!M38,'7.3 (samb2)'!F38,'7.3 (samb2)'!M38,'7.3 (samb3)'!F38,'7.3 (samb3)'!M38)</f>
        <v>799</v>
      </c>
      <c r="G38" s="211">
        <f>SUM('7.3 (samb1)'!G38,'7.3 (samb1)'!N38,'7.3 (samb2)'!G38,'7.3 (samb2)'!N38,'7.3 (samb3)'!G38,'7.3 (samb3)'!N38)</f>
        <v>681</v>
      </c>
      <c r="H38" s="211">
        <f>SUM('7.3 (samb1)'!H38,'7.3 (samb1)'!O38,'7.3 (samb2)'!H38,'7.3 (samb2)'!O38,'7.3 (samb3)'!H38,'7.3 (samb3)'!O38)</f>
        <v>481</v>
      </c>
      <c r="I38" s="211">
        <f>SUM('7.3 (samb1)'!I38,'7.3 (samb1)'!P38,'7.3 (samb2)'!I38,'7.3 (samb2)'!P38,'7.3 (samb3)'!I38,'7.3 (samb3)'!P38)</f>
        <v>324</v>
      </c>
      <c r="J38" s="211">
        <f>SUM('7.3 (samb1)'!J38,'7.3 (samb1)'!Q38,'7.3 (samb2)'!J38,'7.3 (samb2)'!Q38,'7.3 (samb3)'!J38,'7.3 (samb3)'!Q38)</f>
        <v>219</v>
      </c>
      <c r="K38" s="222"/>
    </row>
    <row r="39" spans="2:11" ht="8.1" customHeight="1">
      <c r="B39" s="153"/>
      <c r="C39" s="154"/>
      <c r="D39" s="149"/>
      <c r="E39" s="150"/>
      <c r="F39" s="203"/>
      <c r="G39" s="203"/>
      <c r="H39" s="203"/>
      <c r="I39" s="203"/>
      <c r="J39" s="203"/>
      <c r="K39" s="203"/>
    </row>
    <row r="40" spans="2:11" ht="15" customHeight="1">
      <c r="B40" s="151" t="s">
        <v>99</v>
      </c>
      <c r="C40" s="152"/>
      <c r="D40" s="149">
        <v>2021</v>
      </c>
      <c r="E40" s="211">
        <f>SUM('7.3 (samb1)'!E40,'7.3 (samb1)'!L40,'7.3 (samb2)'!E40,'7.3 (samb2)'!L40,'7.3 (samb3)'!E40,'7.3 (samb3)'!L40)</f>
        <v>155</v>
      </c>
      <c r="F40" s="211">
        <f>SUM('7.3 (samb1)'!F40,'7.3 (samb1)'!M40,'7.3 (samb2)'!F40,'7.3 (samb2)'!M40,'7.3 (samb3)'!F40,'7.3 (samb3)'!M40)</f>
        <v>537</v>
      </c>
      <c r="G40" s="211">
        <f>SUM('7.3 (samb1)'!G40,'7.3 (samb1)'!N40,'7.3 (samb2)'!G40,'7.3 (samb2)'!N40,'7.3 (samb3)'!G40,'7.3 (samb3)'!N40)</f>
        <v>380</v>
      </c>
      <c r="H40" s="211">
        <f>SUM('7.3 (samb1)'!H40,'7.3 (samb1)'!O40,'7.3 (samb2)'!H40,'7.3 (samb2)'!O40,'7.3 (samb3)'!H40,'7.3 (samb3)'!O40)</f>
        <v>224</v>
      </c>
      <c r="I40" s="211">
        <f>SUM('7.3 (samb1)'!I40,'7.3 (samb1)'!P40,'7.3 (samb2)'!I40,'7.3 (samb2)'!P40,'7.3 (samb3)'!I40,'7.3 (samb3)'!P40)</f>
        <v>163</v>
      </c>
      <c r="J40" s="211">
        <f>SUM('7.3 (samb1)'!J40,'7.3 (samb1)'!Q40,'7.3 (samb2)'!J40,'7.3 (samb2)'!Q40,'7.3 (samb3)'!J40,'7.3 (samb3)'!Q40)</f>
        <v>71</v>
      </c>
      <c r="K40" s="222"/>
    </row>
    <row r="41" spans="2:11" ht="15" customHeight="1">
      <c r="B41" s="153"/>
      <c r="C41" s="152"/>
      <c r="D41" s="149">
        <v>2022</v>
      </c>
      <c r="E41" s="211">
        <f>SUM('7.3 (samb1)'!E41,'7.3 (samb1)'!L41,'7.3 (samb2)'!E41,'7.3 (samb2)'!L41,'7.3 (samb3)'!E41,'7.3 (samb3)'!L41)</f>
        <v>117</v>
      </c>
      <c r="F41" s="211">
        <f>SUM('7.3 (samb1)'!F41,'7.3 (samb1)'!M41,'7.3 (samb2)'!F41,'7.3 (samb2)'!M41,'7.3 (samb3)'!F41,'7.3 (samb3)'!M41)</f>
        <v>640</v>
      </c>
      <c r="G41" s="211">
        <f>SUM('7.3 (samb1)'!G41,'7.3 (samb1)'!N41,'7.3 (samb2)'!G41,'7.3 (samb2)'!N41,'7.3 (samb3)'!G41,'7.3 (samb3)'!N41)</f>
        <v>481</v>
      </c>
      <c r="H41" s="211">
        <f>SUM('7.3 (samb1)'!H41,'7.3 (samb1)'!O41,'7.3 (samb2)'!H41,'7.3 (samb2)'!O41,'7.3 (samb3)'!H41,'7.3 (samb3)'!O41)</f>
        <v>318</v>
      </c>
      <c r="I41" s="211">
        <f>SUM('7.3 (samb1)'!I41,'7.3 (samb1)'!P41,'7.3 (samb2)'!I41,'7.3 (samb2)'!P41,'7.3 (samb3)'!I41,'7.3 (samb3)'!P41)</f>
        <v>158</v>
      </c>
      <c r="J41" s="211">
        <f>SUM('7.3 (samb1)'!J41,'7.3 (samb1)'!Q41,'7.3 (samb2)'!J41,'7.3 (samb2)'!Q41,'7.3 (samb3)'!J41,'7.3 (samb3)'!Q41)</f>
        <v>99</v>
      </c>
      <c r="K41" s="222"/>
    </row>
    <row r="42" spans="2:11" ht="15" customHeight="1">
      <c r="B42" s="153"/>
      <c r="C42" s="152"/>
      <c r="D42" s="149">
        <v>2023</v>
      </c>
      <c r="E42" s="211">
        <f>SUM('7.3 (samb1)'!E42,'7.3 (samb1)'!L42,'7.3 (samb2)'!E42,'7.3 (samb2)'!L42,'7.3 (samb3)'!E42,'7.3 (samb3)'!L42)</f>
        <v>178</v>
      </c>
      <c r="F42" s="211">
        <f>SUM('7.3 (samb1)'!F42,'7.3 (samb1)'!M42,'7.3 (samb2)'!F42,'7.3 (samb2)'!M42,'7.3 (samb3)'!F42,'7.3 (samb3)'!M42)</f>
        <v>628</v>
      </c>
      <c r="G42" s="211">
        <f>SUM('7.3 (samb1)'!G42,'7.3 (samb1)'!N42,'7.3 (samb2)'!G42,'7.3 (samb2)'!N42,'7.3 (samb3)'!G42,'7.3 (samb3)'!N42)</f>
        <v>605</v>
      </c>
      <c r="H42" s="211">
        <f>SUM('7.3 (samb1)'!H42,'7.3 (samb1)'!O42,'7.3 (samb2)'!H42,'7.3 (samb2)'!O42,'7.3 (samb3)'!H42,'7.3 (samb3)'!O42)</f>
        <v>347</v>
      </c>
      <c r="I42" s="211">
        <f>SUM('7.3 (samb1)'!I42,'7.3 (samb1)'!P42,'7.3 (samb2)'!I42,'7.3 (samb2)'!P42,'7.3 (samb3)'!I42,'7.3 (samb3)'!P42)</f>
        <v>239</v>
      </c>
      <c r="J42" s="211">
        <f>SUM('7.3 (samb1)'!J42,'7.3 (samb1)'!Q42,'7.3 (samb2)'!J42,'7.3 (samb2)'!Q42,'7.3 (samb3)'!J42,'7.3 (samb3)'!Q42)</f>
        <v>144</v>
      </c>
      <c r="K42" s="222"/>
    </row>
    <row r="43" spans="2:11" ht="8.1" customHeight="1">
      <c r="B43" s="153"/>
      <c r="C43" s="148"/>
      <c r="D43" s="149"/>
      <c r="E43" s="150"/>
      <c r="F43" s="203"/>
      <c r="G43" s="203"/>
      <c r="H43" s="203"/>
      <c r="I43" s="203"/>
      <c r="J43" s="203"/>
      <c r="K43" s="203"/>
    </row>
    <row r="44" spans="2:11" ht="15" customHeight="1">
      <c r="B44" s="151" t="s">
        <v>100</v>
      </c>
      <c r="C44" s="152"/>
      <c r="D44" s="149">
        <v>2021</v>
      </c>
      <c r="E44" s="211">
        <f>SUM('7.3 (samb1)'!E44,'7.3 (samb1)'!L44,'7.3 (samb2)'!E44,'7.3 (samb2)'!L44,'7.3 (samb3)'!E44,'7.3 (samb3)'!L44)</f>
        <v>222</v>
      </c>
      <c r="F44" s="211">
        <f>SUM('7.3 (samb1)'!F44,'7.3 (samb1)'!M44,'7.3 (samb2)'!F44,'7.3 (samb2)'!M44,'7.3 (samb3)'!F44,'7.3 (samb3)'!M44)</f>
        <v>1056</v>
      </c>
      <c r="G44" s="211">
        <f>SUM('7.3 (samb1)'!G44,'7.3 (samb1)'!N44,'7.3 (samb2)'!G44,'7.3 (samb2)'!N44,'7.3 (samb3)'!G44,'7.3 (samb3)'!N44)</f>
        <v>644</v>
      </c>
      <c r="H44" s="211">
        <f>SUM('7.3 (samb1)'!H44,'7.3 (samb1)'!O44,'7.3 (samb2)'!H44,'7.3 (samb2)'!O44,'7.3 (samb3)'!H44,'7.3 (samb3)'!O44)</f>
        <v>449</v>
      </c>
      <c r="I44" s="211">
        <f>SUM('7.3 (samb1)'!I44,'7.3 (samb1)'!P44,'7.3 (samb2)'!I44,'7.3 (samb2)'!P44,'7.3 (samb3)'!I44,'7.3 (samb3)'!P44)</f>
        <v>273</v>
      </c>
      <c r="J44" s="211">
        <f>SUM('7.3 (samb1)'!J44,'7.3 (samb1)'!Q44,'7.3 (samb2)'!J44,'7.3 (samb2)'!Q44,'7.3 (samb3)'!J44,'7.3 (samb3)'!Q44)</f>
        <v>148</v>
      </c>
      <c r="K44" s="222"/>
    </row>
    <row r="45" spans="2:11" ht="15" customHeight="1">
      <c r="B45" s="151"/>
      <c r="C45" s="152"/>
      <c r="D45" s="149">
        <v>2022</v>
      </c>
      <c r="E45" s="211">
        <f>SUM('7.3 (samb1)'!E45,'7.3 (samb1)'!L45,'7.3 (samb2)'!E45,'7.3 (samb2)'!L45,'7.3 (samb3)'!E45,'7.3 (samb3)'!L45)</f>
        <v>137</v>
      </c>
      <c r="F45" s="211">
        <f>SUM('7.3 (samb1)'!F45,'7.3 (samb1)'!M45,'7.3 (samb2)'!F45,'7.3 (samb2)'!M45,'7.3 (samb3)'!F45,'7.3 (samb3)'!M45)</f>
        <v>840</v>
      </c>
      <c r="G45" s="211">
        <f>SUM('7.3 (samb1)'!G45,'7.3 (samb1)'!N45,'7.3 (samb2)'!G45,'7.3 (samb2)'!N45,'7.3 (samb3)'!G45,'7.3 (samb3)'!N45)</f>
        <v>537</v>
      </c>
      <c r="H45" s="211">
        <f>SUM('7.3 (samb1)'!H45,'7.3 (samb1)'!O45,'7.3 (samb2)'!H45,'7.3 (samb2)'!O45,'7.3 (samb3)'!H45,'7.3 (samb3)'!O45)</f>
        <v>386</v>
      </c>
      <c r="I45" s="211">
        <f>SUM('7.3 (samb1)'!I45,'7.3 (samb1)'!P45,'7.3 (samb2)'!I45,'7.3 (samb2)'!P45,'7.3 (samb3)'!I45,'7.3 (samb3)'!P45)</f>
        <v>220</v>
      </c>
      <c r="J45" s="211">
        <f>SUM('7.3 (samb1)'!J45,'7.3 (samb1)'!Q45,'7.3 (samb2)'!J45,'7.3 (samb2)'!Q45,'7.3 (samb3)'!J45,'7.3 (samb3)'!Q45)</f>
        <v>120</v>
      </c>
      <c r="K45" s="222"/>
    </row>
    <row r="46" spans="2:11" ht="15" customHeight="1">
      <c r="B46" s="151"/>
      <c r="C46" s="152"/>
      <c r="D46" s="149">
        <v>2023</v>
      </c>
      <c r="E46" s="211">
        <f>SUM('7.3 (samb1)'!E46,'7.3 (samb1)'!L46,'7.3 (samb2)'!E46,'7.3 (samb2)'!L46,'7.3 (samb3)'!E46,'7.3 (samb3)'!L46)</f>
        <v>156</v>
      </c>
      <c r="F46" s="211">
        <f>SUM('7.3 (samb1)'!F46,'7.3 (samb1)'!M46,'7.3 (samb2)'!F46,'7.3 (samb2)'!M46,'7.3 (samb3)'!F46,'7.3 (samb3)'!M46)</f>
        <v>1044</v>
      </c>
      <c r="G46" s="211">
        <f>SUM('7.3 (samb1)'!G46,'7.3 (samb1)'!N46,'7.3 (samb2)'!G46,'7.3 (samb2)'!N46,'7.3 (samb3)'!G46,'7.3 (samb3)'!N46)</f>
        <v>701</v>
      </c>
      <c r="H46" s="211">
        <f>SUM('7.3 (samb1)'!H46,'7.3 (samb1)'!O46,'7.3 (samb2)'!H46,'7.3 (samb2)'!O46,'7.3 (samb3)'!H46,'7.3 (samb3)'!O46)</f>
        <v>589</v>
      </c>
      <c r="I46" s="211">
        <f>SUM('7.3 (samb1)'!I46,'7.3 (samb1)'!P46,'7.3 (samb2)'!I46,'7.3 (samb2)'!P46,'7.3 (samb3)'!I46,'7.3 (samb3)'!P46)</f>
        <v>332</v>
      </c>
      <c r="J46" s="211">
        <f>SUM('7.3 (samb1)'!J46,'7.3 (samb1)'!Q46,'7.3 (samb2)'!J46,'7.3 (samb2)'!Q46,'7.3 (samb3)'!J46,'7.3 (samb3)'!Q46)</f>
        <v>189</v>
      </c>
      <c r="K46" s="222"/>
    </row>
    <row r="47" spans="2:11" ht="8.1" customHeight="1">
      <c r="B47" s="151"/>
      <c r="C47" s="154"/>
      <c r="D47" s="149"/>
      <c r="E47" s="150"/>
      <c r="F47" s="203"/>
      <c r="G47" s="203"/>
      <c r="H47" s="203"/>
      <c r="I47" s="203"/>
      <c r="J47" s="203"/>
      <c r="K47" s="203"/>
    </row>
    <row r="48" spans="2:11" ht="15" customHeight="1">
      <c r="B48" s="151" t="s">
        <v>101</v>
      </c>
      <c r="C48" s="152"/>
      <c r="D48" s="149">
        <v>2021</v>
      </c>
      <c r="E48" s="211">
        <f>SUM('7.3 (samb1)'!E48,'7.3 (samb1)'!L48,'7.3 (samb2)'!E48,'7.3 (samb2)'!L48,'7.3 (samb3)'!E48,'7.3 (samb3)'!L48)</f>
        <v>165</v>
      </c>
      <c r="F48" s="211">
        <f>SUM('7.3 (samb1)'!F48,'7.3 (samb1)'!M48,'7.3 (samb2)'!F48,'7.3 (samb2)'!M48,'7.3 (samb3)'!F48,'7.3 (samb3)'!M48)</f>
        <v>578</v>
      </c>
      <c r="G48" s="211">
        <f>SUM('7.3 (samb1)'!G48,'7.3 (samb1)'!N48,'7.3 (samb2)'!G48,'7.3 (samb2)'!N48,'7.3 (samb3)'!G48,'7.3 (samb3)'!N48)</f>
        <v>385</v>
      </c>
      <c r="H48" s="211">
        <f>SUM('7.3 (samb1)'!H48,'7.3 (samb1)'!O48,'7.3 (samb2)'!H48,'7.3 (samb2)'!O48,'7.3 (samb3)'!H48,'7.3 (samb3)'!O48)</f>
        <v>273</v>
      </c>
      <c r="I48" s="211">
        <f>SUM('7.3 (samb1)'!I48,'7.3 (samb1)'!P48,'7.3 (samb2)'!I48,'7.3 (samb2)'!P48,'7.3 (samb3)'!I48,'7.3 (samb3)'!P48)</f>
        <v>181</v>
      </c>
      <c r="J48" s="211">
        <f>SUM('7.3 (samb1)'!J48,'7.3 (samb1)'!Q48,'7.3 (samb2)'!J48,'7.3 (samb2)'!Q48,'7.3 (samb3)'!J48,'7.3 (samb3)'!Q48)</f>
        <v>128</v>
      </c>
      <c r="K48" s="222"/>
    </row>
    <row r="49" spans="2:11" ht="15" customHeight="1">
      <c r="B49" s="153"/>
      <c r="C49" s="152"/>
      <c r="D49" s="149">
        <v>2022</v>
      </c>
      <c r="E49" s="211">
        <f>SUM('7.3 (samb1)'!E49,'7.3 (samb1)'!L49,'7.3 (samb2)'!E49,'7.3 (samb2)'!L49,'7.3 (samb3)'!E49,'7.3 (samb3)'!L49)</f>
        <v>130</v>
      </c>
      <c r="F49" s="211">
        <f>SUM('7.3 (samb1)'!F49,'7.3 (samb1)'!M49,'7.3 (samb2)'!F49,'7.3 (samb2)'!M49,'7.3 (samb3)'!F49,'7.3 (samb3)'!M49)</f>
        <v>500</v>
      </c>
      <c r="G49" s="211">
        <f>SUM('7.3 (samb1)'!G49,'7.3 (samb1)'!N49,'7.3 (samb2)'!G49,'7.3 (samb2)'!N49,'7.3 (samb3)'!G49,'7.3 (samb3)'!N49)</f>
        <v>459</v>
      </c>
      <c r="H49" s="211">
        <f>SUM('7.3 (samb1)'!H49,'7.3 (samb1)'!O49,'7.3 (samb2)'!H49,'7.3 (samb2)'!O49,'7.3 (samb3)'!H49,'7.3 (samb3)'!O49)</f>
        <v>293</v>
      </c>
      <c r="I49" s="211">
        <f>SUM('7.3 (samb1)'!I49,'7.3 (samb1)'!P49,'7.3 (samb2)'!I49,'7.3 (samb2)'!P49,'7.3 (samb3)'!I49,'7.3 (samb3)'!P49)</f>
        <v>165</v>
      </c>
      <c r="J49" s="211">
        <f>SUM('7.3 (samb1)'!J49,'7.3 (samb1)'!Q49,'7.3 (samb2)'!J49,'7.3 (samb2)'!Q49,'7.3 (samb3)'!J49,'7.3 (samb3)'!Q49)</f>
        <v>120</v>
      </c>
      <c r="K49" s="222"/>
    </row>
    <row r="50" spans="2:11" ht="15" customHeight="1">
      <c r="B50" s="153"/>
      <c r="C50" s="152"/>
      <c r="D50" s="149">
        <v>2023</v>
      </c>
      <c r="E50" s="211">
        <f>SUM('7.3 (samb1)'!E50,'7.3 (samb1)'!L50,'7.3 (samb2)'!E50,'7.3 (samb2)'!L50,'7.3 (samb3)'!E50,'7.3 (samb3)'!L50)</f>
        <v>195</v>
      </c>
      <c r="F50" s="211">
        <f>SUM('7.3 (samb1)'!F50,'7.3 (samb1)'!M50,'7.3 (samb2)'!F50,'7.3 (samb2)'!M50,'7.3 (samb3)'!F50,'7.3 (samb3)'!M50)</f>
        <v>716</v>
      </c>
      <c r="G50" s="211">
        <f>SUM('7.3 (samb1)'!G50,'7.3 (samb1)'!N50,'7.3 (samb2)'!G50,'7.3 (samb2)'!N50,'7.3 (samb3)'!G50,'7.3 (samb3)'!N50)</f>
        <v>512</v>
      </c>
      <c r="H50" s="211">
        <f>SUM('7.3 (samb1)'!H50,'7.3 (samb1)'!O50,'7.3 (samb2)'!H50,'7.3 (samb2)'!O50,'7.3 (samb3)'!H50,'7.3 (samb3)'!O50)</f>
        <v>413</v>
      </c>
      <c r="I50" s="211">
        <f>SUM('7.3 (samb1)'!I50,'7.3 (samb1)'!P50,'7.3 (samb2)'!I50,'7.3 (samb2)'!P50,'7.3 (samb3)'!I50,'7.3 (samb3)'!P50)</f>
        <v>339</v>
      </c>
      <c r="J50" s="211">
        <f>SUM('7.3 (samb1)'!J50,'7.3 (samb1)'!Q50,'7.3 (samb2)'!J50,'7.3 (samb2)'!Q50,'7.3 (samb3)'!J50,'7.3 (samb3)'!Q50)</f>
        <v>219</v>
      </c>
      <c r="K50" s="222"/>
    </row>
    <row r="51" spans="2:11" ht="8.1" customHeight="1">
      <c r="B51" s="153"/>
      <c r="C51" s="138"/>
      <c r="D51" s="149"/>
      <c r="E51" s="150"/>
      <c r="F51" s="203"/>
      <c r="G51" s="203"/>
      <c r="H51" s="203"/>
      <c r="I51" s="203"/>
      <c r="J51" s="203"/>
      <c r="K51" s="203"/>
    </row>
    <row r="52" spans="2:11" ht="15" customHeight="1">
      <c r="B52" s="151" t="s">
        <v>102</v>
      </c>
      <c r="C52" s="152"/>
      <c r="D52" s="149">
        <v>2021</v>
      </c>
      <c r="E52" s="211">
        <f>SUM('7.3 (samb1)'!E52,'7.3 (samb1)'!L52,'7.3 (samb2)'!E52,'7.3 (samb2)'!L52,'7.3 (samb3)'!E52,'7.3 (samb3)'!L52)</f>
        <v>34</v>
      </c>
      <c r="F52" s="211">
        <f>SUM('7.3 (samb1)'!F52,'7.3 (samb1)'!M52,'7.3 (samb2)'!F52,'7.3 (samb2)'!M52,'7.3 (samb3)'!F52,'7.3 (samb3)'!M52)</f>
        <v>131</v>
      </c>
      <c r="G52" s="211">
        <f>SUM('7.3 (samb1)'!G52,'7.3 (samb1)'!N52,'7.3 (samb2)'!G52,'7.3 (samb2)'!N52,'7.3 (samb3)'!G52,'7.3 (samb3)'!N52)</f>
        <v>80</v>
      </c>
      <c r="H52" s="211">
        <f>SUM('7.3 (samb1)'!H52,'7.3 (samb1)'!O52,'7.3 (samb2)'!H52,'7.3 (samb2)'!O52,'7.3 (samb3)'!H52,'7.3 (samb3)'!O52)</f>
        <v>63</v>
      </c>
      <c r="I52" s="211">
        <f>SUM('7.3 (samb1)'!I52,'7.3 (samb1)'!P52,'7.3 (samb2)'!I52,'7.3 (samb2)'!P52,'7.3 (samb3)'!I52,'7.3 (samb3)'!P52)</f>
        <v>37</v>
      </c>
      <c r="J52" s="211">
        <f>SUM('7.3 (samb1)'!J52,'7.3 (samb1)'!Q52,'7.3 (samb2)'!J52,'7.3 (samb2)'!Q52,'7.3 (samb3)'!J52,'7.3 (samb3)'!Q52)</f>
        <v>12</v>
      </c>
      <c r="K52" s="222"/>
    </row>
    <row r="53" spans="2:11" ht="15" customHeight="1">
      <c r="B53" s="153"/>
      <c r="C53" s="152"/>
      <c r="D53" s="149">
        <v>2022</v>
      </c>
      <c r="E53" s="211">
        <f>SUM('7.3 (samb1)'!E53,'7.3 (samb1)'!L53,'7.3 (samb2)'!E53,'7.3 (samb2)'!L53,'7.3 (samb3)'!E53,'7.3 (samb3)'!L53)</f>
        <v>55</v>
      </c>
      <c r="F53" s="211">
        <f>SUM('7.3 (samb1)'!F53,'7.3 (samb1)'!M53,'7.3 (samb2)'!F53,'7.3 (samb2)'!M53,'7.3 (samb3)'!F53,'7.3 (samb3)'!M53)</f>
        <v>129</v>
      </c>
      <c r="G53" s="211">
        <f>SUM('7.3 (samb1)'!G53,'7.3 (samb1)'!N53,'7.3 (samb2)'!G53,'7.3 (samb2)'!N53,'7.3 (samb3)'!G53,'7.3 (samb3)'!N53)</f>
        <v>110</v>
      </c>
      <c r="H53" s="211">
        <f>SUM('7.3 (samb1)'!H53,'7.3 (samb1)'!O53,'7.3 (samb2)'!H53,'7.3 (samb2)'!O53,'7.3 (samb3)'!H53,'7.3 (samb3)'!O53)</f>
        <v>47</v>
      </c>
      <c r="I53" s="211">
        <f>SUM('7.3 (samb1)'!I53,'7.3 (samb1)'!P53,'7.3 (samb2)'!I53,'7.3 (samb2)'!P53,'7.3 (samb3)'!I53,'7.3 (samb3)'!P53)</f>
        <v>44</v>
      </c>
      <c r="J53" s="211">
        <f>SUM('7.3 (samb1)'!J53,'7.3 (samb1)'!Q53,'7.3 (samb2)'!J53,'7.3 (samb2)'!Q53,'7.3 (samb3)'!J53,'7.3 (samb3)'!Q53)</f>
        <v>14</v>
      </c>
      <c r="K53" s="222"/>
    </row>
    <row r="54" spans="2:11" ht="15" customHeight="1">
      <c r="B54" s="153"/>
      <c r="C54" s="152"/>
      <c r="D54" s="149">
        <v>2023</v>
      </c>
      <c r="E54" s="211">
        <f>SUM('7.3 (samb1)'!E54,'7.3 (samb1)'!L54,'7.3 (samb2)'!E54,'7.3 (samb2)'!L54,'7.3 (samb3)'!E54,'7.3 (samb3)'!L54)</f>
        <v>51</v>
      </c>
      <c r="F54" s="211">
        <f>SUM('7.3 (samb1)'!F54,'7.3 (samb1)'!M54,'7.3 (samb2)'!F54,'7.3 (samb2)'!M54,'7.3 (samb3)'!F54,'7.3 (samb3)'!M54)</f>
        <v>126</v>
      </c>
      <c r="G54" s="211">
        <f>SUM('7.3 (samb1)'!G54,'7.3 (samb1)'!N54,'7.3 (samb2)'!G54,'7.3 (samb2)'!N54,'7.3 (samb3)'!G54,'7.3 (samb3)'!N54)</f>
        <v>101</v>
      </c>
      <c r="H54" s="211">
        <f>SUM('7.3 (samb1)'!H54,'7.3 (samb1)'!O54,'7.3 (samb2)'!H54,'7.3 (samb2)'!O54,'7.3 (samb3)'!H54,'7.3 (samb3)'!O54)</f>
        <v>62</v>
      </c>
      <c r="I54" s="211">
        <f>SUM('7.3 (samb1)'!I54,'7.3 (samb1)'!P54,'7.3 (samb2)'!I54,'7.3 (samb2)'!P54,'7.3 (samb3)'!I54,'7.3 (samb3)'!P54)</f>
        <v>38</v>
      </c>
      <c r="J54" s="211">
        <f>SUM('7.3 (samb1)'!J54,'7.3 (samb1)'!Q54,'7.3 (samb2)'!J54,'7.3 (samb2)'!Q54,'7.3 (samb3)'!J54,'7.3 (samb3)'!Q54)</f>
        <v>26</v>
      </c>
      <c r="K54" s="222"/>
    </row>
    <row r="55" spans="2:11" ht="8.1" customHeight="1">
      <c r="B55" s="153"/>
      <c r="C55" s="154"/>
      <c r="D55" s="149"/>
      <c r="E55" s="150"/>
      <c r="F55" s="203"/>
      <c r="G55" s="203"/>
      <c r="H55" s="203"/>
      <c r="I55" s="203"/>
      <c r="J55" s="203"/>
      <c r="K55" s="203"/>
    </row>
    <row r="56" spans="2:11" ht="15" customHeight="1">
      <c r="B56" s="151" t="s">
        <v>103</v>
      </c>
      <c r="C56" s="152"/>
      <c r="D56" s="149">
        <v>2021</v>
      </c>
      <c r="E56" s="211">
        <f>SUM('7.3 (samb1)'!E56,'7.3 (samb1)'!L56,'7.3 (samb2)'!E56,'7.3 (samb2)'!L56,'7.3 (samb3)'!E56,'7.3 (samb3)'!L56)</f>
        <v>194</v>
      </c>
      <c r="F56" s="211">
        <f>SUM('7.3 (samb1)'!F56,'7.3 (samb1)'!M56,'7.3 (samb2)'!F56,'7.3 (samb2)'!M56,'7.3 (samb3)'!F56,'7.3 (samb3)'!M56)</f>
        <v>1116</v>
      </c>
      <c r="G56" s="211">
        <f>SUM('7.3 (samb1)'!G56,'7.3 (samb1)'!N56,'7.3 (samb2)'!G56,'7.3 (samb2)'!N56,'7.3 (samb3)'!G56,'7.3 (samb3)'!N56)</f>
        <v>915</v>
      </c>
      <c r="H56" s="211">
        <f>SUM('7.3 (samb1)'!H56,'7.3 (samb1)'!O56,'7.3 (samb2)'!H56,'7.3 (samb2)'!O56,'7.3 (samb3)'!H56,'7.3 (samb3)'!O56)</f>
        <v>643</v>
      </c>
      <c r="I56" s="211">
        <f>SUM('7.3 (samb1)'!I56,'7.3 (samb1)'!P56,'7.3 (samb2)'!I56,'7.3 (samb2)'!P56,'7.3 (samb3)'!I56,'7.3 (samb3)'!P56)</f>
        <v>369</v>
      </c>
      <c r="J56" s="211">
        <f>SUM('7.3 (samb1)'!J56,'7.3 (samb1)'!Q56,'7.3 (samb2)'!J56,'7.3 (samb2)'!Q56,'7.3 (samb3)'!J56,'7.3 (samb3)'!Q56)</f>
        <v>200</v>
      </c>
      <c r="K56" s="222"/>
    </row>
    <row r="57" spans="2:11" ht="15" customHeight="1">
      <c r="B57" s="153"/>
      <c r="C57" s="152"/>
      <c r="D57" s="149">
        <v>2022</v>
      </c>
      <c r="E57" s="211">
        <f>SUM('7.3 (samb1)'!E57,'7.3 (samb1)'!L57,'7.3 (samb2)'!E57,'7.3 (samb2)'!L57,'7.3 (samb3)'!E57,'7.3 (samb3)'!L57)</f>
        <v>109</v>
      </c>
      <c r="F57" s="211">
        <f>SUM('7.3 (samb1)'!F57,'7.3 (samb1)'!M57,'7.3 (samb2)'!F57,'7.3 (samb2)'!M57,'7.3 (samb3)'!F57,'7.3 (samb3)'!M57)</f>
        <v>890</v>
      </c>
      <c r="G57" s="211">
        <f>SUM('7.3 (samb1)'!G57,'7.3 (samb1)'!N57,'7.3 (samb2)'!G57,'7.3 (samb2)'!N57,'7.3 (samb3)'!G57,'7.3 (samb3)'!N57)</f>
        <v>784</v>
      </c>
      <c r="H57" s="211">
        <f>SUM('7.3 (samb1)'!H57,'7.3 (samb1)'!O57,'7.3 (samb2)'!H57,'7.3 (samb2)'!O57,'7.3 (samb3)'!H57,'7.3 (samb3)'!O57)</f>
        <v>556</v>
      </c>
      <c r="I57" s="211">
        <f>SUM('7.3 (samb1)'!I57,'7.3 (samb1)'!P57,'7.3 (samb2)'!I57,'7.3 (samb2)'!P57,'7.3 (samb3)'!I57,'7.3 (samb3)'!P57)</f>
        <v>355</v>
      </c>
      <c r="J57" s="211">
        <f>SUM('7.3 (samb1)'!J57,'7.3 (samb1)'!Q57,'7.3 (samb2)'!J57,'7.3 (samb2)'!Q57,'7.3 (samb3)'!J57,'7.3 (samb3)'!Q57)</f>
        <v>156</v>
      </c>
      <c r="K57" s="222"/>
    </row>
    <row r="58" spans="2:11" ht="15" customHeight="1">
      <c r="B58" s="153"/>
      <c r="C58" s="152"/>
      <c r="D58" s="149">
        <v>2023</v>
      </c>
      <c r="E58" s="211">
        <f>SUM('7.3 (samb1)'!E58,'7.3 (samb1)'!L58,'7.3 (samb2)'!E58,'7.3 (samb2)'!L58,'7.3 (samb3)'!E58,'7.3 (samb3)'!L58)</f>
        <v>318</v>
      </c>
      <c r="F58" s="211">
        <f>SUM('7.3 (samb1)'!F58,'7.3 (samb1)'!M58,'7.3 (samb2)'!F58,'7.3 (samb2)'!M58,'7.3 (samb3)'!F58,'7.3 (samb3)'!M58)</f>
        <v>1859</v>
      </c>
      <c r="G58" s="211">
        <f>SUM('7.3 (samb1)'!G58,'7.3 (samb1)'!N58,'7.3 (samb2)'!G58,'7.3 (samb2)'!N58,'7.3 (samb3)'!G58,'7.3 (samb3)'!N58)</f>
        <v>1597</v>
      </c>
      <c r="H58" s="211">
        <f>SUM('7.3 (samb1)'!H58,'7.3 (samb1)'!O58,'7.3 (samb2)'!H58,'7.3 (samb2)'!O58,'7.3 (samb3)'!H58,'7.3 (samb3)'!O58)</f>
        <v>1159</v>
      </c>
      <c r="I58" s="211">
        <f>SUM('7.3 (samb1)'!I58,'7.3 (samb1)'!P58,'7.3 (samb2)'!I58,'7.3 (samb2)'!P58,'7.3 (samb3)'!I58,'7.3 (samb3)'!P58)</f>
        <v>732</v>
      </c>
      <c r="J58" s="211">
        <f>SUM('7.3 (samb1)'!J58,'7.3 (samb1)'!Q58,'7.3 (samb2)'!J58,'7.3 (samb2)'!Q58,'7.3 (samb3)'!J58,'7.3 (samb3)'!Q58)</f>
        <v>546</v>
      </c>
      <c r="K58" s="222"/>
    </row>
    <row r="59" spans="2:11" ht="8.1" customHeight="1">
      <c r="B59" s="153"/>
      <c r="C59" s="148"/>
      <c r="D59" s="149"/>
      <c r="E59" s="150"/>
      <c r="F59" s="203"/>
      <c r="G59" s="203"/>
      <c r="H59" s="203"/>
      <c r="I59" s="203"/>
      <c r="J59" s="203"/>
      <c r="K59" s="203"/>
    </row>
    <row r="60" spans="2:11" ht="15" customHeight="1">
      <c r="B60" s="151" t="s">
        <v>104</v>
      </c>
      <c r="C60" s="152"/>
      <c r="D60" s="149">
        <v>2021</v>
      </c>
      <c r="E60" s="211">
        <f>SUM('7.3 (samb1)'!E60,'7.3 (samb1)'!L60,'7.3 (samb2)'!E60,'7.3 (samb2)'!L60,'7.3 (samb3)'!E60,'7.3 (samb3)'!L60)</f>
        <v>127</v>
      </c>
      <c r="F60" s="211">
        <f>SUM('7.3 (samb1)'!F60,'7.3 (samb1)'!M60,'7.3 (samb2)'!F60,'7.3 (samb2)'!M60,'7.3 (samb3)'!F60,'7.3 (samb3)'!M60)</f>
        <v>409</v>
      </c>
      <c r="G60" s="211">
        <f>SUM('7.3 (samb1)'!G60,'7.3 (samb1)'!N60,'7.3 (samb2)'!G60,'7.3 (samb2)'!N60,'7.3 (samb3)'!G60,'7.3 (samb3)'!N60)</f>
        <v>260</v>
      </c>
      <c r="H60" s="211">
        <f>SUM('7.3 (samb1)'!H60,'7.3 (samb1)'!O60,'7.3 (samb2)'!H60,'7.3 (samb2)'!O60,'7.3 (samb3)'!H60,'7.3 (samb3)'!O60)</f>
        <v>172</v>
      </c>
      <c r="I60" s="211">
        <f>SUM('7.3 (samb1)'!I60,'7.3 (samb1)'!P60,'7.3 (samb2)'!I60,'7.3 (samb2)'!P60,'7.3 (samb3)'!I60,'7.3 (samb3)'!P60)</f>
        <v>113</v>
      </c>
      <c r="J60" s="211">
        <f>SUM('7.3 (samb1)'!J60,'7.3 (samb1)'!Q60,'7.3 (samb2)'!J60,'7.3 (samb2)'!Q60,'7.3 (samb3)'!J60,'7.3 (samb3)'!Q60)</f>
        <v>22</v>
      </c>
      <c r="K60" s="222"/>
    </row>
    <row r="61" spans="2:11" ht="15" customHeight="1">
      <c r="B61" s="153"/>
      <c r="C61" s="152"/>
      <c r="D61" s="149">
        <v>2022</v>
      </c>
      <c r="E61" s="211">
        <f>SUM('7.3 (samb1)'!E61,'7.3 (samb1)'!L61,'7.3 (samb2)'!E61,'7.3 (samb2)'!L61,'7.3 (samb3)'!E61,'7.3 (samb3)'!L61)</f>
        <v>93</v>
      </c>
      <c r="F61" s="211">
        <f>SUM('7.3 (samb1)'!F61,'7.3 (samb1)'!M61,'7.3 (samb2)'!F61,'7.3 (samb2)'!M61,'7.3 (samb3)'!F61,'7.3 (samb3)'!M61)</f>
        <v>384</v>
      </c>
      <c r="G61" s="211">
        <f>SUM('7.3 (samb1)'!G61,'7.3 (samb1)'!N61,'7.3 (samb2)'!G61,'7.3 (samb2)'!N61,'7.3 (samb3)'!G61,'7.3 (samb3)'!N61)</f>
        <v>358</v>
      </c>
      <c r="H61" s="211">
        <f>SUM('7.3 (samb1)'!H61,'7.3 (samb1)'!O61,'7.3 (samb2)'!H61,'7.3 (samb2)'!O61,'7.3 (samb3)'!H61,'7.3 (samb3)'!O61)</f>
        <v>194</v>
      </c>
      <c r="I61" s="211">
        <f>SUM('7.3 (samb1)'!I61,'7.3 (samb1)'!P61,'7.3 (samb2)'!I61,'7.3 (samb2)'!P61,'7.3 (samb3)'!I61,'7.3 (samb3)'!P61)</f>
        <v>115</v>
      </c>
      <c r="J61" s="211">
        <f>SUM('7.3 (samb1)'!J61,'7.3 (samb1)'!Q61,'7.3 (samb2)'!J61,'7.3 (samb2)'!Q61,'7.3 (samb3)'!J61,'7.3 (samb3)'!Q61)</f>
        <v>54</v>
      </c>
      <c r="K61" s="222"/>
    </row>
    <row r="62" spans="2:11" ht="15" customHeight="1">
      <c r="B62" s="153"/>
      <c r="C62" s="152"/>
      <c r="D62" s="149">
        <v>2023</v>
      </c>
      <c r="E62" s="211">
        <f>SUM('7.3 (samb1)'!E62,'7.3 (samb1)'!L62,'7.3 (samb2)'!E62,'7.3 (samb2)'!L62,'7.3 (samb3)'!E62,'7.3 (samb3)'!L62)</f>
        <v>86</v>
      </c>
      <c r="F62" s="211">
        <f>SUM('7.3 (samb1)'!F62,'7.3 (samb1)'!M62,'7.3 (samb2)'!F62,'7.3 (samb2)'!M62,'7.3 (samb3)'!F62,'7.3 (samb3)'!M62)</f>
        <v>344</v>
      </c>
      <c r="G62" s="211">
        <f>SUM('7.3 (samb1)'!G62,'7.3 (samb1)'!N62,'7.3 (samb2)'!G62,'7.3 (samb2)'!N62,'7.3 (samb3)'!G62,'7.3 (samb3)'!N62)</f>
        <v>298</v>
      </c>
      <c r="H62" s="211">
        <f>SUM('7.3 (samb1)'!H62,'7.3 (samb1)'!O62,'7.3 (samb2)'!H62,'7.3 (samb2)'!O62,'7.3 (samb3)'!H62,'7.3 (samb3)'!O62)</f>
        <v>195</v>
      </c>
      <c r="I62" s="211">
        <f>SUM('7.3 (samb1)'!I62,'7.3 (samb1)'!P62,'7.3 (samb2)'!I62,'7.3 (samb2)'!P62,'7.3 (samb3)'!I62,'7.3 (samb3)'!P62)</f>
        <v>147</v>
      </c>
      <c r="J62" s="211">
        <f>SUM('7.3 (samb1)'!J62,'7.3 (samb1)'!Q62,'7.3 (samb2)'!J62,'7.3 (samb2)'!Q62,'7.3 (samb3)'!J62,'7.3 (samb3)'!Q62)</f>
        <v>69</v>
      </c>
      <c r="K62" s="222"/>
    </row>
    <row r="63" spans="2:11" ht="8.1" customHeight="1">
      <c r="B63" s="153"/>
      <c r="C63" s="154"/>
      <c r="D63" s="149"/>
      <c r="E63" s="150"/>
      <c r="F63" s="203"/>
      <c r="G63" s="203"/>
      <c r="H63" s="203"/>
      <c r="I63" s="203"/>
      <c r="J63" s="203"/>
      <c r="K63" s="203"/>
    </row>
    <row r="64" spans="2:11" ht="15" customHeight="1">
      <c r="B64" s="151" t="s">
        <v>108</v>
      </c>
      <c r="C64" s="152"/>
      <c r="D64" s="149">
        <v>2021</v>
      </c>
      <c r="E64" s="211">
        <f>SUM('7.3 (samb1)'!E64,'7.3 (samb1)'!L64,'7.3 (samb2)'!E64,'7.3 (samb2)'!L64,'7.3 (samb3)'!E64,'7.3 (samb3)'!L64)</f>
        <v>69</v>
      </c>
      <c r="F64" s="211">
        <f>SUM('7.3 (samb1)'!F64,'7.3 (samb1)'!M64,'7.3 (samb2)'!F64,'7.3 (samb2)'!M64,'7.3 (samb3)'!F64,'7.3 (samb3)'!M64)</f>
        <v>357</v>
      </c>
      <c r="G64" s="211">
        <f>SUM('7.3 (samb1)'!G64,'7.3 (samb1)'!N64,'7.3 (samb2)'!G64,'7.3 (samb2)'!N64,'7.3 (samb3)'!G64,'7.3 (samb3)'!N64)</f>
        <v>300</v>
      </c>
      <c r="H64" s="211">
        <f>SUM('7.3 (samb1)'!H64,'7.3 (samb1)'!O64,'7.3 (samb2)'!H64,'7.3 (samb2)'!O64,'7.3 (samb3)'!H64,'7.3 (samb3)'!O64)</f>
        <v>207</v>
      </c>
      <c r="I64" s="211">
        <f>SUM('7.3 (samb1)'!I64,'7.3 (samb1)'!P64,'7.3 (samb2)'!I64,'7.3 (samb2)'!P64,'7.3 (samb3)'!I64,'7.3 (samb3)'!P64)</f>
        <v>133</v>
      </c>
      <c r="J64" s="211">
        <f>SUM('7.3 (samb1)'!J64,'7.3 (samb1)'!Q64,'7.3 (samb2)'!J64,'7.3 (samb2)'!Q64,'7.3 (samb3)'!J64,'7.3 (samb3)'!Q64)</f>
        <v>73</v>
      </c>
      <c r="K64" s="222"/>
    </row>
    <row r="65" spans="1:11" ht="15" customHeight="1">
      <c r="B65" s="153"/>
      <c r="C65" s="152"/>
      <c r="D65" s="149">
        <v>2022</v>
      </c>
      <c r="E65" s="211">
        <f>SUM('7.3 (samb1)'!E65,'7.3 (samb1)'!L65,'7.3 (samb2)'!E65,'7.3 (samb2)'!L65,'7.3 (samb3)'!E65,'7.3 (samb3)'!L65)</f>
        <v>38</v>
      </c>
      <c r="F65" s="211">
        <f>SUM('7.3 (samb1)'!F65,'7.3 (samb1)'!M65,'7.3 (samb2)'!F65,'7.3 (samb2)'!M65,'7.3 (samb3)'!F65,'7.3 (samb3)'!M65)</f>
        <v>347</v>
      </c>
      <c r="G65" s="211">
        <f>SUM('7.3 (samb1)'!G65,'7.3 (samb1)'!N65,'7.3 (samb2)'!G65,'7.3 (samb2)'!N65,'7.3 (samb3)'!G65,'7.3 (samb3)'!N65)</f>
        <v>381</v>
      </c>
      <c r="H65" s="211">
        <f>SUM('7.3 (samb1)'!H65,'7.3 (samb1)'!O65,'7.3 (samb2)'!H65,'7.3 (samb2)'!O65,'7.3 (samb3)'!H65,'7.3 (samb3)'!O65)</f>
        <v>215</v>
      </c>
      <c r="I65" s="211">
        <f>SUM('7.3 (samb1)'!I65,'7.3 (samb1)'!P65,'7.3 (samb2)'!I65,'7.3 (samb2)'!P65,'7.3 (samb3)'!I65,'7.3 (samb3)'!P65)</f>
        <v>149</v>
      </c>
      <c r="J65" s="211">
        <f>SUM('7.3 (samb1)'!J65,'7.3 (samb1)'!Q65,'7.3 (samb2)'!J65,'7.3 (samb2)'!Q65,'7.3 (samb3)'!J65,'7.3 (samb3)'!Q65)</f>
        <v>77</v>
      </c>
      <c r="K65" s="222"/>
    </row>
    <row r="66" spans="1:11" ht="15" customHeight="1">
      <c r="B66" s="153"/>
      <c r="C66" s="152"/>
      <c r="D66" s="149">
        <v>2023</v>
      </c>
      <c r="E66" s="211">
        <f>SUM('7.3 (samb1)'!E66,'7.3 (samb1)'!L66,'7.3 (samb2)'!E66,'7.3 (samb2)'!L66,'7.3 (samb3)'!E66,'7.3 (samb3)'!L66)</f>
        <v>72</v>
      </c>
      <c r="F66" s="211">
        <f>SUM('7.3 (samb1)'!F66,'7.3 (samb1)'!M66,'7.3 (samb2)'!F66,'7.3 (samb2)'!M66,'7.3 (samb3)'!F66,'7.3 (samb3)'!M66)</f>
        <v>493</v>
      </c>
      <c r="G66" s="211">
        <f>SUM('7.3 (samb1)'!G66,'7.3 (samb1)'!N66,'7.3 (samb2)'!G66,'7.3 (samb2)'!N66,'7.3 (samb3)'!G66,'7.3 (samb3)'!N66)</f>
        <v>553</v>
      </c>
      <c r="H66" s="211">
        <f>SUM('7.3 (samb1)'!H66,'7.3 (samb1)'!O66,'7.3 (samb2)'!H66,'7.3 (samb2)'!O66,'7.3 (samb3)'!H66,'7.3 (samb3)'!O66)</f>
        <v>363</v>
      </c>
      <c r="I66" s="211">
        <f>SUM('7.3 (samb1)'!I66,'7.3 (samb1)'!P66,'7.3 (samb2)'!I66,'7.3 (samb2)'!P66,'7.3 (samb3)'!I66,'7.3 (samb3)'!P66)</f>
        <v>234</v>
      </c>
      <c r="J66" s="211">
        <f>SUM('7.3 (samb1)'!J66,'7.3 (samb1)'!Q66,'7.3 (samb2)'!J66,'7.3 (samb2)'!Q66,'7.3 (samb3)'!J66,'7.3 (samb3)'!Q66)</f>
        <v>104</v>
      </c>
      <c r="K66" s="222"/>
    </row>
    <row r="67" spans="1:11" ht="8.1" customHeight="1">
      <c r="B67" s="155"/>
      <c r="C67" s="145"/>
      <c r="D67" s="149"/>
      <c r="E67" s="150"/>
      <c r="F67" s="203"/>
      <c r="G67" s="203"/>
      <c r="H67" s="203"/>
      <c r="I67" s="203"/>
      <c r="J67" s="203"/>
      <c r="K67" s="203"/>
    </row>
    <row r="68" spans="1:11" ht="15" customHeight="1">
      <c r="B68" s="151" t="s">
        <v>105</v>
      </c>
      <c r="C68" s="152"/>
      <c r="D68" s="149">
        <v>2021</v>
      </c>
      <c r="E68" s="211">
        <f>SUM('7.3 (samb1)'!E68,'7.3 (samb1)'!L68,'7.3 (samb2)'!E68,'7.3 (samb2)'!L68,'7.3 (samb3)'!E68,'7.3 (samb3)'!L68)</f>
        <v>197</v>
      </c>
      <c r="F68" s="211">
        <f>SUM('7.3 (samb1)'!F68,'7.3 (samb1)'!M68,'7.3 (samb2)'!F68,'7.3 (samb2)'!M68,'7.3 (samb3)'!F68,'7.3 (samb3)'!M68)</f>
        <v>741</v>
      </c>
      <c r="G68" s="211">
        <f>SUM('7.3 (samb1)'!G68,'7.3 (samb1)'!N68,'7.3 (samb2)'!G68,'7.3 (samb2)'!N68,'7.3 (samb3)'!G68,'7.3 (samb3)'!N68)</f>
        <v>529</v>
      </c>
      <c r="H68" s="211">
        <f>SUM('7.3 (samb1)'!H68,'7.3 (samb1)'!O68,'7.3 (samb2)'!H68,'7.3 (samb2)'!O68,'7.3 (samb3)'!H68,'7.3 (samb3)'!O68)</f>
        <v>385</v>
      </c>
      <c r="I68" s="211">
        <f>SUM('7.3 (samb1)'!I68,'7.3 (samb1)'!P68,'7.3 (samb2)'!I68,'7.3 (samb2)'!P68,'7.3 (samb3)'!I68,'7.3 (samb3)'!P68)</f>
        <v>184</v>
      </c>
      <c r="J68" s="211">
        <f>SUM('7.3 (samb1)'!J68,'7.3 (samb1)'!Q68,'7.3 (samb2)'!J68,'7.3 (samb2)'!Q68,'7.3 (samb3)'!J68,'7.3 (samb3)'!Q68)</f>
        <v>117</v>
      </c>
      <c r="K68" s="222"/>
    </row>
    <row r="69" spans="1:11" ht="15" customHeight="1">
      <c r="B69" s="153"/>
      <c r="C69" s="152"/>
      <c r="D69" s="149">
        <v>2022</v>
      </c>
      <c r="E69" s="211">
        <f>SUM('7.3 (samb1)'!E69,'7.3 (samb1)'!L69,'7.3 (samb2)'!E69,'7.3 (samb2)'!L69,'7.3 (samb3)'!E69,'7.3 (samb3)'!L69)</f>
        <v>141</v>
      </c>
      <c r="F69" s="211">
        <f>SUM('7.3 (samb1)'!F69,'7.3 (samb1)'!M69,'7.3 (samb2)'!F69,'7.3 (samb2)'!M69,'7.3 (samb3)'!F69,'7.3 (samb3)'!M69)</f>
        <v>596</v>
      </c>
      <c r="G69" s="211">
        <f>SUM('7.3 (samb1)'!G69,'7.3 (samb1)'!N69,'7.3 (samb2)'!G69,'7.3 (samb2)'!N69,'7.3 (samb3)'!G69,'7.3 (samb3)'!N69)</f>
        <v>475</v>
      </c>
      <c r="H69" s="211">
        <f>SUM('7.3 (samb1)'!H69,'7.3 (samb1)'!O69,'7.3 (samb2)'!H69,'7.3 (samb2)'!O69,'7.3 (samb3)'!H69,'7.3 (samb3)'!O69)</f>
        <v>348</v>
      </c>
      <c r="I69" s="211">
        <f>SUM('7.3 (samb1)'!I69,'7.3 (samb1)'!P69,'7.3 (samb2)'!I69,'7.3 (samb2)'!P69,'7.3 (samb3)'!I69,'7.3 (samb3)'!P69)</f>
        <v>190</v>
      </c>
      <c r="J69" s="211">
        <f>SUM('7.3 (samb1)'!J69,'7.3 (samb1)'!Q69,'7.3 (samb2)'!J69,'7.3 (samb2)'!Q69,'7.3 (samb3)'!J69,'7.3 (samb3)'!Q69)</f>
        <v>115</v>
      </c>
      <c r="K69" s="222"/>
    </row>
    <row r="70" spans="1:11" ht="15" customHeight="1">
      <c r="B70" s="153"/>
      <c r="C70" s="152"/>
      <c r="D70" s="149">
        <v>2023</v>
      </c>
      <c r="E70" s="211">
        <f>SUM('7.3 (samb1)'!E70,'7.3 (samb1)'!L70,'7.3 (samb2)'!E70,'7.3 (samb2)'!L70,'7.3 (samb3)'!E70,'7.3 (samb3)'!L70)</f>
        <v>140</v>
      </c>
      <c r="F70" s="211">
        <f>SUM('7.3 (samb1)'!F70,'7.3 (samb1)'!M70,'7.3 (samb2)'!F70,'7.3 (samb2)'!M70,'7.3 (samb3)'!F70,'7.3 (samb3)'!M70)</f>
        <v>694</v>
      </c>
      <c r="G70" s="211">
        <f>SUM('7.3 (samb1)'!G70,'7.3 (samb1)'!N70,'7.3 (samb2)'!G70,'7.3 (samb2)'!N70,'7.3 (samb3)'!G70,'7.3 (samb3)'!N70)</f>
        <v>593</v>
      </c>
      <c r="H70" s="211">
        <f>SUM('7.3 (samb1)'!H70,'7.3 (samb1)'!O70,'7.3 (samb2)'!H70,'7.3 (samb2)'!O70,'7.3 (samb3)'!H70,'7.3 (samb3)'!O70)</f>
        <v>462</v>
      </c>
      <c r="I70" s="211">
        <f>SUM('7.3 (samb1)'!I70,'7.3 (samb1)'!P70,'7.3 (samb2)'!I70,'7.3 (samb2)'!P70,'7.3 (samb3)'!I70,'7.3 (samb3)'!P70)</f>
        <v>275</v>
      </c>
      <c r="J70" s="211">
        <f>SUM('7.3 (samb1)'!J70,'7.3 (samb1)'!Q70,'7.3 (samb2)'!J70,'7.3 (samb2)'!Q70,'7.3 (samb3)'!J70,'7.3 (samb3)'!Q70)</f>
        <v>154</v>
      </c>
      <c r="K70" s="222"/>
    </row>
    <row r="71" spans="1:11" ht="8.1" customHeight="1">
      <c r="B71" s="153"/>
      <c r="C71" s="151"/>
      <c r="D71" s="149"/>
      <c r="E71" s="150"/>
      <c r="F71" s="203"/>
      <c r="G71" s="203"/>
      <c r="H71" s="203"/>
      <c r="I71" s="203"/>
      <c r="J71" s="203"/>
      <c r="K71" s="203"/>
    </row>
    <row r="72" spans="1:11" ht="15" customHeight="1">
      <c r="B72" s="151" t="s">
        <v>109</v>
      </c>
      <c r="C72" s="152"/>
      <c r="D72" s="149">
        <v>2021</v>
      </c>
      <c r="E72" s="211">
        <f>SUM('7.3 (samb1)'!E72,'7.3 (samb1)'!L72,'7.3 (samb2)'!E72,'7.3 (samb2)'!L72,'7.3 (samb3)'!E72,'7.3 (samb3)'!L72)</f>
        <v>176</v>
      </c>
      <c r="F72" s="211">
        <f>SUM('7.3 (samb1)'!F72,'7.3 (samb1)'!M72,'7.3 (samb2)'!F72,'7.3 (samb2)'!M72,'7.3 (samb3)'!F72,'7.3 (samb3)'!M72)</f>
        <v>1255</v>
      </c>
      <c r="G72" s="211">
        <f>SUM('7.3 (samb1)'!G72,'7.3 (samb1)'!N72,'7.3 (samb2)'!G72,'7.3 (samb2)'!N72,'7.3 (samb3)'!G72,'7.3 (samb3)'!N72)</f>
        <v>983</v>
      </c>
      <c r="H72" s="211">
        <f>SUM('7.3 (samb1)'!H72,'7.3 (samb1)'!O72,'7.3 (samb2)'!H72,'7.3 (samb2)'!O72,'7.3 (samb3)'!H72,'7.3 (samb3)'!O72)</f>
        <v>565</v>
      </c>
      <c r="I72" s="211">
        <f>SUM('7.3 (samb1)'!I72,'7.3 (samb1)'!P72,'7.3 (samb2)'!I72,'7.3 (samb2)'!P72,'7.3 (samb3)'!I72,'7.3 (samb3)'!P72)</f>
        <v>332</v>
      </c>
      <c r="J72" s="211">
        <f>SUM('7.3 (samb1)'!J72,'7.3 (samb1)'!Q72,'7.3 (samb2)'!J72,'7.3 (samb2)'!Q72,'7.3 (samb3)'!J72,'7.3 (samb3)'!Q72)</f>
        <v>191</v>
      </c>
      <c r="K72" s="222"/>
    </row>
    <row r="73" spans="1:11" ht="15" customHeight="1">
      <c r="B73" s="153"/>
      <c r="C73" s="152"/>
      <c r="D73" s="149">
        <v>2022</v>
      </c>
      <c r="E73" s="211">
        <f>SUM('7.3 (samb1)'!E73,'7.3 (samb1)'!L73,'7.3 (samb2)'!E73,'7.3 (samb2)'!L73,'7.3 (samb3)'!E73,'7.3 (samb3)'!L73)</f>
        <v>164</v>
      </c>
      <c r="F73" s="211">
        <f>SUM('7.3 (samb1)'!F73,'7.3 (samb1)'!M73,'7.3 (samb2)'!F73,'7.3 (samb2)'!M73,'7.3 (samb3)'!F73,'7.3 (samb3)'!M73)</f>
        <v>1239</v>
      </c>
      <c r="G73" s="211">
        <f>SUM('7.3 (samb1)'!G73,'7.3 (samb1)'!N73,'7.3 (samb2)'!G73,'7.3 (samb2)'!N73,'7.3 (samb3)'!G73,'7.3 (samb3)'!N73)</f>
        <v>1072</v>
      </c>
      <c r="H73" s="211">
        <f>SUM('7.3 (samb1)'!H73,'7.3 (samb1)'!O73,'7.3 (samb2)'!H73,'7.3 (samb2)'!O73,'7.3 (samb3)'!H73,'7.3 (samb3)'!O73)</f>
        <v>592</v>
      </c>
      <c r="I73" s="211">
        <f>SUM('7.3 (samb1)'!I73,'7.3 (samb1)'!P73,'7.3 (samb2)'!I73,'7.3 (samb2)'!P73,'7.3 (samb3)'!I73,'7.3 (samb3)'!P73)</f>
        <v>286</v>
      </c>
      <c r="J73" s="211">
        <f>SUM('7.3 (samb1)'!J73,'7.3 (samb1)'!Q73,'7.3 (samb2)'!J73,'7.3 (samb2)'!Q73,'7.3 (samb3)'!J73,'7.3 (samb3)'!Q73)</f>
        <v>200</v>
      </c>
      <c r="K73" s="222"/>
    </row>
    <row r="74" spans="1:11" ht="15" customHeight="1">
      <c r="A74" s="177"/>
      <c r="B74" s="225"/>
      <c r="C74" s="226"/>
      <c r="D74" s="227">
        <v>2023</v>
      </c>
      <c r="E74" s="211">
        <f>SUM('7.3 (samb1)'!E74,'7.3 (samb1)'!L74,'7.3 (samb2)'!E74,'7.3 (samb2)'!L74,'7.3 (samb3)'!E74,'7.3 (samb3)'!L74)</f>
        <v>188</v>
      </c>
      <c r="F74" s="211">
        <f>SUM('7.3 (samb1)'!F74,'7.3 (samb1)'!M74,'7.3 (samb2)'!F74,'7.3 (samb2)'!M74,'7.3 (samb3)'!F74,'7.3 (samb3)'!M74)</f>
        <v>1297</v>
      </c>
      <c r="G74" s="211">
        <f>SUM('7.3 (samb1)'!G74,'7.3 (samb1)'!N74,'7.3 (samb2)'!G74,'7.3 (samb2)'!N74,'7.3 (samb3)'!G74,'7.3 (samb3)'!N74)</f>
        <v>1221</v>
      </c>
      <c r="H74" s="211">
        <f>SUM('7.3 (samb1)'!H74,'7.3 (samb1)'!O74,'7.3 (samb2)'!H74,'7.3 (samb2)'!O74,'7.3 (samb3)'!H74,'7.3 (samb3)'!O74)</f>
        <v>736</v>
      </c>
      <c r="I74" s="211">
        <f>SUM('7.3 (samb1)'!I74,'7.3 (samb1)'!P74,'7.3 (samb2)'!I74,'7.3 (samb2)'!P74,'7.3 (samb3)'!I74,'7.3 (samb3)'!P74)</f>
        <v>402</v>
      </c>
      <c r="J74" s="211">
        <f>SUM('7.3 (samb1)'!J74,'7.3 (samb1)'!Q74,'7.3 (samb2)'!J74,'7.3 (samb2)'!Q74,'7.3 (samb3)'!J74,'7.3 (samb3)'!Q74)</f>
        <v>336</v>
      </c>
      <c r="K74" s="222"/>
    </row>
    <row r="75" spans="1:11" ht="8.1" customHeight="1" thickBot="1">
      <c r="A75" s="156"/>
      <c r="B75" s="156"/>
      <c r="C75" s="156"/>
      <c r="D75" s="157"/>
      <c r="E75" s="158"/>
      <c r="F75" s="158"/>
      <c r="G75" s="158"/>
      <c r="H75" s="158"/>
      <c r="I75" s="158"/>
      <c r="J75" s="158"/>
      <c r="K75" s="158"/>
    </row>
    <row r="76" spans="1:11" s="87" customFormat="1" ht="15.95" customHeight="1">
      <c r="B76" s="88"/>
      <c r="C76" s="89"/>
      <c r="D76" s="90"/>
      <c r="E76" s="91"/>
      <c r="F76" s="91"/>
      <c r="K76" s="92" t="s">
        <v>19</v>
      </c>
    </row>
    <row r="77" spans="1:11" s="87" customFormat="1" ht="15.95" customHeight="1">
      <c r="B77" s="88"/>
      <c r="C77" s="89"/>
      <c r="D77" s="90"/>
      <c r="E77" s="91"/>
      <c r="F77" s="91"/>
      <c r="K77" s="93" t="s">
        <v>20</v>
      </c>
    </row>
    <row r="78" spans="1:11" ht="15" customHeight="1">
      <c r="B78" s="212"/>
      <c r="C78" s="213"/>
      <c r="D78" s="214"/>
      <c r="E78" s="219"/>
      <c r="F78" s="220"/>
      <c r="G78" s="220"/>
      <c r="H78" s="220"/>
      <c r="I78" s="220"/>
      <c r="J78" s="220"/>
      <c r="K78" s="220"/>
    </row>
    <row r="79" spans="1:11" ht="15" customHeight="1">
      <c r="D79" s="217"/>
      <c r="E79" s="216"/>
      <c r="F79" s="216"/>
      <c r="G79" s="216"/>
      <c r="H79" s="216"/>
    </row>
    <row r="80" spans="1:11" ht="15" customHeight="1">
      <c r="B80" s="138"/>
      <c r="C80" s="138"/>
      <c r="D80" s="139"/>
      <c r="E80" s="140"/>
      <c r="F80" s="140"/>
      <c r="G80" s="140"/>
      <c r="H80" s="140"/>
      <c r="I80" s="140"/>
      <c r="J80" s="140"/>
      <c r="K80" s="140"/>
    </row>
    <row r="81" spans="2:11" ht="15" customHeight="1">
      <c r="B81" s="138"/>
      <c r="C81" s="138"/>
      <c r="D81" s="139"/>
      <c r="E81" s="140"/>
      <c r="F81" s="140"/>
      <c r="G81" s="140"/>
      <c r="H81" s="140"/>
      <c r="I81" s="140"/>
      <c r="J81" s="140"/>
      <c r="K81" s="140"/>
    </row>
    <row r="82" spans="2:11" ht="15" customHeight="1">
      <c r="B82" s="138"/>
      <c r="C82" s="138"/>
      <c r="D82" s="139"/>
      <c r="E82" s="140"/>
      <c r="F82" s="140"/>
      <c r="G82" s="140"/>
      <c r="H82" s="140"/>
      <c r="I82" s="140"/>
      <c r="J82" s="140"/>
      <c r="K82" s="140"/>
    </row>
    <row r="83" spans="2:11" ht="15" customHeight="1">
      <c r="B83" s="138"/>
      <c r="C83" s="138"/>
      <c r="D83" s="139"/>
      <c r="E83" s="140"/>
      <c r="F83" s="140"/>
      <c r="G83" s="140"/>
      <c r="H83" s="140"/>
      <c r="I83" s="140"/>
      <c r="J83" s="140"/>
      <c r="K83" s="140"/>
    </row>
    <row r="84" spans="2:11" ht="15" customHeight="1">
      <c r="B84" s="138"/>
      <c r="C84" s="138"/>
      <c r="D84" s="139"/>
      <c r="E84" s="140"/>
      <c r="F84" s="140"/>
      <c r="G84" s="140"/>
      <c r="H84" s="140"/>
      <c r="I84" s="140"/>
      <c r="J84" s="140"/>
      <c r="K84" s="140"/>
    </row>
    <row r="85" spans="2:11" ht="15" customHeight="1">
      <c r="B85" s="138"/>
      <c r="C85" s="138"/>
      <c r="D85" s="139"/>
      <c r="E85" s="140"/>
      <c r="F85" s="140"/>
      <c r="G85" s="140"/>
      <c r="H85" s="140"/>
      <c r="I85" s="140"/>
      <c r="J85" s="140"/>
      <c r="K85" s="140"/>
    </row>
    <row r="86" spans="2:11" ht="15" customHeight="1">
      <c r="B86" s="138"/>
      <c r="C86" s="138"/>
      <c r="D86" s="139"/>
      <c r="E86" s="140"/>
      <c r="F86" s="140"/>
      <c r="G86" s="140"/>
      <c r="H86" s="140"/>
      <c r="I86" s="140"/>
      <c r="J86" s="140"/>
      <c r="K86" s="140"/>
    </row>
    <row r="87" spans="2:11" ht="15" customHeight="1">
      <c r="B87" s="138"/>
      <c r="C87" s="138"/>
      <c r="D87" s="139"/>
      <c r="E87" s="140"/>
      <c r="F87" s="140"/>
      <c r="G87" s="140"/>
      <c r="H87" s="140"/>
      <c r="I87" s="140"/>
      <c r="J87" s="140"/>
      <c r="K87" s="140"/>
    </row>
    <row r="88" spans="2:11" ht="15" customHeight="1">
      <c r="B88" s="138"/>
      <c r="C88" s="138"/>
      <c r="D88" s="139"/>
      <c r="E88" s="140"/>
      <c r="F88" s="140"/>
      <c r="G88" s="140"/>
      <c r="H88" s="140"/>
      <c r="I88" s="140"/>
      <c r="J88" s="140"/>
      <c r="K88" s="140"/>
    </row>
    <row r="89" spans="2:11" ht="15" customHeight="1">
      <c r="B89" s="138"/>
      <c r="C89" s="138"/>
      <c r="D89" s="139"/>
      <c r="E89" s="140"/>
      <c r="F89" s="140"/>
      <c r="G89" s="140"/>
      <c r="H89" s="140"/>
      <c r="I89" s="140"/>
      <c r="J89" s="140"/>
      <c r="K89" s="140"/>
    </row>
    <row r="90" spans="2:11" ht="15" customHeight="1">
      <c r="B90" s="138"/>
      <c r="C90" s="138"/>
      <c r="D90" s="139"/>
      <c r="E90" s="140"/>
      <c r="F90" s="140"/>
      <c r="G90" s="140"/>
      <c r="H90" s="140"/>
      <c r="I90" s="140"/>
      <c r="J90" s="140"/>
      <c r="K90" s="140"/>
    </row>
    <row r="91" spans="2:11" ht="15" customHeight="1">
      <c r="B91" s="138"/>
      <c r="C91" s="138"/>
      <c r="D91" s="139"/>
      <c r="E91" s="140"/>
      <c r="F91" s="140"/>
      <c r="G91" s="140"/>
      <c r="H91" s="140"/>
      <c r="I91" s="140"/>
      <c r="J91" s="140"/>
      <c r="K91" s="140"/>
    </row>
    <row r="92" spans="2:11" ht="15" customHeight="1">
      <c r="B92" s="138"/>
      <c r="C92" s="138"/>
      <c r="D92" s="139"/>
      <c r="E92" s="140"/>
      <c r="F92" s="140"/>
      <c r="G92" s="140"/>
      <c r="H92" s="140"/>
      <c r="I92" s="140"/>
      <c r="J92" s="140"/>
      <c r="K92" s="140"/>
    </row>
    <row r="93" spans="2:11" ht="15" customHeight="1">
      <c r="B93" s="138"/>
      <c r="C93" s="138"/>
      <c r="D93" s="139"/>
      <c r="E93" s="140"/>
      <c r="F93" s="140"/>
      <c r="G93" s="140"/>
      <c r="H93" s="140"/>
      <c r="I93" s="140"/>
      <c r="J93" s="140"/>
      <c r="K93" s="140"/>
    </row>
    <row r="94" spans="2:11" ht="15" customHeight="1">
      <c r="B94" s="138"/>
      <c r="C94" s="138"/>
      <c r="D94" s="139"/>
      <c r="E94" s="140"/>
      <c r="F94" s="140"/>
      <c r="G94" s="140"/>
      <c r="H94" s="140"/>
      <c r="I94" s="140"/>
      <c r="J94" s="140"/>
      <c r="K94" s="140"/>
    </row>
    <row r="95" spans="2:11" ht="15" customHeight="1">
      <c r="B95" s="138"/>
      <c r="C95" s="138"/>
      <c r="D95" s="139"/>
      <c r="E95" s="140"/>
      <c r="F95" s="140"/>
      <c r="G95" s="140"/>
      <c r="H95" s="140"/>
      <c r="I95" s="140"/>
      <c r="J95" s="140"/>
      <c r="K95" s="140"/>
    </row>
    <row r="96" spans="2:11" ht="15" customHeight="1">
      <c r="B96" s="138"/>
      <c r="C96" s="138"/>
      <c r="D96" s="139"/>
      <c r="E96" s="140"/>
      <c r="F96" s="140"/>
      <c r="G96" s="140"/>
      <c r="H96" s="140"/>
      <c r="I96" s="140"/>
      <c r="J96" s="140"/>
      <c r="K96" s="140"/>
    </row>
    <row r="97" spans="2:11" ht="15" customHeight="1">
      <c r="B97" s="138"/>
      <c r="C97" s="138"/>
      <c r="D97" s="139"/>
      <c r="E97" s="140"/>
      <c r="F97" s="140"/>
      <c r="G97" s="140"/>
      <c r="H97" s="140"/>
      <c r="I97" s="140"/>
      <c r="J97" s="140"/>
      <c r="K97" s="140"/>
    </row>
    <row r="98" spans="2:11" ht="15" customHeight="1">
      <c r="B98" s="138"/>
      <c r="C98" s="138"/>
      <c r="D98" s="139"/>
      <c r="E98" s="140"/>
      <c r="F98" s="140"/>
      <c r="G98" s="140"/>
      <c r="H98" s="140"/>
      <c r="I98" s="140"/>
      <c r="J98" s="140"/>
      <c r="K98" s="140"/>
    </row>
    <row r="99" spans="2:11" ht="15" customHeight="1">
      <c r="B99" s="138"/>
      <c r="C99" s="138"/>
      <c r="D99" s="139"/>
      <c r="E99" s="140"/>
      <c r="F99" s="140"/>
      <c r="G99" s="140"/>
      <c r="H99" s="140"/>
      <c r="I99" s="140"/>
      <c r="J99" s="140"/>
      <c r="K99" s="140"/>
    </row>
    <row r="100" spans="2:11" ht="15" customHeight="1">
      <c r="B100" s="138"/>
      <c r="C100" s="138"/>
      <c r="D100" s="139"/>
      <c r="E100" s="140"/>
      <c r="F100" s="140"/>
      <c r="G100" s="140"/>
      <c r="H100" s="140"/>
      <c r="I100" s="140"/>
      <c r="J100" s="140"/>
      <c r="K100" s="140"/>
    </row>
    <row r="101" spans="2:11" ht="15" customHeight="1">
      <c r="B101" s="138"/>
      <c r="C101" s="138"/>
      <c r="D101" s="139"/>
      <c r="E101" s="140"/>
      <c r="F101" s="140"/>
      <c r="G101" s="140"/>
      <c r="H101" s="140"/>
      <c r="I101" s="140"/>
      <c r="J101" s="140"/>
      <c r="K101" s="140"/>
    </row>
    <row r="102" spans="2:11" ht="15" customHeight="1">
      <c r="B102" s="138"/>
      <c r="C102" s="138"/>
      <c r="D102" s="139"/>
      <c r="E102" s="140"/>
      <c r="F102" s="140"/>
      <c r="G102" s="140"/>
      <c r="H102" s="140"/>
      <c r="I102" s="140"/>
      <c r="J102" s="140"/>
      <c r="K102" s="140"/>
    </row>
    <row r="103" spans="2:11" ht="15" customHeight="1">
      <c r="B103" s="138"/>
      <c r="C103" s="138"/>
      <c r="D103" s="139"/>
      <c r="E103" s="140"/>
      <c r="F103" s="140"/>
      <c r="G103" s="140"/>
      <c r="H103" s="140"/>
      <c r="I103" s="140"/>
      <c r="J103" s="140"/>
      <c r="K103" s="140"/>
    </row>
    <row r="104" spans="2:11" ht="15" customHeight="1">
      <c r="B104" s="138"/>
      <c r="C104" s="138"/>
      <c r="D104" s="139"/>
      <c r="E104" s="140"/>
      <c r="F104" s="140"/>
      <c r="G104" s="140"/>
      <c r="H104" s="140"/>
      <c r="I104" s="140"/>
      <c r="J104" s="140"/>
      <c r="K104" s="140"/>
    </row>
    <row r="105" spans="2:11" ht="15" customHeight="1">
      <c r="B105" s="138"/>
      <c r="C105" s="138"/>
      <c r="D105" s="139"/>
      <c r="E105" s="140"/>
      <c r="F105" s="140"/>
      <c r="G105" s="140"/>
      <c r="H105" s="140"/>
      <c r="I105" s="140"/>
      <c r="J105" s="140"/>
      <c r="K105" s="140"/>
    </row>
    <row r="106" spans="2:11" ht="15" customHeight="1">
      <c r="B106" s="138"/>
      <c r="C106" s="138"/>
      <c r="D106" s="139"/>
      <c r="E106" s="140"/>
      <c r="F106" s="140"/>
      <c r="G106" s="140"/>
      <c r="H106" s="140"/>
      <c r="I106" s="140"/>
      <c r="J106" s="140"/>
      <c r="K106" s="140"/>
    </row>
    <row r="107" spans="2:11" ht="15" customHeight="1">
      <c r="B107" s="138"/>
      <c r="C107" s="138"/>
      <c r="D107" s="139"/>
      <c r="E107" s="140"/>
      <c r="F107" s="140"/>
      <c r="G107" s="140"/>
      <c r="H107" s="140"/>
      <c r="I107" s="140"/>
      <c r="J107" s="140"/>
      <c r="K107" s="140"/>
    </row>
    <row r="108" spans="2:11" ht="15" customHeight="1">
      <c r="B108" s="138"/>
      <c r="C108" s="138"/>
      <c r="D108" s="139"/>
      <c r="E108" s="140"/>
      <c r="F108" s="140"/>
      <c r="G108" s="140"/>
      <c r="H108" s="140"/>
      <c r="I108" s="140"/>
      <c r="J108" s="140"/>
      <c r="K108" s="140"/>
    </row>
    <row r="109" spans="2:11" ht="15" customHeight="1">
      <c r="B109" s="138"/>
      <c r="C109" s="138"/>
      <c r="D109" s="139"/>
      <c r="E109" s="140"/>
      <c r="F109" s="140"/>
      <c r="G109" s="140"/>
      <c r="H109" s="140"/>
      <c r="I109" s="140"/>
      <c r="J109" s="140"/>
      <c r="K109" s="140"/>
    </row>
    <row r="110" spans="2:11" ht="15" customHeight="1">
      <c r="B110" s="138"/>
      <c r="C110" s="138"/>
      <c r="D110" s="139"/>
      <c r="E110" s="140"/>
      <c r="F110" s="140"/>
      <c r="G110" s="140"/>
      <c r="H110" s="140"/>
      <c r="I110" s="140"/>
      <c r="J110" s="140"/>
      <c r="K110" s="140"/>
    </row>
    <row r="111" spans="2:11" ht="15" customHeight="1">
      <c r="B111" s="138"/>
      <c r="C111" s="138"/>
      <c r="D111" s="139"/>
      <c r="E111" s="140"/>
      <c r="F111" s="140"/>
      <c r="G111" s="140"/>
      <c r="H111" s="140"/>
      <c r="I111" s="140"/>
      <c r="J111" s="140"/>
      <c r="K111" s="140"/>
    </row>
    <row r="112" spans="2:11" ht="15" customHeight="1">
      <c r="B112" s="138"/>
      <c r="C112" s="138"/>
      <c r="D112" s="139"/>
      <c r="E112" s="140"/>
      <c r="F112" s="140"/>
      <c r="G112" s="140"/>
      <c r="H112" s="140"/>
      <c r="I112" s="140"/>
      <c r="J112" s="140"/>
      <c r="K112" s="140"/>
    </row>
    <row r="113" spans="2:11" ht="15" customHeight="1">
      <c r="B113" s="138"/>
      <c r="C113" s="138"/>
      <c r="D113" s="139"/>
      <c r="E113" s="140"/>
      <c r="F113" s="140"/>
      <c r="G113" s="140"/>
      <c r="H113" s="140"/>
      <c r="I113" s="140"/>
      <c r="J113" s="140"/>
      <c r="K113" s="140"/>
    </row>
    <row r="114" spans="2:11" ht="15" customHeight="1">
      <c r="B114" s="138"/>
      <c r="C114" s="138"/>
      <c r="D114" s="139"/>
      <c r="E114" s="140"/>
      <c r="F114" s="140"/>
      <c r="G114" s="140"/>
      <c r="H114" s="140"/>
      <c r="I114" s="140"/>
      <c r="J114" s="140"/>
      <c r="K114" s="140"/>
    </row>
    <row r="115" spans="2:11" ht="15" customHeight="1">
      <c r="B115" s="138"/>
      <c r="C115" s="138"/>
      <c r="D115" s="139"/>
      <c r="E115" s="140"/>
      <c r="F115" s="140"/>
      <c r="G115" s="140"/>
      <c r="H115" s="140"/>
      <c r="I115" s="140"/>
      <c r="J115" s="140"/>
      <c r="K115" s="140"/>
    </row>
    <row r="116" spans="2:11" ht="15" customHeight="1">
      <c r="B116" s="138"/>
      <c r="C116" s="138"/>
      <c r="D116" s="139"/>
      <c r="E116" s="140"/>
      <c r="F116" s="140"/>
      <c r="G116" s="140"/>
      <c r="H116" s="140"/>
      <c r="I116" s="140"/>
      <c r="J116" s="140"/>
      <c r="K116" s="140"/>
    </row>
    <row r="117" spans="2:11" ht="15" customHeight="1">
      <c r="B117" s="138"/>
      <c r="C117" s="138"/>
      <c r="D117" s="139"/>
      <c r="E117" s="140"/>
      <c r="F117" s="140"/>
      <c r="G117" s="140"/>
      <c r="H117" s="140"/>
      <c r="I117" s="140"/>
      <c r="J117" s="140"/>
      <c r="K117" s="140"/>
    </row>
    <row r="118" spans="2:11" ht="15" customHeight="1">
      <c r="B118" s="138"/>
      <c r="C118" s="138"/>
      <c r="D118" s="139"/>
      <c r="E118" s="140"/>
      <c r="F118" s="140"/>
      <c r="G118" s="140"/>
      <c r="H118" s="140"/>
      <c r="I118" s="140"/>
      <c r="J118" s="140"/>
      <c r="K118" s="140"/>
    </row>
    <row r="119" spans="2:11" ht="15" customHeight="1">
      <c r="B119" s="138"/>
      <c r="C119" s="138"/>
      <c r="D119" s="139"/>
      <c r="E119" s="140"/>
      <c r="F119" s="140"/>
      <c r="G119" s="140"/>
      <c r="H119" s="140"/>
      <c r="I119" s="140"/>
      <c r="J119" s="140"/>
      <c r="K119" s="140"/>
    </row>
    <row r="120" spans="2:11" ht="15" customHeight="1">
      <c r="B120" s="138"/>
      <c r="C120" s="138"/>
      <c r="D120" s="139"/>
      <c r="E120" s="140"/>
      <c r="F120" s="140"/>
      <c r="G120" s="140"/>
      <c r="H120" s="140"/>
      <c r="I120" s="140"/>
      <c r="J120" s="140"/>
      <c r="K120" s="140"/>
    </row>
    <row r="121" spans="2:11" ht="15" customHeight="1">
      <c r="B121" s="138"/>
      <c r="C121" s="138"/>
      <c r="D121" s="139"/>
      <c r="E121" s="140"/>
      <c r="F121" s="140"/>
      <c r="G121" s="140"/>
      <c r="H121" s="140"/>
      <c r="I121" s="140"/>
      <c r="J121" s="140"/>
      <c r="K121" s="140"/>
    </row>
    <row r="122" spans="2:11" ht="15" customHeight="1">
      <c r="B122" s="138"/>
      <c r="C122" s="138"/>
      <c r="D122" s="139"/>
      <c r="E122" s="140"/>
      <c r="F122" s="140"/>
      <c r="G122" s="140"/>
      <c r="H122" s="140"/>
      <c r="I122" s="140"/>
      <c r="J122" s="140"/>
      <c r="K122" s="140"/>
    </row>
    <row r="123" spans="2:11" ht="15" customHeight="1">
      <c r="B123" s="138"/>
      <c r="C123" s="138"/>
      <c r="D123" s="139"/>
      <c r="E123" s="140"/>
      <c r="F123" s="140"/>
      <c r="G123" s="140"/>
      <c r="H123" s="140"/>
      <c r="I123" s="140"/>
      <c r="J123" s="140"/>
      <c r="K123" s="140"/>
    </row>
    <row r="124" spans="2:11" ht="15" customHeight="1">
      <c r="B124" s="138"/>
      <c r="C124" s="138"/>
      <c r="D124" s="139"/>
      <c r="E124" s="140"/>
      <c r="F124" s="140"/>
      <c r="G124" s="140"/>
      <c r="H124" s="140"/>
      <c r="I124" s="140"/>
      <c r="J124" s="140"/>
      <c r="K124" s="140"/>
    </row>
    <row r="125" spans="2:11" ht="15" customHeight="1">
      <c r="B125" s="138"/>
      <c r="C125" s="138"/>
      <c r="D125" s="139"/>
      <c r="E125" s="140"/>
      <c r="F125" s="140"/>
      <c r="G125" s="140"/>
      <c r="H125" s="140"/>
      <c r="I125" s="140"/>
      <c r="J125" s="140"/>
      <c r="K125" s="140"/>
    </row>
    <row r="126" spans="2:11" ht="15" customHeight="1">
      <c r="B126" s="138"/>
      <c r="C126" s="138"/>
      <c r="D126" s="139"/>
      <c r="E126" s="140"/>
      <c r="F126" s="140"/>
      <c r="G126" s="140"/>
      <c r="H126" s="140"/>
      <c r="I126" s="140"/>
      <c r="J126" s="140"/>
      <c r="K126" s="140"/>
    </row>
    <row r="127" spans="2:11" ht="15" customHeight="1">
      <c r="B127" s="138"/>
      <c r="C127" s="138"/>
      <c r="D127" s="139"/>
      <c r="E127" s="140"/>
      <c r="F127" s="140"/>
      <c r="G127" s="140"/>
      <c r="H127" s="140"/>
      <c r="I127" s="140"/>
      <c r="J127" s="140"/>
      <c r="K127" s="140"/>
    </row>
    <row r="128" spans="2:11" ht="15" customHeight="1">
      <c r="B128" s="138"/>
      <c r="C128" s="138"/>
      <c r="D128" s="139"/>
      <c r="E128" s="140"/>
      <c r="F128" s="140"/>
      <c r="G128" s="140"/>
      <c r="H128" s="140"/>
      <c r="I128" s="140"/>
      <c r="J128" s="140"/>
      <c r="K128" s="140"/>
    </row>
    <row r="129" spans="2:11" ht="15" customHeight="1">
      <c r="B129" s="138"/>
      <c r="C129" s="138"/>
      <c r="D129" s="139"/>
      <c r="E129" s="140"/>
      <c r="F129" s="140"/>
      <c r="G129" s="140"/>
      <c r="H129" s="140"/>
      <c r="I129" s="140"/>
      <c r="J129" s="140"/>
      <c r="K129" s="140"/>
    </row>
    <row r="130" spans="2:11" ht="15" customHeight="1">
      <c r="B130" s="138"/>
      <c r="C130" s="138"/>
      <c r="D130" s="139"/>
      <c r="E130" s="140"/>
      <c r="F130" s="140"/>
      <c r="G130" s="140"/>
      <c r="H130" s="140"/>
      <c r="I130" s="140"/>
      <c r="J130" s="140"/>
      <c r="K130" s="140"/>
    </row>
    <row r="131" spans="2:11" ht="15" customHeight="1">
      <c r="B131" s="138"/>
      <c r="C131" s="138"/>
      <c r="D131" s="139"/>
      <c r="E131" s="140"/>
      <c r="F131" s="140"/>
      <c r="G131" s="140"/>
      <c r="H131" s="140"/>
      <c r="I131" s="140"/>
      <c r="J131" s="140"/>
      <c r="K131" s="140"/>
    </row>
    <row r="132" spans="2:11" ht="15" customHeight="1">
      <c r="B132" s="138"/>
      <c r="C132" s="138"/>
      <c r="D132" s="139"/>
      <c r="E132" s="140"/>
      <c r="F132" s="140"/>
      <c r="G132" s="140"/>
      <c r="H132" s="140"/>
      <c r="I132" s="140"/>
      <c r="J132" s="140"/>
      <c r="K132" s="140"/>
    </row>
    <row r="133" spans="2:11" ht="15" customHeight="1">
      <c r="B133" s="138"/>
      <c r="C133" s="138"/>
      <c r="D133" s="139"/>
      <c r="E133" s="140"/>
      <c r="F133" s="140"/>
      <c r="G133" s="140"/>
      <c r="H133" s="140"/>
      <c r="I133" s="140"/>
      <c r="J133" s="140"/>
      <c r="K133" s="140"/>
    </row>
    <row r="134" spans="2:11" ht="15" customHeight="1">
      <c r="B134" s="138"/>
      <c r="C134" s="138"/>
      <c r="D134" s="139"/>
      <c r="E134" s="140"/>
      <c r="F134" s="140"/>
      <c r="G134" s="140"/>
      <c r="H134" s="140"/>
      <c r="I134" s="140"/>
      <c r="J134" s="140"/>
      <c r="K134" s="140"/>
    </row>
    <row r="135" spans="2:11" ht="15" customHeight="1">
      <c r="B135" s="138"/>
      <c r="C135" s="138"/>
      <c r="D135" s="139"/>
      <c r="E135" s="140"/>
      <c r="F135" s="140"/>
      <c r="G135" s="140"/>
      <c r="H135" s="140"/>
      <c r="I135" s="140"/>
      <c r="J135" s="140"/>
      <c r="K135" s="140"/>
    </row>
    <row r="136" spans="2:11" ht="15" customHeight="1">
      <c r="B136" s="138"/>
      <c r="C136" s="138"/>
      <c r="D136" s="139"/>
      <c r="E136" s="140"/>
      <c r="F136" s="140"/>
      <c r="G136" s="140"/>
      <c r="H136" s="140"/>
      <c r="I136" s="140"/>
      <c r="J136" s="140"/>
      <c r="K136" s="140"/>
    </row>
    <row r="137" spans="2:11" ht="15" customHeight="1">
      <c r="B137" s="138"/>
      <c r="C137" s="138"/>
      <c r="D137" s="139"/>
      <c r="E137" s="140"/>
      <c r="F137" s="140"/>
      <c r="G137" s="140"/>
      <c r="H137" s="140"/>
      <c r="I137" s="140"/>
      <c r="J137" s="140"/>
      <c r="K137" s="140"/>
    </row>
    <row r="138" spans="2:11" ht="15" customHeight="1">
      <c r="B138" s="138"/>
      <c r="C138" s="138"/>
      <c r="D138" s="139"/>
      <c r="E138" s="140"/>
      <c r="F138" s="140"/>
      <c r="G138" s="140"/>
      <c r="H138" s="140"/>
      <c r="I138" s="140"/>
      <c r="J138" s="140"/>
      <c r="K138" s="140"/>
    </row>
    <row r="139" spans="2:11" ht="15" customHeight="1">
      <c r="B139" s="138"/>
      <c r="C139" s="138"/>
      <c r="D139" s="139"/>
      <c r="E139" s="140"/>
      <c r="F139" s="140"/>
      <c r="G139" s="140"/>
      <c r="H139" s="140"/>
      <c r="I139" s="140"/>
      <c r="J139" s="140"/>
      <c r="K139" s="140"/>
    </row>
    <row r="140" spans="2:11" ht="15" customHeight="1">
      <c r="B140" s="138"/>
      <c r="C140" s="138"/>
      <c r="D140" s="139"/>
      <c r="E140" s="140"/>
      <c r="F140" s="140"/>
      <c r="G140" s="140"/>
      <c r="H140" s="140"/>
      <c r="I140" s="140"/>
      <c r="J140" s="140"/>
      <c r="K140" s="140"/>
    </row>
    <row r="141" spans="2:11" ht="15" customHeight="1">
      <c r="B141" s="138"/>
      <c r="C141" s="138"/>
      <c r="D141" s="139"/>
      <c r="E141" s="140"/>
      <c r="F141" s="140"/>
      <c r="G141" s="140"/>
      <c r="H141" s="140"/>
      <c r="I141" s="140"/>
      <c r="J141" s="140"/>
      <c r="K141" s="140"/>
    </row>
    <row r="142" spans="2:11" ht="15" customHeight="1">
      <c r="B142" s="138"/>
      <c r="C142" s="138"/>
      <c r="D142" s="139"/>
      <c r="E142" s="140"/>
      <c r="F142" s="140"/>
      <c r="G142" s="140"/>
      <c r="H142" s="140"/>
      <c r="I142" s="140"/>
      <c r="J142" s="140"/>
      <c r="K142" s="140"/>
    </row>
    <row r="143" spans="2:11" ht="15" customHeight="1">
      <c r="B143" s="138"/>
      <c r="C143" s="138"/>
      <c r="D143" s="139"/>
      <c r="E143" s="140"/>
      <c r="F143" s="140"/>
      <c r="G143" s="140"/>
      <c r="H143" s="140"/>
      <c r="I143" s="140"/>
      <c r="J143" s="140"/>
      <c r="K143" s="140"/>
    </row>
    <row r="144" spans="2:11" ht="15" customHeight="1">
      <c r="B144" s="138"/>
      <c r="C144" s="138"/>
      <c r="D144" s="139"/>
      <c r="E144" s="140"/>
      <c r="F144" s="140"/>
      <c r="G144" s="140"/>
      <c r="H144" s="140"/>
      <c r="I144" s="140"/>
      <c r="J144" s="140"/>
      <c r="K144" s="140"/>
    </row>
    <row r="145" spans="2:11" ht="15" customHeight="1">
      <c r="B145" s="138"/>
      <c r="C145" s="138"/>
      <c r="D145" s="139"/>
      <c r="E145" s="140"/>
      <c r="F145" s="140"/>
      <c r="G145" s="140"/>
      <c r="H145" s="140"/>
      <c r="I145" s="140"/>
      <c r="J145" s="140"/>
      <c r="K145" s="140"/>
    </row>
    <row r="146" spans="2:11" ht="15" customHeight="1">
      <c r="B146" s="138"/>
      <c r="C146" s="138"/>
      <c r="D146" s="139"/>
      <c r="E146" s="140"/>
      <c r="F146" s="140"/>
      <c r="G146" s="140"/>
      <c r="H146" s="140"/>
      <c r="I146" s="140"/>
      <c r="J146" s="140"/>
      <c r="K146" s="140"/>
    </row>
    <row r="147" spans="2:11" ht="15" customHeight="1">
      <c r="B147" s="138"/>
      <c r="C147" s="138"/>
      <c r="D147" s="139"/>
      <c r="E147" s="140"/>
      <c r="F147" s="140"/>
      <c r="G147" s="140"/>
      <c r="H147" s="140"/>
      <c r="I147" s="140"/>
      <c r="J147" s="140"/>
      <c r="K147" s="140"/>
    </row>
    <row r="148" spans="2:11" ht="15" customHeight="1">
      <c r="B148" s="138"/>
      <c r="C148" s="138"/>
      <c r="D148" s="139"/>
      <c r="E148" s="140"/>
      <c r="F148" s="140"/>
      <c r="G148" s="140"/>
      <c r="H148" s="140"/>
      <c r="I148" s="140"/>
      <c r="J148" s="140"/>
      <c r="K148" s="140"/>
    </row>
    <row r="149" spans="2:11" ht="15" customHeight="1">
      <c r="B149" s="138"/>
      <c r="C149" s="138"/>
      <c r="D149" s="139"/>
      <c r="E149" s="140"/>
      <c r="F149" s="140"/>
      <c r="G149" s="140"/>
      <c r="H149" s="140"/>
      <c r="I149" s="140"/>
      <c r="J149" s="140"/>
      <c r="K149" s="140"/>
    </row>
    <row r="150" spans="2:11" ht="15" customHeight="1">
      <c r="B150" s="138"/>
      <c r="C150" s="138"/>
      <c r="D150" s="139"/>
      <c r="E150" s="140"/>
      <c r="F150" s="140"/>
      <c r="G150" s="140"/>
      <c r="H150" s="140"/>
      <c r="I150" s="140"/>
      <c r="J150" s="140"/>
      <c r="K150" s="140"/>
    </row>
    <row r="151" spans="2:11" ht="15" customHeight="1">
      <c r="B151" s="138"/>
      <c r="C151" s="138"/>
      <c r="D151" s="139"/>
      <c r="E151" s="140"/>
      <c r="F151" s="140"/>
      <c r="G151" s="140"/>
      <c r="H151" s="140"/>
      <c r="I151" s="140"/>
      <c r="J151" s="140"/>
      <c r="K151" s="140"/>
    </row>
    <row r="152" spans="2:11" ht="15" customHeight="1">
      <c r="B152" s="138"/>
      <c r="C152" s="138"/>
      <c r="D152" s="139"/>
      <c r="E152" s="140"/>
      <c r="F152" s="140"/>
      <c r="G152" s="140"/>
      <c r="H152" s="140"/>
      <c r="I152" s="140"/>
      <c r="J152" s="140"/>
      <c r="K152" s="140"/>
    </row>
    <row r="153" spans="2:11" ht="15" customHeight="1">
      <c r="B153" s="138"/>
      <c r="C153" s="138"/>
      <c r="D153" s="139"/>
      <c r="E153" s="140"/>
      <c r="F153" s="140"/>
      <c r="G153" s="140"/>
      <c r="H153" s="140"/>
      <c r="I153" s="140"/>
      <c r="J153" s="140"/>
      <c r="K153" s="140"/>
    </row>
    <row r="154" spans="2:11" ht="15" customHeight="1">
      <c r="B154" s="138"/>
      <c r="C154" s="138"/>
      <c r="D154" s="139"/>
      <c r="E154" s="140"/>
      <c r="F154" s="140"/>
      <c r="G154" s="140"/>
      <c r="H154" s="140"/>
      <c r="I154" s="140"/>
      <c r="J154" s="140"/>
      <c r="K154" s="140"/>
    </row>
    <row r="155" spans="2:11" ht="15" customHeight="1">
      <c r="B155" s="138"/>
      <c r="C155" s="138"/>
      <c r="D155" s="139"/>
      <c r="E155" s="140"/>
      <c r="F155" s="140"/>
      <c r="G155" s="140"/>
      <c r="H155" s="140"/>
      <c r="I155" s="140"/>
      <c r="J155" s="140"/>
      <c r="K155" s="140"/>
    </row>
    <row r="156" spans="2:11" ht="15" customHeight="1">
      <c r="B156" s="138"/>
      <c r="C156" s="138"/>
      <c r="D156" s="139"/>
      <c r="E156" s="140"/>
      <c r="F156" s="140"/>
      <c r="G156" s="140"/>
      <c r="H156" s="140"/>
      <c r="I156" s="140"/>
      <c r="J156" s="140"/>
      <c r="K156" s="140"/>
    </row>
    <row r="157" spans="2:11" ht="15" customHeight="1">
      <c r="B157" s="138"/>
      <c r="C157" s="138"/>
      <c r="D157" s="139"/>
      <c r="E157" s="140"/>
      <c r="F157" s="140"/>
      <c r="G157" s="140"/>
      <c r="H157" s="140"/>
      <c r="I157" s="140"/>
      <c r="J157" s="140"/>
      <c r="K157" s="140"/>
    </row>
    <row r="158" spans="2:11" ht="15" customHeight="1">
      <c r="B158" s="138"/>
      <c r="C158" s="138"/>
      <c r="D158" s="139"/>
      <c r="E158" s="140"/>
      <c r="F158" s="140"/>
      <c r="G158" s="140"/>
      <c r="H158" s="140"/>
      <c r="I158" s="140"/>
      <c r="J158" s="140"/>
      <c r="K158" s="140"/>
    </row>
    <row r="159" spans="2:11" ht="15" customHeight="1">
      <c r="B159" s="138"/>
      <c r="C159" s="138"/>
      <c r="D159" s="139"/>
      <c r="E159" s="140"/>
      <c r="F159" s="140"/>
      <c r="G159" s="140"/>
      <c r="H159" s="140"/>
      <c r="I159" s="140"/>
      <c r="J159" s="140"/>
      <c r="K159" s="140"/>
    </row>
    <row r="160" spans="2:11" ht="15" customHeight="1">
      <c r="B160" s="138"/>
      <c r="C160" s="138"/>
      <c r="D160" s="139"/>
      <c r="E160" s="140"/>
      <c r="F160" s="140"/>
      <c r="G160" s="140"/>
      <c r="H160" s="140"/>
      <c r="I160" s="140"/>
      <c r="J160" s="140"/>
      <c r="K160" s="140"/>
    </row>
    <row r="161" spans="2:11" ht="15" customHeight="1">
      <c r="B161" s="138"/>
      <c r="C161" s="138"/>
      <c r="D161" s="139"/>
      <c r="E161" s="140"/>
      <c r="F161" s="140"/>
      <c r="G161" s="140"/>
      <c r="H161" s="140"/>
      <c r="I161" s="140"/>
      <c r="J161" s="140"/>
      <c r="K161" s="140"/>
    </row>
    <row r="162" spans="2:11" ht="15" customHeight="1">
      <c r="B162" s="138"/>
      <c r="C162" s="138"/>
      <c r="D162" s="139"/>
      <c r="E162" s="140"/>
      <c r="F162" s="140"/>
      <c r="G162" s="140"/>
      <c r="H162" s="140"/>
      <c r="I162" s="140"/>
      <c r="J162" s="140"/>
      <c r="K162" s="140"/>
    </row>
    <row r="163" spans="2:11" ht="15" customHeight="1">
      <c r="B163" s="138"/>
      <c r="C163" s="138"/>
      <c r="D163" s="139"/>
      <c r="E163" s="140"/>
      <c r="F163" s="140"/>
      <c r="G163" s="140"/>
      <c r="H163" s="140"/>
      <c r="I163" s="140"/>
      <c r="J163" s="140"/>
      <c r="K163" s="140"/>
    </row>
    <row r="164" spans="2:11" ht="15" customHeight="1">
      <c r="B164" s="138"/>
      <c r="C164" s="138"/>
      <c r="D164" s="139"/>
      <c r="E164" s="140"/>
      <c r="F164" s="140"/>
      <c r="G164" s="140"/>
      <c r="H164" s="140"/>
      <c r="I164" s="140"/>
      <c r="J164" s="140"/>
      <c r="K164" s="140"/>
    </row>
    <row r="165" spans="2:11" ht="15" customHeight="1">
      <c r="B165" s="138"/>
      <c r="C165" s="138"/>
      <c r="D165" s="139"/>
      <c r="E165" s="140"/>
      <c r="F165" s="140"/>
      <c r="G165" s="140"/>
      <c r="H165" s="140"/>
      <c r="I165" s="140"/>
      <c r="J165" s="140"/>
      <c r="K165" s="140"/>
    </row>
    <row r="166" spans="2:11" ht="15" customHeight="1">
      <c r="B166" s="138"/>
      <c r="C166" s="138"/>
      <c r="D166" s="139"/>
      <c r="E166" s="140"/>
      <c r="F166" s="140"/>
      <c r="G166" s="140"/>
      <c r="H166" s="140"/>
      <c r="I166" s="140"/>
      <c r="J166" s="140"/>
      <c r="K166" s="140"/>
    </row>
    <row r="167" spans="2:11" ht="15" customHeight="1">
      <c r="B167" s="138"/>
      <c r="C167" s="138"/>
      <c r="D167" s="139"/>
      <c r="E167" s="140"/>
      <c r="F167" s="140"/>
      <c r="G167" s="140"/>
      <c r="H167" s="140"/>
      <c r="I167" s="140"/>
      <c r="J167" s="140"/>
      <c r="K167" s="140"/>
    </row>
    <row r="168" spans="2:11" ht="15" customHeight="1">
      <c r="B168" s="138"/>
      <c r="C168" s="138"/>
      <c r="D168" s="139"/>
      <c r="E168" s="140"/>
      <c r="F168" s="140"/>
      <c r="G168" s="140"/>
      <c r="H168" s="140"/>
      <c r="I168" s="140"/>
      <c r="J168" s="140"/>
      <c r="K168" s="140"/>
    </row>
    <row r="169" spans="2:11" ht="15" customHeight="1">
      <c r="B169" s="138"/>
      <c r="C169" s="138"/>
      <c r="D169" s="139"/>
      <c r="E169" s="140"/>
      <c r="F169" s="140"/>
      <c r="G169" s="140"/>
      <c r="H169" s="140"/>
      <c r="I169" s="140"/>
      <c r="J169" s="140"/>
      <c r="K169" s="140"/>
    </row>
    <row r="170" spans="2:11" ht="15" customHeight="1">
      <c r="B170" s="138"/>
      <c r="C170" s="138"/>
      <c r="D170" s="139"/>
      <c r="E170" s="140"/>
      <c r="F170" s="140"/>
      <c r="G170" s="140"/>
      <c r="H170" s="140"/>
      <c r="I170" s="140"/>
      <c r="J170" s="140"/>
      <c r="K170" s="140"/>
    </row>
    <row r="171" spans="2:11" ht="15" customHeight="1">
      <c r="B171" s="138"/>
      <c r="C171" s="138"/>
      <c r="D171" s="139"/>
      <c r="E171" s="140"/>
      <c r="F171" s="140"/>
      <c r="G171" s="140"/>
      <c r="H171" s="140"/>
      <c r="I171" s="140"/>
      <c r="J171" s="140"/>
      <c r="K171" s="140"/>
    </row>
    <row r="172" spans="2:11" ht="15" customHeight="1">
      <c r="B172" s="138"/>
      <c r="C172" s="138"/>
      <c r="D172" s="139"/>
      <c r="E172" s="140"/>
      <c r="F172" s="140"/>
      <c r="G172" s="140"/>
      <c r="H172" s="140"/>
      <c r="I172" s="140"/>
      <c r="J172" s="140"/>
      <c r="K172" s="140"/>
    </row>
    <row r="173" spans="2:11" ht="15" customHeight="1">
      <c r="B173" s="138"/>
      <c r="C173" s="138"/>
      <c r="D173" s="139"/>
      <c r="E173" s="140"/>
      <c r="F173" s="140"/>
      <c r="G173" s="140"/>
      <c r="H173" s="140"/>
      <c r="I173" s="140"/>
      <c r="J173" s="140"/>
      <c r="K173" s="140"/>
    </row>
  </sheetData>
  <mergeCells count="2">
    <mergeCell ref="E10:J10"/>
    <mergeCell ref="E11:J11"/>
  </mergeCells>
  <printOptions horizontalCentered="1"/>
  <pageMargins left="0.39370078740157483" right="0.39370078740157483" top="0.39370078740157483" bottom="0.39370078740157483" header="0.31496062992125984" footer="0.31496062992125984"/>
  <pageSetup paperSize="9" scale="7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173"/>
  <sheetViews>
    <sheetView tabSelected="1" view="pageBreakPreview" zoomScale="115" zoomScaleNormal="84" zoomScaleSheetLayoutView="115" workbookViewId="0">
      <selection activeCell="M12" sqref="M12"/>
    </sheetView>
  </sheetViews>
  <sheetFormatPr defaultColWidth="7.140625" defaultRowHeight="13.5"/>
  <cols>
    <col min="1" max="1" width="1.7109375" style="116" customWidth="1"/>
    <col min="2" max="2" width="12.85546875" style="116" customWidth="1"/>
    <col min="3" max="3" width="7.28515625" style="116" customWidth="1"/>
    <col min="4" max="4" width="10.7109375" style="116" customWidth="1"/>
    <col min="5" max="10" width="7.5703125" style="116" customWidth="1"/>
    <col min="11" max="11" width="1.5703125" style="116" customWidth="1"/>
    <col min="12" max="16" width="7.5703125" style="116" customWidth="1"/>
    <col min="17" max="17" width="7.5703125" style="177" customWidth="1"/>
    <col min="18" max="18" width="1.7109375" style="116" customWidth="1"/>
    <col min="19" max="16384" width="7.140625" style="116"/>
  </cols>
  <sheetData>
    <row r="1" spans="1:18" s="1" customFormat="1" ht="15" customHeight="1">
      <c r="B1" s="2"/>
      <c r="C1" s="2"/>
      <c r="D1" s="3"/>
      <c r="E1" s="201"/>
      <c r="F1" s="201"/>
      <c r="G1" s="201"/>
      <c r="H1" s="201"/>
      <c r="I1" s="201"/>
      <c r="J1" s="201"/>
      <c r="K1" s="297"/>
      <c r="L1" s="297"/>
      <c r="M1" s="297"/>
    </row>
    <row r="2" spans="1:18" s="1" customFormat="1">
      <c r="B2" s="2"/>
      <c r="C2" s="2"/>
      <c r="D2" s="3"/>
      <c r="E2" s="201"/>
      <c r="F2" s="201"/>
      <c r="G2" s="201"/>
      <c r="H2" s="201"/>
      <c r="I2" s="201"/>
      <c r="J2" s="201"/>
      <c r="K2" s="201"/>
      <c r="L2" s="201"/>
      <c r="R2" s="200" t="s">
        <v>7</v>
      </c>
    </row>
    <row r="3" spans="1:18" s="1" customFormat="1">
      <c r="B3" s="2"/>
      <c r="C3" s="2"/>
      <c r="D3" s="3"/>
      <c r="E3" s="201"/>
      <c r="F3" s="201"/>
      <c r="G3" s="201"/>
      <c r="H3" s="201"/>
      <c r="I3" s="201"/>
      <c r="J3" s="201"/>
      <c r="K3" s="201"/>
      <c r="L3" s="201"/>
      <c r="R3" s="5" t="s">
        <v>55</v>
      </c>
    </row>
    <row r="4" spans="1:18" s="1" customFormat="1">
      <c r="B4" s="7"/>
      <c r="C4" s="7"/>
      <c r="D4" s="3"/>
    </row>
    <row r="5" spans="1:18" ht="15" customHeight="1">
      <c r="B5" s="8" t="s">
        <v>88</v>
      </c>
      <c r="C5" s="9" t="s">
        <v>139</v>
      </c>
      <c r="D5" s="117"/>
      <c r="E5" s="118"/>
      <c r="F5" s="118"/>
      <c r="G5" s="118"/>
      <c r="H5" s="118"/>
      <c r="I5" s="118"/>
      <c r="J5" s="118"/>
      <c r="K5" s="118"/>
      <c r="L5" s="118"/>
      <c r="R5" s="118"/>
    </row>
    <row r="6" spans="1:18" ht="15" customHeight="1">
      <c r="B6" s="12" t="s">
        <v>89</v>
      </c>
      <c r="C6" s="13" t="s">
        <v>146</v>
      </c>
      <c r="D6" s="114"/>
      <c r="E6" s="115"/>
      <c r="F6" s="115"/>
      <c r="G6" s="115"/>
      <c r="H6" s="115"/>
      <c r="I6" s="115"/>
      <c r="J6" s="115"/>
      <c r="K6" s="115"/>
      <c r="L6" s="115"/>
      <c r="R6" s="115"/>
    </row>
    <row r="7" spans="1:18" ht="8.1" customHeight="1">
      <c r="B7" s="112"/>
      <c r="C7" s="113"/>
      <c r="D7" s="114"/>
      <c r="E7" s="115"/>
      <c r="F7" s="115"/>
      <c r="G7" s="115"/>
      <c r="H7" s="115"/>
      <c r="I7" s="115"/>
      <c r="J7" s="115"/>
      <c r="K7" s="115"/>
      <c r="L7" s="298"/>
      <c r="M7" s="298"/>
      <c r="R7" s="115"/>
    </row>
    <row r="8" spans="1:18" ht="15.95" customHeight="1" thickBot="1">
      <c r="D8" s="117"/>
      <c r="E8" s="118"/>
      <c r="F8" s="118"/>
      <c r="G8" s="118"/>
      <c r="H8" s="118"/>
      <c r="I8" s="118"/>
      <c r="J8" s="118"/>
      <c r="K8" s="118"/>
      <c r="L8" s="118"/>
      <c r="N8" s="118"/>
      <c r="O8" s="118"/>
      <c r="P8" s="118"/>
      <c r="Q8" s="116"/>
      <c r="R8" s="118"/>
    </row>
    <row r="9" spans="1:18" ht="8.1" customHeight="1" thickTop="1">
      <c r="A9" s="119"/>
      <c r="B9" s="120"/>
      <c r="C9" s="121"/>
      <c r="D9" s="122"/>
      <c r="E9" s="123"/>
      <c r="F9" s="123"/>
      <c r="G9" s="123"/>
      <c r="H9" s="123"/>
      <c r="I9" s="123"/>
      <c r="J9" s="123"/>
      <c r="K9" s="123"/>
      <c r="L9" s="123"/>
      <c r="M9" s="119"/>
      <c r="N9" s="123"/>
      <c r="O9" s="123"/>
      <c r="P9" s="123"/>
      <c r="Q9" s="119"/>
      <c r="R9" s="123"/>
    </row>
    <row r="10" spans="1:18" ht="15" customHeight="1">
      <c r="A10" s="124"/>
      <c r="B10" s="125" t="s">
        <v>90</v>
      </c>
      <c r="C10" s="126"/>
      <c r="D10" s="189" t="s">
        <v>91</v>
      </c>
      <c r="E10" s="292" t="s">
        <v>125</v>
      </c>
      <c r="F10" s="292"/>
      <c r="G10" s="292"/>
      <c r="H10" s="292"/>
      <c r="I10" s="292"/>
      <c r="J10" s="292"/>
      <c r="K10" s="189"/>
      <c r="L10" s="292" t="s">
        <v>87</v>
      </c>
      <c r="M10" s="292"/>
      <c r="N10" s="292"/>
      <c r="O10" s="292"/>
      <c r="P10" s="292"/>
      <c r="Q10" s="292"/>
      <c r="R10" s="189"/>
    </row>
    <row r="11" spans="1:18" ht="15" customHeight="1">
      <c r="A11" s="124"/>
      <c r="B11" s="129" t="s">
        <v>92</v>
      </c>
      <c r="C11" s="126"/>
      <c r="D11" s="130" t="s">
        <v>93</v>
      </c>
      <c r="E11" s="293" t="s">
        <v>133</v>
      </c>
      <c r="F11" s="293"/>
      <c r="G11" s="293"/>
      <c r="H11" s="293"/>
      <c r="I11" s="293"/>
      <c r="J11" s="293"/>
      <c r="K11" s="191"/>
      <c r="L11" s="294" t="s">
        <v>135</v>
      </c>
      <c r="M11" s="294"/>
      <c r="N11" s="294"/>
      <c r="O11" s="294"/>
      <c r="P11" s="294"/>
      <c r="Q11" s="294"/>
      <c r="R11" s="191"/>
    </row>
    <row r="12" spans="1:18" ht="15" customHeight="1">
      <c r="A12" s="124"/>
      <c r="B12" s="125"/>
      <c r="C12" s="126"/>
      <c r="D12" s="189"/>
      <c r="E12" s="172"/>
      <c r="F12" s="172"/>
      <c r="G12" s="192"/>
      <c r="H12" s="192"/>
      <c r="I12" s="192"/>
      <c r="J12" s="192"/>
      <c r="K12" s="192"/>
      <c r="L12" s="192"/>
      <c r="M12" s="192"/>
      <c r="N12" s="192"/>
      <c r="O12" s="192"/>
      <c r="P12" s="192"/>
      <c r="Q12" s="192"/>
      <c r="R12" s="192"/>
    </row>
    <row r="13" spans="1:18" ht="15" customHeight="1">
      <c r="A13" s="124"/>
      <c r="B13" s="125"/>
      <c r="C13" s="126"/>
      <c r="D13" s="189"/>
      <c r="E13" s="278" t="s">
        <v>112</v>
      </c>
      <c r="F13" s="278" t="s">
        <v>113</v>
      </c>
      <c r="G13" s="278" t="s">
        <v>114</v>
      </c>
      <c r="H13" s="278" t="s">
        <v>115</v>
      </c>
      <c r="I13" s="278" t="s">
        <v>116</v>
      </c>
      <c r="J13" s="278" t="s">
        <v>132</v>
      </c>
      <c r="K13" s="278"/>
      <c r="L13" s="278" t="s">
        <v>112</v>
      </c>
      <c r="M13" s="278" t="s">
        <v>113</v>
      </c>
      <c r="N13" s="278" t="s">
        <v>114</v>
      </c>
      <c r="O13" s="278" t="s">
        <v>115</v>
      </c>
      <c r="P13" s="278" t="s">
        <v>116</v>
      </c>
      <c r="Q13" s="278" t="s">
        <v>132</v>
      </c>
      <c r="R13" s="230"/>
    </row>
    <row r="14" spans="1:18" ht="8.1" customHeight="1">
      <c r="A14" s="135"/>
      <c r="B14" s="136"/>
      <c r="C14" s="135"/>
      <c r="D14" s="135"/>
      <c r="E14" s="137"/>
      <c r="F14" s="137"/>
      <c r="G14" s="137"/>
      <c r="H14" s="137"/>
      <c r="I14" s="137"/>
      <c r="J14" s="137"/>
      <c r="K14" s="137"/>
      <c r="L14" s="137"/>
      <c r="M14" s="135"/>
      <c r="N14" s="135"/>
      <c r="O14" s="224"/>
      <c r="P14" s="224"/>
      <c r="Q14" s="224"/>
      <c r="R14" s="137"/>
    </row>
    <row r="15" spans="1:18" ht="8.1" customHeight="1">
      <c r="A15" s="138"/>
      <c r="B15" s="138"/>
      <c r="C15" s="138"/>
      <c r="D15" s="146"/>
      <c r="E15" s="140"/>
      <c r="F15" s="140"/>
      <c r="G15" s="140"/>
      <c r="H15" s="141"/>
      <c r="I15" s="142"/>
      <c r="J15" s="142"/>
      <c r="K15" s="142"/>
      <c r="L15" s="143"/>
      <c r="M15" s="142"/>
      <c r="N15" s="142"/>
      <c r="R15" s="142"/>
    </row>
    <row r="16" spans="1:18" ht="15" customHeight="1">
      <c r="B16" s="144" t="s">
        <v>107</v>
      </c>
      <c r="C16" s="145"/>
      <c r="D16" s="147">
        <v>2021</v>
      </c>
      <c r="E16" s="211">
        <f>SUM('7.4 (L)'!E16,'7.4 (P)'!E16)</f>
        <v>337</v>
      </c>
      <c r="F16" s="211">
        <f>SUM('7.4 (L)'!F16,'7.4 (P)'!F16)</f>
        <v>1877</v>
      </c>
      <c r="G16" s="211">
        <f>SUM('7.4 (L)'!G16,'7.4 (P)'!G16)</f>
        <v>1463</v>
      </c>
      <c r="H16" s="211">
        <f>SUM('7.4 (L)'!H16,'7.4 (P)'!H16)</f>
        <v>1112</v>
      </c>
      <c r="I16" s="211">
        <f>SUM('7.4 (L)'!I16,'7.4 (P)'!I16)</f>
        <v>882</v>
      </c>
      <c r="J16" s="211">
        <f>SUM('7.4 (L)'!J16,'7.4 (P)'!J16)</f>
        <v>752</v>
      </c>
      <c r="K16" s="211"/>
      <c r="L16" s="211">
        <f>SUM('7.4 (L)'!L16,'7.4 (P)'!L16)</f>
        <v>65</v>
      </c>
      <c r="M16" s="211">
        <f>SUM('7.4 (L)'!M16,'7.4 (P)'!M16)</f>
        <v>262</v>
      </c>
      <c r="N16" s="211">
        <f>SUM('7.4 (L)'!N16,'7.4 (P)'!N16)</f>
        <v>193</v>
      </c>
      <c r="O16" s="211">
        <f>SUM('7.4 (L)'!O16,'7.4 (P)'!O16)</f>
        <v>163</v>
      </c>
      <c r="P16" s="211">
        <f>SUM('7.4 (L)'!P16,'7.4 (P)'!P16)</f>
        <v>143</v>
      </c>
      <c r="Q16" s="211">
        <f>SUM('7.4 (L)'!Q16,'7.4 (P)'!Q16)</f>
        <v>70</v>
      </c>
      <c r="R16" s="211"/>
    </row>
    <row r="17" spans="2:21" ht="15" customHeight="1">
      <c r="B17" s="145"/>
      <c r="C17" s="145"/>
      <c r="D17" s="146">
        <v>2022</v>
      </c>
      <c r="E17" s="211">
        <f>SUM('7.4 (L)'!E17,'7.4 (P)'!E17)</f>
        <v>359</v>
      </c>
      <c r="F17" s="211">
        <f>SUM('7.4 (L)'!F17,'7.4 (P)'!F17)</f>
        <v>2285</v>
      </c>
      <c r="G17" s="211">
        <f>SUM('7.4 (L)'!G17,'7.4 (P)'!G17)</f>
        <v>1893</v>
      </c>
      <c r="H17" s="211">
        <f>SUM('7.4 (L)'!H17,'7.4 (P)'!H17)</f>
        <v>1379</v>
      </c>
      <c r="I17" s="211">
        <f>SUM('7.4 (L)'!I17,'7.4 (P)'!I17)</f>
        <v>1045</v>
      </c>
      <c r="J17" s="211">
        <f>SUM('7.4 (L)'!J17,'7.4 (P)'!J17)</f>
        <v>771</v>
      </c>
      <c r="K17" s="211"/>
      <c r="L17" s="211">
        <f>SUM('7.4 (L)'!L17,'7.4 (P)'!L17)</f>
        <v>68</v>
      </c>
      <c r="M17" s="211">
        <f>SUM('7.4 (L)'!M17,'7.4 (P)'!M17)</f>
        <v>247</v>
      </c>
      <c r="N17" s="211">
        <f>SUM('7.4 (L)'!N17,'7.4 (P)'!N17)</f>
        <v>337</v>
      </c>
      <c r="O17" s="211">
        <f>SUM('7.4 (L)'!O17,'7.4 (P)'!O17)</f>
        <v>316</v>
      </c>
      <c r="P17" s="211">
        <f>SUM('7.4 (L)'!P17,'7.4 (P)'!P17)</f>
        <v>185</v>
      </c>
      <c r="Q17" s="211">
        <f>SUM('7.4 (L)'!Q17,'7.4 (P)'!Q17)</f>
        <v>104</v>
      </c>
      <c r="R17" s="211"/>
    </row>
    <row r="18" spans="2:21" ht="15" customHeight="1">
      <c r="B18" s="145"/>
      <c r="C18" s="145"/>
      <c r="D18" s="146">
        <v>2023</v>
      </c>
      <c r="E18" s="211">
        <f>SUM('7.4 (L)'!E18,'7.4 (P)'!E18)</f>
        <v>657</v>
      </c>
      <c r="F18" s="211">
        <f>SUM('7.4 (L)'!F18,'7.4 (P)'!F18)</f>
        <v>3258</v>
      </c>
      <c r="G18" s="211">
        <f>SUM('7.4 (L)'!G18,'7.4 (P)'!G18)</f>
        <v>2309</v>
      </c>
      <c r="H18" s="211">
        <f>SUM('7.4 (L)'!H18,'7.4 (P)'!H18)</f>
        <v>1714</v>
      </c>
      <c r="I18" s="211">
        <f>SUM('7.4 (L)'!I18,'7.4 (P)'!I18)</f>
        <v>1347</v>
      </c>
      <c r="J18" s="211">
        <f>SUM('7.4 (L)'!J18,'7.4 (P)'!J18)</f>
        <v>1061</v>
      </c>
      <c r="K18" s="211"/>
      <c r="L18" s="211">
        <f>SUM('7.4 (L)'!L18,'7.4 (P)'!L18)</f>
        <v>118</v>
      </c>
      <c r="M18" s="211">
        <f>SUM('7.4 (L)'!M18,'7.4 (P)'!M18)</f>
        <v>483</v>
      </c>
      <c r="N18" s="211">
        <f>SUM('7.4 (L)'!N18,'7.4 (P)'!N18)</f>
        <v>517</v>
      </c>
      <c r="O18" s="211">
        <f>SUM('7.4 (L)'!O18,'7.4 (P)'!O18)</f>
        <v>447</v>
      </c>
      <c r="P18" s="211">
        <f>SUM('7.4 (L)'!P18,'7.4 (P)'!P18)</f>
        <v>308</v>
      </c>
      <c r="Q18" s="211">
        <f>SUM('7.4 (L)'!Q18,'7.4 (P)'!Q18)</f>
        <v>219</v>
      </c>
      <c r="R18" s="211"/>
      <c r="U18" s="261" t="s">
        <v>131</v>
      </c>
    </row>
    <row r="19" spans="2:21" ht="8.1" customHeight="1">
      <c r="B19" s="145"/>
      <c r="C19" s="148"/>
      <c r="D19" s="149"/>
      <c r="E19" s="179"/>
      <c r="F19" s="184"/>
      <c r="G19" s="184"/>
      <c r="H19" s="184"/>
      <c r="I19" s="184"/>
      <c r="J19" s="184"/>
      <c r="K19" s="184"/>
      <c r="L19" s="179"/>
      <c r="M19" s="184"/>
      <c r="N19" s="184"/>
      <c r="O19" s="184"/>
      <c r="P19" s="184"/>
      <c r="Q19" s="184"/>
      <c r="R19" s="184"/>
    </row>
    <row r="20" spans="2:21" ht="15" customHeight="1">
      <c r="B20" s="151" t="s">
        <v>94</v>
      </c>
      <c r="C20" s="152"/>
      <c r="D20" s="149">
        <v>2021</v>
      </c>
      <c r="E20" s="211">
        <f>SUM('7.4 (L)'!E20,'7.4 (P)'!E20)</f>
        <v>38</v>
      </c>
      <c r="F20" s="211">
        <f>SUM('7.4 (L)'!F20,'7.4 (P)'!F20)</f>
        <v>153</v>
      </c>
      <c r="G20" s="211">
        <f>SUM('7.4 (L)'!G20,'7.4 (P)'!G20)</f>
        <v>137</v>
      </c>
      <c r="H20" s="211">
        <f>SUM('7.4 (L)'!H20,'7.4 (P)'!H20)</f>
        <v>138</v>
      </c>
      <c r="I20" s="211">
        <f>SUM('7.4 (L)'!I20,'7.4 (P)'!I20)</f>
        <v>91</v>
      </c>
      <c r="J20" s="211">
        <f>SUM('7.4 (L)'!J20,'7.4 (P)'!J20)</f>
        <v>89</v>
      </c>
      <c r="K20" s="223"/>
      <c r="L20" s="211">
        <f>SUM('7.4 (L)'!L20,'7.4 (P)'!L20)</f>
        <v>2</v>
      </c>
      <c r="M20" s="211">
        <f>SUM('7.4 (L)'!M20,'7.4 (P)'!M20)</f>
        <v>14</v>
      </c>
      <c r="N20" s="211">
        <f>SUM('7.4 (L)'!N20,'7.4 (P)'!N20)</f>
        <v>7</v>
      </c>
      <c r="O20" s="211">
        <f>SUM('7.4 (L)'!O20,'7.4 (P)'!O20)</f>
        <v>6</v>
      </c>
      <c r="P20" s="211">
        <f>SUM('7.4 (L)'!P20,'7.4 (P)'!P20)</f>
        <v>9</v>
      </c>
      <c r="Q20" s="211">
        <f>SUM('7.4 (L)'!Q20,'7.4 (P)'!Q20)</f>
        <v>3</v>
      </c>
      <c r="R20" s="222"/>
    </row>
    <row r="21" spans="2:21" ht="15" customHeight="1">
      <c r="B21" s="153"/>
      <c r="C21" s="152"/>
      <c r="D21" s="149">
        <v>2022</v>
      </c>
      <c r="E21" s="211">
        <f>SUM('7.4 (L)'!E21,'7.4 (P)'!E21)</f>
        <v>17</v>
      </c>
      <c r="F21" s="211">
        <f>SUM('7.4 (L)'!F21,'7.4 (P)'!F21)</f>
        <v>180</v>
      </c>
      <c r="G21" s="211">
        <f>SUM('7.4 (L)'!G21,'7.4 (P)'!G21)</f>
        <v>181</v>
      </c>
      <c r="H21" s="211">
        <f>SUM('7.4 (L)'!H21,'7.4 (P)'!H21)</f>
        <v>138</v>
      </c>
      <c r="I21" s="211">
        <f>SUM('7.4 (L)'!I21,'7.4 (P)'!I21)</f>
        <v>111</v>
      </c>
      <c r="J21" s="211">
        <f>SUM('7.4 (L)'!J21,'7.4 (P)'!J21)</f>
        <v>81</v>
      </c>
      <c r="K21" s="223"/>
      <c r="L21" s="211">
        <f>SUM('7.4 (L)'!L21,'7.4 (P)'!L21)</f>
        <v>5</v>
      </c>
      <c r="M21" s="211">
        <f>SUM('7.4 (L)'!M21,'7.4 (P)'!M21)</f>
        <v>25</v>
      </c>
      <c r="N21" s="211">
        <f>SUM('7.4 (L)'!N21,'7.4 (P)'!N21)</f>
        <v>35</v>
      </c>
      <c r="O21" s="211">
        <f>SUM('7.4 (L)'!O21,'7.4 (P)'!O21)</f>
        <v>38</v>
      </c>
      <c r="P21" s="211">
        <f>SUM('7.4 (L)'!P21,'7.4 (P)'!P21)</f>
        <v>16</v>
      </c>
      <c r="Q21" s="211">
        <f>SUM('7.4 (L)'!Q21,'7.4 (P)'!Q21)</f>
        <v>9</v>
      </c>
      <c r="R21" s="222"/>
    </row>
    <row r="22" spans="2:21" ht="15" customHeight="1">
      <c r="B22" s="153"/>
      <c r="C22" s="152"/>
      <c r="D22" s="149">
        <v>2023</v>
      </c>
      <c r="E22" s="211">
        <f>SUM('7.4 (L)'!E22,'7.4 (P)'!E22)</f>
        <v>56</v>
      </c>
      <c r="F22" s="211">
        <f>SUM('7.4 (L)'!F22,'7.4 (P)'!F22)</f>
        <v>334</v>
      </c>
      <c r="G22" s="211">
        <f>SUM('7.4 (L)'!G22,'7.4 (P)'!G22)</f>
        <v>240</v>
      </c>
      <c r="H22" s="211">
        <f>SUM('7.4 (L)'!H22,'7.4 (P)'!H22)</f>
        <v>153</v>
      </c>
      <c r="I22" s="211">
        <f>SUM('7.4 (L)'!I22,'7.4 (P)'!I22)</f>
        <v>153</v>
      </c>
      <c r="J22" s="211">
        <f>SUM('7.4 (L)'!J22,'7.4 (P)'!J22)</f>
        <v>116</v>
      </c>
      <c r="K22" s="223"/>
      <c r="L22" s="211">
        <f>SUM('7.4 (L)'!L22,'7.4 (P)'!L22)</f>
        <v>24</v>
      </c>
      <c r="M22" s="211">
        <f>SUM('7.4 (L)'!M22,'7.4 (P)'!M22)</f>
        <v>76</v>
      </c>
      <c r="N22" s="211">
        <f>SUM('7.4 (L)'!N22,'7.4 (P)'!N22)</f>
        <v>84</v>
      </c>
      <c r="O22" s="211">
        <f>SUM('7.4 (L)'!O22,'7.4 (P)'!O22)</f>
        <v>80</v>
      </c>
      <c r="P22" s="211">
        <f>SUM('7.4 (L)'!P22,'7.4 (P)'!P22)</f>
        <v>57</v>
      </c>
      <c r="Q22" s="211">
        <f>SUM('7.4 (L)'!Q22,'7.4 (P)'!Q22)</f>
        <v>27</v>
      </c>
      <c r="R22" s="222"/>
    </row>
    <row r="23" spans="2:21" ht="8.1" customHeight="1">
      <c r="B23" s="153"/>
      <c r="C23" s="154"/>
      <c r="D23" s="149"/>
      <c r="E23" s="150"/>
      <c r="F23" s="203"/>
      <c r="G23" s="203"/>
      <c r="H23" s="203"/>
      <c r="I23" s="203"/>
      <c r="J23" s="203"/>
      <c r="K23" s="203"/>
      <c r="L23" s="150"/>
      <c r="M23" s="203"/>
      <c r="N23" s="203"/>
      <c r="O23" s="203"/>
      <c r="P23" s="203"/>
      <c r="Q23" s="203"/>
      <c r="R23" s="203"/>
    </row>
    <row r="24" spans="2:21" ht="15" customHeight="1">
      <c r="B24" s="151" t="s">
        <v>95</v>
      </c>
      <c r="C24" s="152"/>
      <c r="D24" s="149">
        <v>2021</v>
      </c>
      <c r="E24" s="211">
        <f>SUM('7.4 (L)'!E24,'7.4 (P)'!E24)</f>
        <v>28</v>
      </c>
      <c r="F24" s="211">
        <f>SUM('7.4 (L)'!F24,'7.4 (P)'!F24)</f>
        <v>103</v>
      </c>
      <c r="G24" s="211">
        <f>SUM('7.4 (L)'!G24,'7.4 (P)'!G24)</f>
        <v>75</v>
      </c>
      <c r="H24" s="211">
        <f>SUM('7.4 (L)'!H24,'7.4 (P)'!H24)</f>
        <v>76</v>
      </c>
      <c r="I24" s="211">
        <f>SUM('7.4 (L)'!I24,'7.4 (P)'!I24)</f>
        <v>63</v>
      </c>
      <c r="J24" s="211">
        <f>SUM('7.4 (L)'!J24,'7.4 (P)'!J24)</f>
        <v>28</v>
      </c>
      <c r="K24" s="223"/>
      <c r="L24" s="211">
        <f>SUM('7.4 (L)'!L24,'7.4 (P)'!L24)</f>
        <v>4</v>
      </c>
      <c r="M24" s="211">
        <f>SUM('7.4 (L)'!M24,'7.4 (P)'!M24)</f>
        <v>19</v>
      </c>
      <c r="N24" s="211">
        <f>SUM('7.4 (L)'!N24,'7.4 (P)'!N24)</f>
        <v>8</v>
      </c>
      <c r="O24" s="211">
        <f>SUM('7.4 (L)'!O24,'7.4 (P)'!O24)</f>
        <v>9</v>
      </c>
      <c r="P24" s="211">
        <f>SUM('7.4 (L)'!P24,'7.4 (P)'!P24)</f>
        <v>8</v>
      </c>
      <c r="Q24" s="211">
        <f>SUM('7.4 (L)'!Q24,'7.4 (P)'!Q24)</f>
        <v>5</v>
      </c>
      <c r="R24" s="222"/>
    </row>
    <row r="25" spans="2:21" ht="15" customHeight="1">
      <c r="B25" s="151"/>
      <c r="C25" s="152"/>
      <c r="D25" s="149">
        <v>2022</v>
      </c>
      <c r="E25" s="211">
        <f>SUM('7.4 (L)'!E25,'7.4 (P)'!E25)</f>
        <v>27</v>
      </c>
      <c r="F25" s="211">
        <f>SUM('7.4 (L)'!F25,'7.4 (P)'!F25)</f>
        <v>118</v>
      </c>
      <c r="G25" s="211">
        <f>SUM('7.4 (L)'!G25,'7.4 (P)'!G25)</f>
        <v>108</v>
      </c>
      <c r="H25" s="211">
        <f>SUM('7.4 (L)'!H25,'7.4 (P)'!H25)</f>
        <v>105</v>
      </c>
      <c r="I25" s="211">
        <f>SUM('7.4 (L)'!I25,'7.4 (P)'!I25)</f>
        <v>63</v>
      </c>
      <c r="J25" s="211">
        <f>SUM('7.4 (L)'!J25,'7.4 (P)'!J25)</f>
        <v>53</v>
      </c>
      <c r="K25" s="223"/>
      <c r="L25" s="211">
        <f>SUM('7.4 (L)'!L25,'7.4 (P)'!L25)</f>
        <v>2</v>
      </c>
      <c r="M25" s="211">
        <f>SUM('7.4 (L)'!M25,'7.4 (P)'!M25)</f>
        <v>11</v>
      </c>
      <c r="N25" s="211">
        <f>SUM('7.4 (L)'!N25,'7.4 (P)'!N25)</f>
        <v>12</v>
      </c>
      <c r="O25" s="211">
        <f>SUM('7.4 (L)'!O25,'7.4 (P)'!O25)</f>
        <v>13</v>
      </c>
      <c r="P25" s="211">
        <f>SUM('7.4 (L)'!P25,'7.4 (P)'!P25)</f>
        <v>9</v>
      </c>
      <c r="Q25" s="211">
        <f>SUM('7.4 (L)'!Q25,'7.4 (P)'!Q25)</f>
        <v>9</v>
      </c>
      <c r="R25" s="222"/>
    </row>
    <row r="26" spans="2:21" ht="15" customHeight="1">
      <c r="B26" s="151"/>
      <c r="C26" s="152"/>
      <c r="D26" s="149">
        <v>2023</v>
      </c>
      <c r="E26" s="211">
        <f>SUM('7.4 (L)'!E26,'7.4 (P)'!E26)</f>
        <v>37</v>
      </c>
      <c r="F26" s="211">
        <f>SUM('7.4 (L)'!F26,'7.4 (P)'!F26)</f>
        <v>170</v>
      </c>
      <c r="G26" s="211">
        <f>SUM('7.4 (L)'!G26,'7.4 (P)'!G26)</f>
        <v>113</v>
      </c>
      <c r="H26" s="211">
        <f>SUM('7.4 (L)'!H26,'7.4 (P)'!H26)</f>
        <v>106</v>
      </c>
      <c r="I26" s="211">
        <f>SUM('7.4 (L)'!I26,'7.4 (P)'!I26)</f>
        <v>80</v>
      </c>
      <c r="J26" s="211">
        <f>SUM('7.4 (L)'!J26,'7.4 (P)'!J26)</f>
        <v>47</v>
      </c>
      <c r="K26" s="223"/>
      <c r="L26" s="211">
        <f>SUM('7.4 (L)'!L26,'7.4 (P)'!L26)</f>
        <v>9</v>
      </c>
      <c r="M26" s="211">
        <f>SUM('7.4 (L)'!M26,'7.4 (P)'!M26)</f>
        <v>25</v>
      </c>
      <c r="N26" s="211">
        <f>SUM('7.4 (L)'!N26,'7.4 (P)'!N26)</f>
        <v>26</v>
      </c>
      <c r="O26" s="211">
        <f>SUM('7.4 (L)'!O26,'7.4 (P)'!O26)</f>
        <v>16</v>
      </c>
      <c r="P26" s="211">
        <f>SUM('7.4 (L)'!P26,'7.4 (P)'!P26)</f>
        <v>18</v>
      </c>
      <c r="Q26" s="211">
        <f>SUM('7.4 (L)'!Q26,'7.4 (P)'!Q26)</f>
        <v>11</v>
      </c>
      <c r="R26" s="222"/>
    </row>
    <row r="27" spans="2:21" ht="8.1" customHeight="1">
      <c r="B27" s="151"/>
      <c r="C27" s="154"/>
      <c r="D27" s="149"/>
      <c r="E27" s="150"/>
      <c r="F27" s="203"/>
      <c r="G27" s="203"/>
      <c r="H27" s="203"/>
      <c r="I27" s="203"/>
      <c r="J27" s="203"/>
      <c r="K27" s="203"/>
      <c r="L27" s="150"/>
      <c r="M27" s="203"/>
      <c r="N27" s="203"/>
      <c r="O27" s="203"/>
      <c r="P27" s="203"/>
      <c r="Q27" s="203"/>
      <c r="R27" s="203"/>
    </row>
    <row r="28" spans="2:21" ht="15" customHeight="1">
      <c r="B28" s="151" t="s">
        <v>96</v>
      </c>
      <c r="C28" s="152"/>
      <c r="D28" s="149">
        <v>2021</v>
      </c>
      <c r="E28" s="211">
        <f>SUM('7.4 (L)'!E28,'7.4 (P)'!E28)</f>
        <v>13</v>
      </c>
      <c r="F28" s="211">
        <f>SUM('7.4 (L)'!F28,'7.4 (P)'!F28)</f>
        <v>39</v>
      </c>
      <c r="G28" s="211">
        <f>SUM('7.4 (L)'!G28,'7.4 (P)'!G28)</f>
        <v>28</v>
      </c>
      <c r="H28" s="211">
        <f>SUM('7.4 (L)'!H28,'7.4 (P)'!H28)</f>
        <v>26</v>
      </c>
      <c r="I28" s="211">
        <f>SUM('7.4 (L)'!I28,'7.4 (P)'!I28)</f>
        <v>14</v>
      </c>
      <c r="J28" s="211">
        <f>SUM('7.4 (L)'!J28,'7.4 (P)'!J28)</f>
        <v>11</v>
      </c>
      <c r="K28" s="223"/>
      <c r="L28" s="211">
        <f>SUM('7.4 (L)'!L28,'7.4 (P)'!L28)</f>
        <v>3</v>
      </c>
      <c r="M28" s="211">
        <f>SUM('7.4 (L)'!M28,'7.4 (P)'!M28)</f>
        <v>13</v>
      </c>
      <c r="N28" s="211">
        <f>SUM('7.4 (L)'!N28,'7.4 (P)'!N28)</f>
        <v>10</v>
      </c>
      <c r="O28" s="211">
        <f>SUM('7.4 (L)'!O28,'7.4 (P)'!O28)</f>
        <v>6</v>
      </c>
      <c r="P28" s="211">
        <f>SUM('7.4 (L)'!P28,'7.4 (P)'!P28)</f>
        <v>7</v>
      </c>
      <c r="Q28" s="211">
        <f>SUM('7.4 (L)'!Q28,'7.4 (P)'!Q28)</f>
        <v>2</v>
      </c>
      <c r="R28" s="222"/>
    </row>
    <row r="29" spans="2:21" ht="15" customHeight="1">
      <c r="B29" s="153"/>
      <c r="C29" s="152"/>
      <c r="D29" s="149">
        <v>2022</v>
      </c>
      <c r="E29" s="211">
        <f>SUM('7.4 (L)'!E29,'7.4 (P)'!E29)</f>
        <v>7</v>
      </c>
      <c r="F29" s="211">
        <f>SUM('7.4 (L)'!F29,'7.4 (P)'!F29)</f>
        <v>76</v>
      </c>
      <c r="G29" s="211">
        <f>SUM('7.4 (L)'!G29,'7.4 (P)'!G29)</f>
        <v>65</v>
      </c>
      <c r="H29" s="211">
        <f>SUM('7.4 (L)'!H29,'7.4 (P)'!H29)</f>
        <v>56</v>
      </c>
      <c r="I29" s="211">
        <f>SUM('7.4 (L)'!I29,'7.4 (P)'!I29)</f>
        <v>42</v>
      </c>
      <c r="J29" s="211">
        <f>SUM('7.4 (L)'!J29,'7.4 (P)'!J29)</f>
        <v>21</v>
      </c>
      <c r="K29" s="223"/>
      <c r="L29" s="211">
        <f>SUM('7.4 (L)'!L29,'7.4 (P)'!L29)</f>
        <v>3</v>
      </c>
      <c r="M29" s="211">
        <f>SUM('7.4 (L)'!M29,'7.4 (P)'!M29)</f>
        <v>11</v>
      </c>
      <c r="N29" s="211">
        <f>SUM('7.4 (L)'!N29,'7.4 (P)'!N29)</f>
        <v>13</v>
      </c>
      <c r="O29" s="211">
        <f>SUM('7.4 (L)'!O29,'7.4 (P)'!O29)</f>
        <v>13</v>
      </c>
      <c r="P29" s="211">
        <f>SUM('7.4 (L)'!P29,'7.4 (P)'!P29)</f>
        <v>4</v>
      </c>
      <c r="Q29" s="211">
        <f>SUM('7.4 (L)'!Q29,'7.4 (P)'!Q29)</f>
        <v>4</v>
      </c>
      <c r="R29" s="222"/>
    </row>
    <row r="30" spans="2:21" ht="15" customHeight="1">
      <c r="B30" s="153"/>
      <c r="C30" s="152"/>
      <c r="D30" s="149">
        <v>2023</v>
      </c>
      <c r="E30" s="211">
        <f>SUM('7.4 (L)'!E30,'7.4 (P)'!E30)</f>
        <v>16</v>
      </c>
      <c r="F30" s="211">
        <f>SUM('7.4 (L)'!F30,'7.4 (P)'!F30)</f>
        <v>80</v>
      </c>
      <c r="G30" s="211">
        <f>SUM('7.4 (L)'!G30,'7.4 (P)'!G30)</f>
        <v>73</v>
      </c>
      <c r="H30" s="211">
        <f>SUM('7.4 (L)'!H30,'7.4 (P)'!H30)</f>
        <v>49</v>
      </c>
      <c r="I30" s="211">
        <f>SUM('7.4 (L)'!I30,'7.4 (P)'!I30)</f>
        <v>58</v>
      </c>
      <c r="J30" s="211">
        <f>SUM('7.4 (L)'!J30,'7.4 (P)'!J30)</f>
        <v>47</v>
      </c>
      <c r="K30" s="223"/>
      <c r="L30" s="211">
        <f>SUM('7.4 (L)'!L30,'7.4 (P)'!L30)</f>
        <v>2</v>
      </c>
      <c r="M30" s="211">
        <f>SUM('7.4 (L)'!M30,'7.4 (P)'!M30)</f>
        <v>9</v>
      </c>
      <c r="N30" s="211">
        <f>SUM('7.4 (L)'!N30,'7.4 (P)'!N30)</f>
        <v>10</v>
      </c>
      <c r="O30" s="211">
        <f>SUM('7.4 (L)'!O30,'7.4 (P)'!O30)</f>
        <v>11</v>
      </c>
      <c r="P30" s="211">
        <f>SUM('7.4 (L)'!P30,'7.4 (P)'!P30)</f>
        <v>5</v>
      </c>
      <c r="Q30" s="211">
        <f>SUM('7.4 (L)'!Q30,'7.4 (P)'!Q30)</f>
        <v>8</v>
      </c>
      <c r="R30" s="222"/>
    </row>
    <row r="31" spans="2:21" ht="8.1" customHeight="1">
      <c r="B31" s="153"/>
      <c r="C31" s="148"/>
      <c r="D31" s="149"/>
      <c r="E31" s="150"/>
      <c r="F31" s="203"/>
      <c r="G31" s="203"/>
      <c r="H31" s="203"/>
      <c r="I31" s="203"/>
      <c r="J31" s="203"/>
      <c r="K31" s="203"/>
      <c r="L31" s="150"/>
      <c r="M31" s="203"/>
      <c r="N31" s="203"/>
      <c r="O31" s="203"/>
      <c r="P31" s="203"/>
      <c r="Q31" s="203"/>
      <c r="R31" s="203"/>
    </row>
    <row r="32" spans="2:21" ht="15" customHeight="1">
      <c r="B32" s="151" t="s">
        <v>97</v>
      </c>
      <c r="C32" s="152"/>
      <c r="D32" s="149">
        <v>2021</v>
      </c>
      <c r="E32" s="211">
        <f>SUM('7.4 (L)'!E32,'7.4 (P)'!E32)</f>
        <v>10</v>
      </c>
      <c r="F32" s="211">
        <f>SUM('7.4 (L)'!F32,'7.4 (P)'!F32)</f>
        <v>62</v>
      </c>
      <c r="G32" s="211">
        <f>SUM('7.4 (L)'!G32,'7.4 (P)'!G32)</f>
        <v>58</v>
      </c>
      <c r="H32" s="211">
        <f>SUM('7.4 (L)'!H32,'7.4 (P)'!H32)</f>
        <v>57</v>
      </c>
      <c r="I32" s="211">
        <f>SUM('7.4 (L)'!I32,'7.4 (P)'!I32)</f>
        <v>41</v>
      </c>
      <c r="J32" s="211">
        <f>SUM('7.4 (L)'!J32,'7.4 (P)'!J32)</f>
        <v>41</v>
      </c>
      <c r="K32" s="223"/>
      <c r="L32" s="211">
        <f>SUM('7.4 (L)'!L32,'7.4 (P)'!L32)</f>
        <v>3</v>
      </c>
      <c r="M32" s="211">
        <f>SUM('7.4 (L)'!M32,'7.4 (P)'!M32)</f>
        <v>11</v>
      </c>
      <c r="N32" s="211">
        <f>SUM('7.4 (L)'!N32,'7.4 (P)'!N32)</f>
        <v>8</v>
      </c>
      <c r="O32" s="211">
        <f>SUM('7.4 (L)'!O32,'7.4 (P)'!O32)</f>
        <v>6</v>
      </c>
      <c r="P32" s="211">
        <f>SUM('7.4 (L)'!P32,'7.4 (P)'!P32)</f>
        <v>6</v>
      </c>
      <c r="Q32" s="211">
        <f>SUM('7.4 (L)'!Q32,'7.4 (P)'!Q32)</f>
        <v>4</v>
      </c>
      <c r="R32" s="222"/>
    </row>
    <row r="33" spans="2:18" ht="15" customHeight="1">
      <c r="B33" s="153"/>
      <c r="C33" s="152"/>
      <c r="D33" s="149">
        <v>2022</v>
      </c>
      <c r="E33" s="211">
        <f>SUM('7.4 (L)'!E33,'7.4 (P)'!E33)</f>
        <v>18</v>
      </c>
      <c r="F33" s="211">
        <f>SUM('7.4 (L)'!F33,'7.4 (P)'!F33)</f>
        <v>112</v>
      </c>
      <c r="G33" s="211">
        <f>SUM('7.4 (L)'!G33,'7.4 (P)'!G33)</f>
        <v>90</v>
      </c>
      <c r="H33" s="211">
        <f>SUM('7.4 (L)'!H33,'7.4 (P)'!H33)</f>
        <v>65</v>
      </c>
      <c r="I33" s="211">
        <f>SUM('7.4 (L)'!I33,'7.4 (P)'!I33)</f>
        <v>53</v>
      </c>
      <c r="J33" s="211">
        <f>SUM('7.4 (L)'!J33,'7.4 (P)'!J33)</f>
        <v>43</v>
      </c>
      <c r="K33" s="223"/>
      <c r="L33" s="211">
        <f>SUM('7.4 (L)'!L33,'7.4 (P)'!L33)</f>
        <v>3</v>
      </c>
      <c r="M33" s="211">
        <f>SUM('7.4 (L)'!M33,'7.4 (P)'!M33)</f>
        <v>6</v>
      </c>
      <c r="N33" s="211">
        <f>SUM('7.4 (L)'!N33,'7.4 (P)'!N33)</f>
        <v>18</v>
      </c>
      <c r="O33" s="211">
        <f>SUM('7.4 (L)'!O33,'7.4 (P)'!O33)</f>
        <v>11</v>
      </c>
      <c r="P33" s="211">
        <f>SUM('7.4 (L)'!P33,'7.4 (P)'!P33)</f>
        <v>12</v>
      </c>
      <c r="Q33" s="211">
        <f>SUM('7.4 (L)'!Q33,'7.4 (P)'!Q33)</f>
        <v>2</v>
      </c>
      <c r="R33" s="222"/>
    </row>
    <row r="34" spans="2:18" ht="15" customHeight="1">
      <c r="B34" s="153"/>
      <c r="C34" s="152"/>
      <c r="D34" s="149">
        <v>2023</v>
      </c>
      <c r="E34" s="211">
        <f>SUM('7.4 (L)'!E34,'7.4 (P)'!E34)</f>
        <v>33</v>
      </c>
      <c r="F34" s="211">
        <f>SUM('7.4 (L)'!F34,'7.4 (P)'!F34)</f>
        <v>124</v>
      </c>
      <c r="G34" s="211">
        <f>SUM('7.4 (L)'!G34,'7.4 (P)'!G34)</f>
        <v>74</v>
      </c>
      <c r="H34" s="211">
        <f>SUM('7.4 (L)'!H34,'7.4 (P)'!H34)</f>
        <v>56</v>
      </c>
      <c r="I34" s="211">
        <f>SUM('7.4 (L)'!I34,'7.4 (P)'!I34)</f>
        <v>53</v>
      </c>
      <c r="J34" s="211">
        <f>SUM('7.4 (L)'!J34,'7.4 (P)'!J34)</f>
        <v>27</v>
      </c>
      <c r="K34" s="223"/>
      <c r="L34" s="211">
        <f>SUM('7.4 (L)'!L34,'7.4 (P)'!L34)</f>
        <v>9</v>
      </c>
      <c r="M34" s="211">
        <f>SUM('7.4 (L)'!M34,'7.4 (P)'!M34)</f>
        <v>20</v>
      </c>
      <c r="N34" s="211">
        <f>SUM('7.4 (L)'!N34,'7.4 (P)'!N34)</f>
        <v>17</v>
      </c>
      <c r="O34" s="211">
        <f>SUM('7.4 (L)'!O34,'7.4 (P)'!O34)</f>
        <v>14</v>
      </c>
      <c r="P34" s="211">
        <f>SUM('7.4 (L)'!P34,'7.4 (P)'!P34)</f>
        <v>10</v>
      </c>
      <c r="Q34" s="211">
        <f>SUM('7.4 (L)'!Q34,'7.4 (P)'!Q34)</f>
        <v>7</v>
      </c>
      <c r="R34" s="222"/>
    </row>
    <row r="35" spans="2:18" ht="8.1" customHeight="1">
      <c r="B35" s="153"/>
      <c r="C35" s="154"/>
      <c r="D35" s="149"/>
      <c r="E35" s="150"/>
      <c r="F35" s="203"/>
      <c r="G35" s="203"/>
      <c r="H35" s="203"/>
      <c r="I35" s="203"/>
      <c r="J35" s="203"/>
      <c r="K35" s="203"/>
      <c r="L35" s="150"/>
      <c r="M35" s="203"/>
      <c r="N35" s="203"/>
      <c r="O35" s="203"/>
      <c r="P35" s="203"/>
      <c r="Q35" s="203"/>
      <c r="R35" s="203"/>
    </row>
    <row r="36" spans="2:18" ht="15" customHeight="1">
      <c r="B36" s="151" t="s">
        <v>98</v>
      </c>
      <c r="C36" s="152"/>
      <c r="D36" s="149">
        <v>2021</v>
      </c>
      <c r="E36" s="211">
        <f>SUM('7.4 (L)'!E36,'7.4 (P)'!E36)</f>
        <v>30</v>
      </c>
      <c r="F36" s="211">
        <f>SUM('7.4 (L)'!F36,'7.4 (P)'!F36)</f>
        <v>202</v>
      </c>
      <c r="G36" s="211">
        <f>SUM('7.4 (L)'!G36,'7.4 (P)'!G36)</f>
        <v>129</v>
      </c>
      <c r="H36" s="211">
        <f>SUM('7.4 (L)'!H36,'7.4 (P)'!H36)</f>
        <v>93</v>
      </c>
      <c r="I36" s="211">
        <f>SUM('7.4 (L)'!I36,'7.4 (P)'!I36)</f>
        <v>55</v>
      </c>
      <c r="J36" s="211">
        <f>SUM('7.4 (L)'!J36,'7.4 (P)'!J36)</f>
        <v>56</v>
      </c>
      <c r="K36" s="223"/>
      <c r="L36" s="211">
        <f>SUM('7.4 (L)'!L36,'7.4 (P)'!L36)</f>
        <v>13</v>
      </c>
      <c r="M36" s="211">
        <f>SUM('7.4 (L)'!M36,'7.4 (P)'!M36)</f>
        <v>39</v>
      </c>
      <c r="N36" s="211">
        <f>SUM('7.4 (L)'!N36,'7.4 (P)'!N36)</f>
        <v>17</v>
      </c>
      <c r="O36" s="211">
        <f>SUM('7.4 (L)'!O36,'7.4 (P)'!O36)</f>
        <v>13</v>
      </c>
      <c r="P36" s="211">
        <f>SUM('7.4 (L)'!P36,'7.4 (P)'!P36)</f>
        <v>7</v>
      </c>
      <c r="Q36" s="211">
        <f>SUM('7.4 (L)'!Q36,'7.4 (P)'!Q36)</f>
        <v>6</v>
      </c>
      <c r="R36" s="222"/>
    </row>
    <row r="37" spans="2:18" ht="15" customHeight="1">
      <c r="B37" s="153"/>
      <c r="C37" s="152"/>
      <c r="D37" s="149">
        <v>2022</v>
      </c>
      <c r="E37" s="211">
        <f>SUM('7.4 (L)'!E37,'7.4 (P)'!E37)</f>
        <v>72</v>
      </c>
      <c r="F37" s="211">
        <f>SUM('7.4 (L)'!F37,'7.4 (P)'!F37)</f>
        <v>294</v>
      </c>
      <c r="G37" s="211">
        <f>SUM('7.4 (L)'!G37,'7.4 (P)'!G37)</f>
        <v>210</v>
      </c>
      <c r="H37" s="211">
        <f>SUM('7.4 (L)'!H37,'7.4 (P)'!H37)</f>
        <v>139</v>
      </c>
      <c r="I37" s="211">
        <f>SUM('7.4 (L)'!I37,'7.4 (P)'!I37)</f>
        <v>103</v>
      </c>
      <c r="J37" s="211">
        <f>SUM('7.4 (L)'!J37,'7.4 (P)'!J37)</f>
        <v>65</v>
      </c>
      <c r="K37" s="223"/>
      <c r="L37" s="211">
        <f>SUM('7.4 (L)'!L37,'7.4 (P)'!L37)</f>
        <v>15</v>
      </c>
      <c r="M37" s="211">
        <f>SUM('7.4 (L)'!M37,'7.4 (P)'!M37)</f>
        <v>23</v>
      </c>
      <c r="N37" s="211">
        <f>SUM('7.4 (L)'!N37,'7.4 (P)'!N37)</f>
        <v>43</v>
      </c>
      <c r="O37" s="211">
        <f>SUM('7.4 (L)'!O37,'7.4 (P)'!O37)</f>
        <v>30</v>
      </c>
      <c r="P37" s="211">
        <f>SUM('7.4 (L)'!P37,'7.4 (P)'!P37)</f>
        <v>14</v>
      </c>
      <c r="Q37" s="211">
        <f>SUM('7.4 (L)'!Q37,'7.4 (P)'!Q37)</f>
        <v>8</v>
      </c>
      <c r="R37" s="222"/>
    </row>
    <row r="38" spans="2:18" ht="15" customHeight="1">
      <c r="B38" s="153"/>
      <c r="C38" s="152"/>
      <c r="D38" s="149">
        <v>2023</v>
      </c>
      <c r="E38" s="211">
        <f>SUM('7.4 (L)'!E38,'7.4 (P)'!E38)</f>
        <v>54</v>
      </c>
      <c r="F38" s="211">
        <f>SUM('7.4 (L)'!F38,'7.4 (P)'!F38)</f>
        <v>230</v>
      </c>
      <c r="G38" s="211">
        <f>SUM('7.4 (L)'!G38,'7.4 (P)'!G38)</f>
        <v>139</v>
      </c>
      <c r="H38" s="211">
        <f>SUM('7.4 (L)'!H38,'7.4 (P)'!H38)</f>
        <v>113</v>
      </c>
      <c r="I38" s="211">
        <f>SUM('7.4 (L)'!I38,'7.4 (P)'!I38)</f>
        <v>97</v>
      </c>
      <c r="J38" s="211">
        <f>SUM('7.4 (L)'!J38,'7.4 (P)'!J38)</f>
        <v>75</v>
      </c>
      <c r="K38" s="223"/>
      <c r="L38" s="211">
        <f>SUM('7.4 (L)'!L38,'7.4 (P)'!L38)</f>
        <v>14</v>
      </c>
      <c r="M38" s="211">
        <f>SUM('7.4 (L)'!M38,'7.4 (P)'!M38)</f>
        <v>41</v>
      </c>
      <c r="N38" s="211">
        <f>SUM('7.4 (L)'!N38,'7.4 (P)'!N38)</f>
        <v>32</v>
      </c>
      <c r="O38" s="211">
        <f>SUM('7.4 (L)'!O38,'7.4 (P)'!O38)</f>
        <v>33</v>
      </c>
      <c r="P38" s="211">
        <f>SUM('7.4 (L)'!P38,'7.4 (P)'!P38)</f>
        <v>20</v>
      </c>
      <c r="Q38" s="211">
        <f>SUM('7.4 (L)'!Q38,'7.4 (P)'!Q38)</f>
        <v>16</v>
      </c>
      <c r="R38" s="222"/>
    </row>
    <row r="39" spans="2:18" ht="8.1" customHeight="1">
      <c r="B39" s="153"/>
      <c r="C39" s="154"/>
      <c r="D39" s="149"/>
      <c r="E39" s="150"/>
      <c r="F39" s="203"/>
      <c r="G39" s="203"/>
      <c r="H39" s="203"/>
      <c r="I39" s="203"/>
      <c r="J39" s="203"/>
      <c r="K39" s="203"/>
      <c r="L39" s="150"/>
      <c r="M39" s="203"/>
      <c r="N39" s="203"/>
      <c r="O39" s="203"/>
      <c r="P39" s="203"/>
      <c r="Q39" s="203"/>
      <c r="R39" s="203"/>
    </row>
    <row r="40" spans="2:18" ht="15" customHeight="1">
      <c r="B40" s="151" t="s">
        <v>99</v>
      </c>
      <c r="C40" s="152"/>
      <c r="D40" s="149">
        <v>2021</v>
      </c>
      <c r="E40" s="211">
        <f>SUM('7.4 (L)'!E40,'7.4 (P)'!E40)</f>
        <v>18</v>
      </c>
      <c r="F40" s="211">
        <f>SUM('7.4 (L)'!F40,'7.4 (P)'!F40)</f>
        <v>84</v>
      </c>
      <c r="G40" s="211">
        <f>SUM('7.4 (L)'!G40,'7.4 (P)'!G40)</f>
        <v>62</v>
      </c>
      <c r="H40" s="211">
        <f>SUM('7.4 (L)'!H40,'7.4 (P)'!H40)</f>
        <v>49</v>
      </c>
      <c r="I40" s="211">
        <f>SUM('7.4 (L)'!I40,'7.4 (P)'!I40)</f>
        <v>41</v>
      </c>
      <c r="J40" s="211">
        <f>SUM('7.4 (L)'!J40,'7.4 (P)'!J40)</f>
        <v>31</v>
      </c>
      <c r="K40" s="223"/>
      <c r="L40" s="211">
        <f>SUM('7.4 (L)'!L40,'7.4 (P)'!L40)</f>
        <v>4</v>
      </c>
      <c r="M40" s="211">
        <f>SUM('7.4 (L)'!M40,'7.4 (P)'!M40)</f>
        <v>5</v>
      </c>
      <c r="N40" s="211">
        <f>SUM('7.4 (L)'!N40,'7.4 (P)'!N40)</f>
        <v>7</v>
      </c>
      <c r="O40" s="211">
        <f>SUM('7.4 (L)'!O40,'7.4 (P)'!O40)</f>
        <v>6</v>
      </c>
      <c r="P40" s="211">
        <f>SUM('7.4 (L)'!P40,'7.4 (P)'!P40)</f>
        <v>6</v>
      </c>
      <c r="Q40" s="211">
        <f>SUM('7.4 (L)'!Q40,'7.4 (P)'!Q40)</f>
        <v>5</v>
      </c>
      <c r="R40" s="222"/>
    </row>
    <row r="41" spans="2:18" ht="15" customHeight="1">
      <c r="B41" s="153"/>
      <c r="C41" s="152"/>
      <c r="D41" s="149">
        <v>2022</v>
      </c>
      <c r="E41" s="211">
        <f>SUM('7.4 (L)'!E41,'7.4 (P)'!E41)</f>
        <v>15</v>
      </c>
      <c r="F41" s="211">
        <f>SUM('7.4 (L)'!F41,'7.4 (P)'!F41)</f>
        <v>152</v>
      </c>
      <c r="G41" s="211">
        <f>SUM('7.4 (L)'!G41,'7.4 (P)'!G41)</f>
        <v>124</v>
      </c>
      <c r="H41" s="211">
        <f>SUM('7.4 (L)'!H41,'7.4 (P)'!H41)</f>
        <v>86</v>
      </c>
      <c r="I41" s="211">
        <f>SUM('7.4 (L)'!I41,'7.4 (P)'!I41)</f>
        <v>66</v>
      </c>
      <c r="J41" s="211">
        <f>SUM('7.4 (L)'!J41,'7.4 (P)'!J41)</f>
        <v>51</v>
      </c>
      <c r="K41" s="223"/>
      <c r="L41" s="211">
        <f>SUM('7.4 (L)'!L41,'7.4 (P)'!L41)</f>
        <v>2</v>
      </c>
      <c r="M41" s="211">
        <f>SUM('7.4 (L)'!M41,'7.4 (P)'!M41)</f>
        <v>11</v>
      </c>
      <c r="N41" s="211">
        <f>SUM('7.4 (L)'!N41,'7.4 (P)'!N41)</f>
        <v>13</v>
      </c>
      <c r="O41" s="211">
        <f>SUM('7.4 (L)'!O41,'7.4 (P)'!O41)</f>
        <v>7</v>
      </c>
      <c r="P41" s="211">
        <f>SUM('7.4 (L)'!P41,'7.4 (P)'!P41)</f>
        <v>12</v>
      </c>
      <c r="Q41" s="211">
        <f>SUM('7.4 (L)'!Q41,'7.4 (P)'!Q41)</f>
        <v>3</v>
      </c>
      <c r="R41" s="222"/>
    </row>
    <row r="42" spans="2:18" ht="15" customHeight="1">
      <c r="B42" s="153"/>
      <c r="C42" s="152"/>
      <c r="D42" s="149">
        <v>2023</v>
      </c>
      <c r="E42" s="211">
        <f>SUM('7.4 (L)'!E42,'7.4 (P)'!E42)</f>
        <v>49</v>
      </c>
      <c r="F42" s="211">
        <f>SUM('7.4 (L)'!F42,'7.4 (P)'!F42)</f>
        <v>156</v>
      </c>
      <c r="G42" s="211">
        <f>SUM('7.4 (L)'!G42,'7.4 (P)'!G42)</f>
        <v>125</v>
      </c>
      <c r="H42" s="211">
        <f>SUM('7.4 (L)'!H42,'7.4 (P)'!H42)</f>
        <v>95</v>
      </c>
      <c r="I42" s="211">
        <f>SUM('7.4 (L)'!I42,'7.4 (P)'!I42)</f>
        <v>74</v>
      </c>
      <c r="J42" s="211">
        <f>SUM('7.4 (L)'!J42,'7.4 (P)'!J42)</f>
        <v>63</v>
      </c>
      <c r="K42" s="223"/>
      <c r="L42" s="211">
        <f>SUM('7.4 (L)'!L42,'7.4 (P)'!L42)</f>
        <v>3</v>
      </c>
      <c r="M42" s="211">
        <f>SUM('7.4 (L)'!M42,'7.4 (P)'!M42)</f>
        <v>18</v>
      </c>
      <c r="N42" s="211">
        <f>SUM('7.4 (L)'!N42,'7.4 (P)'!N42)</f>
        <v>32</v>
      </c>
      <c r="O42" s="211">
        <f>SUM('7.4 (L)'!O42,'7.4 (P)'!O42)</f>
        <v>17</v>
      </c>
      <c r="P42" s="211">
        <f>SUM('7.4 (L)'!P42,'7.4 (P)'!P42)</f>
        <v>13</v>
      </c>
      <c r="Q42" s="211">
        <f>SUM('7.4 (L)'!Q42,'7.4 (P)'!Q42)</f>
        <v>4</v>
      </c>
      <c r="R42" s="222"/>
    </row>
    <row r="43" spans="2:18" ht="8.1" customHeight="1">
      <c r="B43" s="153"/>
      <c r="C43" s="148"/>
      <c r="D43" s="149"/>
      <c r="E43" s="150"/>
      <c r="F43" s="203"/>
      <c r="G43" s="203"/>
      <c r="H43" s="203"/>
      <c r="I43" s="203"/>
      <c r="J43" s="203"/>
      <c r="K43" s="203"/>
      <c r="L43" s="150"/>
      <c r="M43" s="203"/>
      <c r="N43" s="203"/>
      <c r="O43" s="203"/>
      <c r="P43" s="203"/>
      <c r="Q43" s="203"/>
      <c r="R43" s="203"/>
    </row>
    <row r="44" spans="2:18" ht="15" customHeight="1">
      <c r="B44" s="151" t="s">
        <v>100</v>
      </c>
      <c r="C44" s="152"/>
      <c r="D44" s="149">
        <v>2021</v>
      </c>
      <c r="E44" s="211">
        <f>SUM('7.4 (L)'!E44,'7.4 (P)'!E44)</f>
        <v>54</v>
      </c>
      <c r="F44" s="211">
        <f>SUM('7.4 (L)'!F44,'7.4 (P)'!F44)</f>
        <v>254</v>
      </c>
      <c r="G44" s="211">
        <f>SUM('7.4 (L)'!G44,'7.4 (P)'!G44)</f>
        <v>191</v>
      </c>
      <c r="H44" s="211">
        <f>SUM('7.4 (L)'!H44,'7.4 (P)'!H44)</f>
        <v>127</v>
      </c>
      <c r="I44" s="211">
        <f>SUM('7.4 (L)'!I44,'7.4 (P)'!I44)</f>
        <v>113</v>
      </c>
      <c r="J44" s="211">
        <f>SUM('7.4 (L)'!J44,'7.4 (P)'!J44)</f>
        <v>90</v>
      </c>
      <c r="K44" s="223"/>
      <c r="L44" s="211">
        <f>SUM('7.4 (L)'!L44,'7.4 (P)'!L44)</f>
        <v>7</v>
      </c>
      <c r="M44" s="211">
        <f>SUM('7.4 (L)'!M44,'7.4 (P)'!M44)</f>
        <v>18</v>
      </c>
      <c r="N44" s="211">
        <f>SUM('7.4 (L)'!N44,'7.4 (P)'!N44)</f>
        <v>12</v>
      </c>
      <c r="O44" s="211">
        <f>SUM('7.4 (L)'!O44,'7.4 (P)'!O44)</f>
        <v>16</v>
      </c>
      <c r="P44" s="211">
        <f>SUM('7.4 (L)'!P44,'7.4 (P)'!P44)</f>
        <v>10</v>
      </c>
      <c r="Q44" s="211">
        <f>SUM('7.4 (L)'!Q44,'7.4 (P)'!Q44)</f>
        <v>3</v>
      </c>
      <c r="R44" s="222"/>
    </row>
    <row r="45" spans="2:18" ht="15" customHeight="1">
      <c r="B45" s="151"/>
      <c r="C45" s="152"/>
      <c r="D45" s="149">
        <v>2022</v>
      </c>
      <c r="E45" s="211">
        <f>SUM('7.4 (L)'!E45,'7.4 (P)'!E45)</f>
        <v>31</v>
      </c>
      <c r="F45" s="211">
        <f>SUM('7.4 (L)'!F45,'7.4 (P)'!F45)</f>
        <v>228</v>
      </c>
      <c r="G45" s="211">
        <f>SUM('7.4 (L)'!G45,'7.4 (P)'!G45)</f>
        <v>156</v>
      </c>
      <c r="H45" s="211">
        <f>SUM('7.4 (L)'!H45,'7.4 (P)'!H45)</f>
        <v>128</v>
      </c>
      <c r="I45" s="211">
        <f>SUM('7.4 (L)'!I45,'7.4 (P)'!I45)</f>
        <v>108</v>
      </c>
      <c r="J45" s="211">
        <f>SUM('7.4 (L)'!J45,'7.4 (P)'!J45)</f>
        <v>67</v>
      </c>
      <c r="K45" s="223"/>
      <c r="L45" s="211">
        <f>SUM('7.4 (L)'!L45,'7.4 (P)'!L45)</f>
        <v>5</v>
      </c>
      <c r="M45" s="211">
        <f>SUM('7.4 (L)'!M45,'7.4 (P)'!M45)</f>
        <v>19</v>
      </c>
      <c r="N45" s="211">
        <f>SUM('7.4 (L)'!N45,'7.4 (P)'!N45)</f>
        <v>26</v>
      </c>
      <c r="O45" s="211">
        <f>SUM('7.4 (L)'!O45,'7.4 (P)'!O45)</f>
        <v>23</v>
      </c>
      <c r="P45" s="211">
        <f>SUM('7.4 (L)'!P45,'7.4 (P)'!P45)</f>
        <v>14</v>
      </c>
      <c r="Q45" s="211">
        <f>SUM('7.4 (L)'!Q45,'7.4 (P)'!Q45)</f>
        <v>6</v>
      </c>
      <c r="R45" s="222"/>
    </row>
    <row r="46" spans="2:18" ht="15" customHeight="1">
      <c r="B46" s="151"/>
      <c r="C46" s="152"/>
      <c r="D46" s="149">
        <v>2023</v>
      </c>
      <c r="E46" s="211">
        <f>SUM('7.4 (L)'!E46,'7.4 (P)'!E46)</f>
        <v>56</v>
      </c>
      <c r="F46" s="211">
        <f>SUM('7.4 (L)'!F46,'7.4 (P)'!F46)</f>
        <v>314</v>
      </c>
      <c r="G46" s="211">
        <f>SUM('7.4 (L)'!G46,'7.4 (P)'!G46)</f>
        <v>193</v>
      </c>
      <c r="H46" s="211">
        <f>SUM('7.4 (L)'!H46,'7.4 (P)'!H46)</f>
        <v>173</v>
      </c>
      <c r="I46" s="211">
        <f>SUM('7.4 (L)'!I46,'7.4 (P)'!I46)</f>
        <v>115</v>
      </c>
      <c r="J46" s="211">
        <f>SUM('7.4 (L)'!J46,'7.4 (P)'!J46)</f>
        <v>98</v>
      </c>
      <c r="K46" s="223"/>
      <c r="L46" s="211">
        <f>SUM('7.4 (L)'!L46,'7.4 (P)'!L46)</f>
        <v>6</v>
      </c>
      <c r="M46" s="211">
        <f>SUM('7.4 (L)'!M46,'7.4 (P)'!M46)</f>
        <v>20</v>
      </c>
      <c r="N46" s="211">
        <f>SUM('7.4 (L)'!N46,'7.4 (P)'!N46)</f>
        <v>30</v>
      </c>
      <c r="O46" s="211">
        <f>SUM('7.4 (L)'!O46,'7.4 (P)'!O46)</f>
        <v>47</v>
      </c>
      <c r="P46" s="211">
        <f>SUM('7.4 (L)'!P46,'7.4 (P)'!P46)</f>
        <v>20</v>
      </c>
      <c r="Q46" s="211">
        <f>SUM('7.4 (L)'!Q46,'7.4 (P)'!Q46)</f>
        <v>11</v>
      </c>
      <c r="R46" s="222"/>
    </row>
    <row r="47" spans="2:18" ht="8.1" customHeight="1">
      <c r="B47" s="151"/>
      <c r="C47" s="154"/>
      <c r="D47" s="149"/>
      <c r="E47" s="150"/>
      <c r="F47" s="203"/>
      <c r="G47" s="203"/>
      <c r="H47" s="203"/>
      <c r="I47" s="203"/>
      <c r="J47" s="203"/>
      <c r="K47" s="203"/>
      <c r="L47" s="150"/>
      <c r="M47" s="203"/>
      <c r="N47" s="203"/>
      <c r="O47" s="203"/>
      <c r="P47" s="203"/>
      <c r="Q47" s="203"/>
      <c r="R47" s="203"/>
    </row>
    <row r="48" spans="2:18" ht="15" customHeight="1">
      <c r="B48" s="151" t="s">
        <v>101</v>
      </c>
      <c r="C48" s="152"/>
      <c r="D48" s="149">
        <v>2021</v>
      </c>
      <c r="E48" s="211">
        <f>SUM('7.4 (L)'!E48,'7.4 (P)'!E48)</f>
        <v>24</v>
      </c>
      <c r="F48" s="211">
        <f>SUM('7.4 (L)'!F48,'7.4 (P)'!F48)</f>
        <v>120</v>
      </c>
      <c r="G48" s="211">
        <f>SUM('7.4 (L)'!G48,'7.4 (P)'!G48)</f>
        <v>81</v>
      </c>
      <c r="H48" s="211">
        <f>SUM('7.4 (L)'!H48,'7.4 (P)'!H48)</f>
        <v>57</v>
      </c>
      <c r="I48" s="211">
        <f>SUM('7.4 (L)'!I48,'7.4 (P)'!I48)</f>
        <v>73</v>
      </c>
      <c r="J48" s="211">
        <f>SUM('7.4 (L)'!J48,'7.4 (P)'!J48)</f>
        <v>77</v>
      </c>
      <c r="K48" s="223"/>
      <c r="L48" s="211">
        <f>SUM('7.4 (L)'!L48,'7.4 (P)'!L48)</f>
        <v>0</v>
      </c>
      <c r="M48" s="211">
        <f>SUM('7.4 (L)'!M48,'7.4 (P)'!M48)</f>
        <v>15</v>
      </c>
      <c r="N48" s="211">
        <f>SUM('7.4 (L)'!N48,'7.4 (P)'!N48)</f>
        <v>12</v>
      </c>
      <c r="O48" s="211">
        <f>SUM('7.4 (L)'!O48,'7.4 (P)'!O48)</f>
        <v>4</v>
      </c>
      <c r="P48" s="211">
        <f>SUM('7.4 (L)'!P48,'7.4 (P)'!P48)</f>
        <v>8</v>
      </c>
      <c r="Q48" s="211">
        <f>SUM('7.4 (L)'!Q48,'7.4 (P)'!Q48)</f>
        <v>4</v>
      </c>
      <c r="R48" s="222"/>
    </row>
    <row r="49" spans="2:18" ht="15" customHeight="1">
      <c r="B49" s="153"/>
      <c r="C49" s="152"/>
      <c r="D49" s="149">
        <v>2022</v>
      </c>
      <c r="E49" s="211">
        <f>SUM('7.4 (L)'!E49,'7.4 (P)'!E49)</f>
        <v>38</v>
      </c>
      <c r="F49" s="211">
        <f>SUM('7.4 (L)'!F49,'7.4 (P)'!F49)</f>
        <v>129</v>
      </c>
      <c r="G49" s="211">
        <f>SUM('7.4 (L)'!G49,'7.4 (P)'!G49)</f>
        <v>126</v>
      </c>
      <c r="H49" s="211">
        <f>SUM('7.4 (L)'!H49,'7.4 (P)'!H49)</f>
        <v>106</v>
      </c>
      <c r="I49" s="211">
        <f>SUM('7.4 (L)'!I49,'7.4 (P)'!I49)</f>
        <v>73</v>
      </c>
      <c r="J49" s="211">
        <f>SUM('7.4 (L)'!J49,'7.4 (P)'!J49)</f>
        <v>63</v>
      </c>
      <c r="K49" s="223"/>
      <c r="L49" s="211">
        <f>SUM('7.4 (L)'!L49,'7.4 (P)'!L49)</f>
        <v>3</v>
      </c>
      <c r="M49" s="211">
        <f>SUM('7.4 (L)'!M49,'7.4 (P)'!M49)</f>
        <v>14</v>
      </c>
      <c r="N49" s="211">
        <f>SUM('7.4 (L)'!N49,'7.4 (P)'!N49)</f>
        <v>11</v>
      </c>
      <c r="O49" s="211">
        <f>SUM('7.4 (L)'!O49,'7.4 (P)'!O49)</f>
        <v>17</v>
      </c>
      <c r="P49" s="211">
        <f>SUM('7.4 (L)'!P49,'7.4 (P)'!P49)</f>
        <v>9</v>
      </c>
      <c r="Q49" s="211">
        <f>SUM('7.4 (L)'!Q49,'7.4 (P)'!Q49)</f>
        <v>8</v>
      </c>
      <c r="R49" s="222"/>
    </row>
    <row r="50" spans="2:18" ht="15" customHeight="1">
      <c r="B50" s="153"/>
      <c r="C50" s="152"/>
      <c r="D50" s="149">
        <v>2023</v>
      </c>
      <c r="E50" s="211">
        <f>SUM('7.4 (L)'!E50,'7.4 (P)'!E50)</f>
        <v>76</v>
      </c>
      <c r="F50" s="211">
        <f>SUM('7.4 (L)'!F50,'7.4 (P)'!F50)</f>
        <v>190</v>
      </c>
      <c r="G50" s="211">
        <f>SUM('7.4 (L)'!G50,'7.4 (P)'!G50)</f>
        <v>137</v>
      </c>
      <c r="H50" s="211">
        <f>SUM('7.4 (L)'!H50,'7.4 (P)'!H50)</f>
        <v>126</v>
      </c>
      <c r="I50" s="211">
        <f>SUM('7.4 (L)'!I50,'7.4 (P)'!I50)</f>
        <v>113</v>
      </c>
      <c r="J50" s="211">
        <f>SUM('7.4 (L)'!J50,'7.4 (P)'!J50)</f>
        <v>91</v>
      </c>
      <c r="K50" s="223"/>
      <c r="L50" s="211">
        <f>SUM('7.4 (L)'!L50,'7.4 (P)'!L50)</f>
        <v>6</v>
      </c>
      <c r="M50" s="211">
        <f>SUM('7.4 (L)'!M50,'7.4 (P)'!M50)</f>
        <v>37</v>
      </c>
      <c r="N50" s="211">
        <f>SUM('7.4 (L)'!N50,'7.4 (P)'!N50)</f>
        <v>35</v>
      </c>
      <c r="O50" s="211">
        <f>SUM('7.4 (L)'!O50,'7.4 (P)'!O50)</f>
        <v>23</v>
      </c>
      <c r="P50" s="211">
        <f>SUM('7.4 (L)'!P50,'7.4 (P)'!P50)</f>
        <v>25</v>
      </c>
      <c r="Q50" s="211">
        <f>SUM('7.4 (L)'!Q50,'7.4 (P)'!Q50)</f>
        <v>18</v>
      </c>
      <c r="R50" s="222"/>
    </row>
    <row r="51" spans="2:18" ht="8.1" customHeight="1">
      <c r="B51" s="153"/>
      <c r="C51" s="138"/>
      <c r="D51" s="149"/>
      <c r="E51" s="150"/>
      <c r="F51" s="203"/>
      <c r="G51" s="203"/>
      <c r="H51" s="203"/>
      <c r="I51" s="203"/>
      <c r="J51" s="203"/>
      <c r="K51" s="203"/>
      <c r="L51" s="150"/>
      <c r="M51" s="203"/>
      <c r="N51" s="203"/>
      <c r="O51" s="203"/>
      <c r="P51" s="203"/>
      <c r="Q51" s="203"/>
      <c r="R51" s="203"/>
    </row>
    <row r="52" spans="2:18" ht="15" customHeight="1">
      <c r="B52" s="151" t="s">
        <v>102</v>
      </c>
      <c r="C52" s="152"/>
      <c r="D52" s="149">
        <v>2021</v>
      </c>
      <c r="E52" s="211">
        <f>SUM('7.4 (L)'!E52,'7.4 (P)'!E52)</f>
        <v>5</v>
      </c>
      <c r="F52" s="211">
        <f>SUM('7.4 (L)'!F52,'7.4 (P)'!F52)</f>
        <v>27</v>
      </c>
      <c r="G52" s="211">
        <f>SUM('7.4 (L)'!G52,'7.4 (P)'!G52)</f>
        <v>18</v>
      </c>
      <c r="H52" s="211">
        <f>SUM('7.4 (L)'!H52,'7.4 (P)'!H52)</f>
        <v>13</v>
      </c>
      <c r="I52" s="211">
        <f>SUM('7.4 (L)'!I52,'7.4 (P)'!I52)</f>
        <v>8</v>
      </c>
      <c r="J52" s="211">
        <f>SUM('7.4 (L)'!J52,'7.4 (P)'!J52)</f>
        <v>6</v>
      </c>
      <c r="K52" s="223"/>
      <c r="L52" s="211">
        <f>SUM('7.4 (L)'!L52,'7.4 (P)'!L52)</f>
        <v>0</v>
      </c>
      <c r="M52" s="211">
        <f>SUM('7.4 (L)'!M52,'7.4 (P)'!M52)</f>
        <v>3</v>
      </c>
      <c r="N52" s="211">
        <f>SUM('7.4 (L)'!N52,'7.4 (P)'!N52)</f>
        <v>4</v>
      </c>
      <c r="O52" s="211">
        <f>SUM('7.4 (L)'!O52,'7.4 (P)'!O52)</f>
        <v>2</v>
      </c>
      <c r="P52" s="211">
        <f>SUM('7.4 (L)'!P52,'7.4 (P)'!P52)</f>
        <v>2</v>
      </c>
      <c r="Q52" s="211">
        <f>SUM('7.4 (L)'!Q52,'7.4 (P)'!Q52)</f>
        <v>2</v>
      </c>
      <c r="R52" s="222"/>
    </row>
    <row r="53" spans="2:18" ht="15" customHeight="1">
      <c r="B53" s="153"/>
      <c r="C53" s="152"/>
      <c r="D53" s="149">
        <v>2022</v>
      </c>
      <c r="E53" s="211">
        <f>SUM('7.4 (L)'!E53,'7.4 (P)'!E53)</f>
        <v>17</v>
      </c>
      <c r="F53" s="211">
        <f>SUM('7.4 (L)'!F53,'7.4 (P)'!F53)</f>
        <v>35</v>
      </c>
      <c r="G53" s="211">
        <f>SUM('7.4 (L)'!G53,'7.4 (P)'!G53)</f>
        <v>26</v>
      </c>
      <c r="H53" s="211">
        <f>SUM('7.4 (L)'!H53,'7.4 (P)'!H53)</f>
        <v>11</v>
      </c>
      <c r="I53" s="211">
        <f>SUM('7.4 (L)'!I53,'7.4 (P)'!I53)</f>
        <v>15</v>
      </c>
      <c r="J53" s="211">
        <f>SUM('7.4 (L)'!J53,'7.4 (P)'!J53)</f>
        <v>6</v>
      </c>
      <c r="K53" s="223"/>
      <c r="L53" s="211">
        <f>SUM('7.4 (L)'!L53,'7.4 (P)'!L53)</f>
        <v>4</v>
      </c>
      <c r="M53" s="211">
        <f>SUM('7.4 (L)'!M53,'7.4 (P)'!M53)</f>
        <v>6</v>
      </c>
      <c r="N53" s="211">
        <f>SUM('7.4 (L)'!N53,'7.4 (P)'!N53)</f>
        <v>7</v>
      </c>
      <c r="O53" s="211">
        <f>SUM('7.4 (L)'!O53,'7.4 (P)'!O53)</f>
        <v>5</v>
      </c>
      <c r="P53" s="211">
        <f>SUM('7.4 (L)'!P53,'7.4 (P)'!P53)</f>
        <v>3</v>
      </c>
      <c r="Q53" s="211">
        <f>SUM('7.4 (L)'!Q53,'7.4 (P)'!Q53)</f>
        <v>4</v>
      </c>
      <c r="R53" s="222"/>
    </row>
    <row r="54" spans="2:18" ht="15" customHeight="1">
      <c r="B54" s="153"/>
      <c r="C54" s="152"/>
      <c r="D54" s="149">
        <v>2023</v>
      </c>
      <c r="E54" s="211">
        <f>SUM('7.4 (L)'!E54,'7.4 (P)'!E54)</f>
        <v>20</v>
      </c>
      <c r="F54" s="211">
        <f>SUM('7.4 (L)'!F54,'7.4 (P)'!F54)</f>
        <v>57</v>
      </c>
      <c r="G54" s="211">
        <f>SUM('7.4 (L)'!G54,'7.4 (P)'!G54)</f>
        <v>24</v>
      </c>
      <c r="H54" s="211">
        <f>SUM('7.4 (L)'!H54,'7.4 (P)'!H54)</f>
        <v>13</v>
      </c>
      <c r="I54" s="211">
        <f>SUM('7.4 (L)'!I54,'7.4 (P)'!I54)</f>
        <v>13</v>
      </c>
      <c r="J54" s="211">
        <f>SUM('7.4 (L)'!J54,'7.4 (P)'!J54)</f>
        <v>12</v>
      </c>
      <c r="K54" s="223"/>
      <c r="L54" s="211">
        <f>SUM('7.4 (L)'!L54,'7.4 (P)'!L54)</f>
        <v>1</v>
      </c>
      <c r="M54" s="211">
        <f>SUM('7.4 (L)'!M54,'7.4 (P)'!M54)</f>
        <v>4</v>
      </c>
      <c r="N54" s="211">
        <f>SUM('7.4 (L)'!N54,'7.4 (P)'!N54)</f>
        <v>5</v>
      </c>
      <c r="O54" s="211">
        <f>SUM('7.4 (L)'!O54,'7.4 (P)'!O54)</f>
        <v>3</v>
      </c>
      <c r="P54" s="211">
        <f>SUM('7.4 (L)'!P54,'7.4 (P)'!P54)</f>
        <v>2</v>
      </c>
      <c r="Q54" s="211">
        <f>SUM('7.4 (L)'!Q54,'7.4 (P)'!Q54)</f>
        <v>2</v>
      </c>
      <c r="R54" s="222"/>
    </row>
    <row r="55" spans="2:18" ht="8.1" customHeight="1">
      <c r="B55" s="153"/>
      <c r="C55" s="154"/>
      <c r="D55" s="149"/>
      <c r="E55" s="150"/>
      <c r="F55" s="203"/>
      <c r="G55" s="203"/>
      <c r="H55" s="203"/>
      <c r="I55" s="203"/>
      <c r="J55" s="203"/>
      <c r="K55" s="203"/>
      <c r="L55" s="150"/>
      <c r="M55" s="203"/>
      <c r="N55" s="203"/>
      <c r="O55" s="203"/>
      <c r="P55" s="203"/>
      <c r="Q55" s="203"/>
      <c r="R55" s="203"/>
    </row>
    <row r="56" spans="2:18" ht="15" customHeight="1">
      <c r="B56" s="151" t="s">
        <v>103</v>
      </c>
      <c r="C56" s="152"/>
      <c r="D56" s="149">
        <v>2021</v>
      </c>
      <c r="E56" s="211">
        <f>SUM('7.4 (L)'!E56,'7.4 (P)'!E56)</f>
        <v>29</v>
      </c>
      <c r="F56" s="211">
        <f>SUM('7.4 (L)'!F56,'7.4 (P)'!F56)</f>
        <v>236</v>
      </c>
      <c r="G56" s="211">
        <f>SUM('7.4 (L)'!G56,'7.4 (P)'!G56)</f>
        <v>189</v>
      </c>
      <c r="H56" s="211">
        <f>SUM('7.4 (L)'!H56,'7.4 (P)'!H56)</f>
        <v>140</v>
      </c>
      <c r="I56" s="211">
        <f>SUM('7.4 (L)'!I56,'7.4 (P)'!I56)</f>
        <v>114</v>
      </c>
      <c r="J56" s="211">
        <f>SUM('7.4 (L)'!J56,'7.4 (P)'!J56)</f>
        <v>112</v>
      </c>
      <c r="K56" s="223"/>
      <c r="L56" s="211">
        <f>SUM('7.4 (L)'!L56,'7.4 (P)'!L56)</f>
        <v>5</v>
      </c>
      <c r="M56" s="211">
        <f>SUM('7.4 (L)'!M56,'7.4 (P)'!M56)</f>
        <v>17</v>
      </c>
      <c r="N56" s="211">
        <f>SUM('7.4 (L)'!N56,'7.4 (P)'!N56)</f>
        <v>22</v>
      </c>
      <c r="O56" s="211">
        <f>SUM('7.4 (L)'!O56,'7.4 (P)'!O56)</f>
        <v>19</v>
      </c>
      <c r="P56" s="211">
        <f>SUM('7.4 (L)'!P56,'7.4 (P)'!P56)</f>
        <v>17</v>
      </c>
      <c r="Q56" s="211">
        <f>SUM('7.4 (L)'!Q56,'7.4 (P)'!Q56)</f>
        <v>5</v>
      </c>
      <c r="R56" s="222"/>
    </row>
    <row r="57" spans="2:18" ht="15" customHeight="1">
      <c r="B57" s="153"/>
      <c r="C57" s="152"/>
      <c r="D57" s="149">
        <v>2022</v>
      </c>
      <c r="E57" s="211">
        <f>SUM('7.4 (L)'!E57,'7.4 (P)'!E57)</f>
        <v>29</v>
      </c>
      <c r="F57" s="211">
        <f>SUM('7.4 (L)'!F57,'7.4 (P)'!F57)</f>
        <v>234</v>
      </c>
      <c r="G57" s="211">
        <f>SUM('7.4 (L)'!G57,'7.4 (P)'!G57)</f>
        <v>185</v>
      </c>
      <c r="H57" s="211">
        <f>SUM('7.4 (L)'!H57,'7.4 (P)'!H57)</f>
        <v>149</v>
      </c>
      <c r="I57" s="211">
        <f>SUM('7.4 (L)'!I57,'7.4 (P)'!I57)</f>
        <v>123</v>
      </c>
      <c r="J57" s="211">
        <f>SUM('7.4 (L)'!J57,'7.4 (P)'!J57)</f>
        <v>79</v>
      </c>
      <c r="K57" s="223"/>
      <c r="L57" s="211">
        <f>SUM('7.4 (L)'!L57,'7.4 (P)'!L57)</f>
        <v>4</v>
      </c>
      <c r="M57" s="211">
        <f>SUM('7.4 (L)'!M57,'7.4 (P)'!M57)</f>
        <v>20</v>
      </c>
      <c r="N57" s="211">
        <f>SUM('7.4 (L)'!N57,'7.4 (P)'!N57)</f>
        <v>36</v>
      </c>
      <c r="O57" s="211">
        <f>SUM('7.4 (L)'!O57,'7.4 (P)'!O57)</f>
        <v>39</v>
      </c>
      <c r="P57" s="211">
        <f>SUM('7.4 (L)'!P57,'7.4 (P)'!P57)</f>
        <v>19</v>
      </c>
      <c r="Q57" s="211">
        <f>SUM('7.4 (L)'!Q57,'7.4 (P)'!Q57)</f>
        <v>9</v>
      </c>
      <c r="R57" s="222"/>
    </row>
    <row r="58" spans="2:18" ht="15" customHeight="1">
      <c r="B58" s="153"/>
      <c r="C58" s="152"/>
      <c r="D58" s="149">
        <v>2023</v>
      </c>
      <c r="E58" s="211">
        <f>SUM('7.4 (L)'!E58,'7.4 (P)'!E58)</f>
        <v>107</v>
      </c>
      <c r="F58" s="211">
        <f>SUM('7.4 (L)'!F58,'7.4 (P)'!F58)</f>
        <v>681</v>
      </c>
      <c r="G58" s="211">
        <f>SUM('7.4 (L)'!G58,'7.4 (P)'!G58)</f>
        <v>442</v>
      </c>
      <c r="H58" s="211">
        <f>SUM('7.4 (L)'!H58,'7.4 (P)'!H58)</f>
        <v>320</v>
      </c>
      <c r="I58" s="211">
        <f>SUM('7.4 (L)'!I58,'7.4 (P)'!I58)</f>
        <v>221</v>
      </c>
      <c r="J58" s="211">
        <f>SUM('7.4 (L)'!J58,'7.4 (P)'!J58)</f>
        <v>200</v>
      </c>
      <c r="K58" s="223"/>
      <c r="L58" s="211">
        <f>SUM('7.4 (L)'!L58,'7.4 (P)'!L58)</f>
        <v>11</v>
      </c>
      <c r="M58" s="211">
        <f>SUM('7.4 (L)'!M58,'7.4 (P)'!M58)</f>
        <v>78</v>
      </c>
      <c r="N58" s="211">
        <f>SUM('7.4 (L)'!N58,'7.4 (P)'!N58)</f>
        <v>100</v>
      </c>
      <c r="O58" s="211">
        <f>SUM('7.4 (L)'!O58,'7.4 (P)'!O58)</f>
        <v>91</v>
      </c>
      <c r="P58" s="211">
        <f>SUM('7.4 (L)'!P58,'7.4 (P)'!P58)</f>
        <v>51</v>
      </c>
      <c r="Q58" s="211">
        <f>SUM('7.4 (L)'!Q58,'7.4 (P)'!Q58)</f>
        <v>28</v>
      </c>
      <c r="R58" s="222"/>
    </row>
    <row r="59" spans="2:18" ht="8.1" customHeight="1">
      <c r="B59" s="153"/>
      <c r="C59" s="148"/>
      <c r="D59" s="149"/>
      <c r="E59" s="150"/>
      <c r="F59" s="203"/>
      <c r="G59" s="203"/>
      <c r="H59" s="203"/>
      <c r="I59" s="203"/>
      <c r="J59" s="203"/>
      <c r="K59" s="203"/>
      <c r="L59" s="150"/>
      <c r="M59" s="203"/>
      <c r="N59" s="203"/>
      <c r="O59" s="203"/>
      <c r="P59" s="203"/>
      <c r="Q59" s="203"/>
      <c r="R59" s="203"/>
    </row>
    <row r="60" spans="2:18" ht="15" customHeight="1">
      <c r="B60" s="151" t="s">
        <v>104</v>
      </c>
      <c r="C60" s="152"/>
      <c r="D60" s="149">
        <v>2021</v>
      </c>
      <c r="E60" s="211">
        <f>SUM('7.4 (L)'!E60,'7.4 (P)'!E60)</f>
        <v>11</v>
      </c>
      <c r="F60" s="211">
        <f>SUM('7.4 (L)'!F60,'7.4 (P)'!F60)</f>
        <v>74</v>
      </c>
      <c r="G60" s="211">
        <f>SUM('7.4 (L)'!G60,'7.4 (P)'!G60)</f>
        <v>38</v>
      </c>
      <c r="H60" s="211">
        <f>SUM('7.4 (L)'!H60,'7.4 (P)'!H60)</f>
        <v>28</v>
      </c>
      <c r="I60" s="211">
        <f>SUM('7.4 (L)'!I60,'7.4 (P)'!I60)</f>
        <v>28</v>
      </c>
      <c r="J60" s="211">
        <f>SUM('7.4 (L)'!J60,'7.4 (P)'!J60)</f>
        <v>9</v>
      </c>
      <c r="K60" s="223"/>
      <c r="L60" s="211">
        <f>SUM('7.4 (L)'!L60,'7.4 (P)'!L60)</f>
        <v>9</v>
      </c>
      <c r="M60" s="211">
        <f>SUM('7.4 (L)'!M60,'7.4 (P)'!M60)</f>
        <v>26</v>
      </c>
      <c r="N60" s="211">
        <f>SUM('7.4 (L)'!N60,'7.4 (P)'!N60)</f>
        <v>10</v>
      </c>
      <c r="O60" s="211">
        <f>SUM('7.4 (L)'!O60,'7.4 (P)'!O60)</f>
        <v>12</v>
      </c>
      <c r="P60" s="211">
        <f>SUM('7.4 (L)'!P60,'7.4 (P)'!P60)</f>
        <v>9</v>
      </c>
      <c r="Q60" s="211">
        <f>SUM('7.4 (L)'!Q60,'7.4 (P)'!Q60)</f>
        <v>4</v>
      </c>
      <c r="R60" s="222"/>
    </row>
    <row r="61" spans="2:18" ht="15" customHeight="1">
      <c r="B61" s="153"/>
      <c r="C61" s="152"/>
      <c r="D61" s="149">
        <v>2022</v>
      </c>
      <c r="E61" s="211">
        <f>SUM('7.4 (L)'!E61,'7.4 (P)'!E61)</f>
        <v>20</v>
      </c>
      <c r="F61" s="211">
        <f>SUM('7.4 (L)'!F61,'7.4 (P)'!F61)</f>
        <v>111</v>
      </c>
      <c r="G61" s="211">
        <f>SUM('7.4 (L)'!G61,'7.4 (P)'!G61)</f>
        <v>93</v>
      </c>
      <c r="H61" s="211">
        <f>SUM('7.4 (L)'!H61,'7.4 (P)'!H61)</f>
        <v>50</v>
      </c>
      <c r="I61" s="211">
        <f>SUM('7.4 (L)'!I61,'7.4 (P)'!I61)</f>
        <v>41</v>
      </c>
      <c r="J61" s="211">
        <f>SUM('7.4 (L)'!J61,'7.4 (P)'!J61)</f>
        <v>30</v>
      </c>
      <c r="K61" s="223"/>
      <c r="L61" s="211">
        <f>SUM('7.4 (L)'!L61,'7.4 (P)'!L61)</f>
        <v>6</v>
      </c>
      <c r="M61" s="211">
        <f>SUM('7.4 (L)'!M61,'7.4 (P)'!M61)</f>
        <v>23</v>
      </c>
      <c r="N61" s="211">
        <f>SUM('7.4 (L)'!N61,'7.4 (P)'!N61)</f>
        <v>23</v>
      </c>
      <c r="O61" s="211">
        <f>SUM('7.4 (L)'!O61,'7.4 (P)'!O61)</f>
        <v>15</v>
      </c>
      <c r="P61" s="211">
        <f>SUM('7.4 (L)'!P61,'7.4 (P)'!P61)</f>
        <v>14</v>
      </c>
      <c r="Q61" s="211">
        <f>SUM('7.4 (L)'!Q61,'7.4 (P)'!Q61)</f>
        <v>8</v>
      </c>
      <c r="R61" s="222"/>
    </row>
    <row r="62" spans="2:18" ht="15" customHeight="1">
      <c r="B62" s="153"/>
      <c r="C62" s="152"/>
      <c r="D62" s="149">
        <v>2023</v>
      </c>
      <c r="E62" s="211">
        <f>SUM('7.4 (L)'!E62,'7.4 (P)'!E62)</f>
        <v>30</v>
      </c>
      <c r="F62" s="211">
        <f>SUM('7.4 (L)'!F62,'7.4 (P)'!F62)</f>
        <v>108</v>
      </c>
      <c r="G62" s="211">
        <f>SUM('7.4 (L)'!G62,'7.4 (P)'!G62)</f>
        <v>83</v>
      </c>
      <c r="H62" s="211">
        <f>SUM('7.4 (L)'!H62,'7.4 (P)'!H62)</f>
        <v>55</v>
      </c>
      <c r="I62" s="211">
        <f>SUM('7.4 (L)'!I62,'7.4 (P)'!I62)</f>
        <v>51</v>
      </c>
      <c r="J62" s="211">
        <f>SUM('7.4 (L)'!J62,'7.4 (P)'!J62)</f>
        <v>30</v>
      </c>
      <c r="K62" s="223"/>
      <c r="L62" s="211">
        <f>SUM('7.4 (L)'!L62,'7.4 (P)'!L62)</f>
        <v>10</v>
      </c>
      <c r="M62" s="211">
        <f>SUM('7.4 (L)'!M62,'7.4 (P)'!M62)</f>
        <v>23</v>
      </c>
      <c r="N62" s="211">
        <f>SUM('7.4 (L)'!N62,'7.4 (P)'!N62)</f>
        <v>22</v>
      </c>
      <c r="O62" s="211">
        <f>SUM('7.4 (L)'!O62,'7.4 (P)'!O62)</f>
        <v>14</v>
      </c>
      <c r="P62" s="211">
        <f>SUM('7.4 (L)'!P62,'7.4 (P)'!P62)</f>
        <v>15</v>
      </c>
      <c r="Q62" s="211">
        <f>SUM('7.4 (L)'!Q62,'7.4 (P)'!Q62)</f>
        <v>8</v>
      </c>
      <c r="R62" s="222"/>
    </row>
    <row r="63" spans="2:18" ht="8.1" customHeight="1">
      <c r="B63" s="153"/>
      <c r="C63" s="154"/>
      <c r="D63" s="149"/>
      <c r="E63" s="150"/>
      <c r="F63" s="203"/>
      <c r="G63" s="203"/>
      <c r="H63" s="203"/>
      <c r="I63" s="203"/>
      <c r="J63" s="203"/>
      <c r="K63" s="203"/>
      <c r="L63" s="150"/>
      <c r="M63" s="203"/>
      <c r="N63" s="203"/>
      <c r="O63" s="203"/>
      <c r="P63" s="203"/>
      <c r="Q63" s="203"/>
      <c r="R63" s="203"/>
    </row>
    <row r="64" spans="2:18" ht="15" customHeight="1">
      <c r="B64" s="151" t="s">
        <v>108</v>
      </c>
      <c r="C64" s="152"/>
      <c r="D64" s="149">
        <v>2021</v>
      </c>
      <c r="E64" s="211">
        <f>SUM('7.4 (L)'!E64,'7.4 (P)'!E64)</f>
        <v>15</v>
      </c>
      <c r="F64" s="211">
        <f>SUM('7.4 (L)'!F64,'7.4 (P)'!F64)</f>
        <v>67</v>
      </c>
      <c r="G64" s="211">
        <f>SUM('7.4 (L)'!G64,'7.4 (P)'!G64)</f>
        <v>67</v>
      </c>
      <c r="H64" s="211">
        <f>SUM('7.4 (L)'!H64,'7.4 (P)'!H64)</f>
        <v>54</v>
      </c>
      <c r="I64" s="211">
        <f>SUM('7.4 (L)'!I64,'7.4 (P)'!I64)</f>
        <v>35</v>
      </c>
      <c r="J64" s="211">
        <f>SUM('7.4 (L)'!J64,'7.4 (P)'!J64)</f>
        <v>43</v>
      </c>
      <c r="K64" s="223"/>
      <c r="L64" s="211">
        <f>SUM('7.4 (L)'!L64,'7.4 (P)'!L64)</f>
        <v>3</v>
      </c>
      <c r="M64" s="211">
        <f>SUM('7.4 (L)'!M64,'7.4 (P)'!M64)</f>
        <v>9</v>
      </c>
      <c r="N64" s="211">
        <f>SUM('7.4 (L)'!N64,'7.4 (P)'!N64)</f>
        <v>7</v>
      </c>
      <c r="O64" s="211">
        <f>SUM('7.4 (L)'!O64,'7.4 (P)'!O64)</f>
        <v>10</v>
      </c>
      <c r="P64" s="211">
        <f>SUM('7.4 (L)'!P64,'7.4 (P)'!P64)</f>
        <v>11</v>
      </c>
      <c r="Q64" s="211">
        <f>SUM('7.4 (L)'!Q64,'7.4 (P)'!Q64)</f>
        <v>5</v>
      </c>
      <c r="R64" s="222"/>
    </row>
    <row r="65" spans="1:18" ht="15" customHeight="1">
      <c r="B65" s="153"/>
      <c r="C65" s="152"/>
      <c r="D65" s="149">
        <v>2022</v>
      </c>
      <c r="E65" s="211">
        <f>SUM('7.4 (L)'!E65,'7.4 (P)'!E65)</f>
        <v>6</v>
      </c>
      <c r="F65" s="211">
        <f>SUM('7.4 (L)'!F65,'7.4 (P)'!F65)</f>
        <v>105</v>
      </c>
      <c r="G65" s="211">
        <f>SUM('7.4 (L)'!G65,'7.4 (P)'!G65)</f>
        <v>121</v>
      </c>
      <c r="H65" s="211">
        <f>SUM('7.4 (L)'!H65,'7.4 (P)'!H65)</f>
        <v>77</v>
      </c>
      <c r="I65" s="211">
        <f>SUM('7.4 (L)'!I65,'7.4 (P)'!I65)</f>
        <v>70</v>
      </c>
      <c r="J65" s="211">
        <f>SUM('7.4 (L)'!J65,'7.4 (P)'!J65)</f>
        <v>42</v>
      </c>
      <c r="K65" s="223"/>
      <c r="L65" s="211">
        <f>SUM('7.4 (L)'!L65,'7.4 (P)'!L65)</f>
        <v>1</v>
      </c>
      <c r="M65" s="211">
        <f>SUM('7.4 (L)'!M65,'7.4 (P)'!M65)</f>
        <v>8</v>
      </c>
      <c r="N65" s="211">
        <f>SUM('7.4 (L)'!N65,'7.4 (P)'!N65)</f>
        <v>15</v>
      </c>
      <c r="O65" s="211">
        <f>SUM('7.4 (L)'!O65,'7.4 (P)'!O65)</f>
        <v>11</v>
      </c>
      <c r="P65" s="211">
        <f>SUM('7.4 (L)'!P65,'7.4 (P)'!P65)</f>
        <v>8</v>
      </c>
      <c r="Q65" s="211">
        <f>SUM('7.4 (L)'!Q65,'7.4 (P)'!Q65)</f>
        <v>5</v>
      </c>
      <c r="R65" s="222"/>
    </row>
    <row r="66" spans="1:18" ht="15" customHeight="1">
      <c r="B66" s="153"/>
      <c r="C66" s="152"/>
      <c r="D66" s="149">
        <v>2023</v>
      </c>
      <c r="E66" s="211">
        <f>SUM('7.4 (L)'!E66,'7.4 (P)'!E66)</f>
        <v>22</v>
      </c>
      <c r="F66" s="211">
        <f>SUM('7.4 (L)'!F66,'7.4 (P)'!F66)</f>
        <v>154</v>
      </c>
      <c r="G66" s="211">
        <f>SUM('7.4 (L)'!G66,'7.4 (P)'!G66)</f>
        <v>144</v>
      </c>
      <c r="H66" s="211">
        <f>SUM('7.4 (L)'!H66,'7.4 (P)'!H66)</f>
        <v>100</v>
      </c>
      <c r="I66" s="211">
        <f>SUM('7.4 (L)'!I66,'7.4 (P)'!I66)</f>
        <v>92</v>
      </c>
      <c r="J66" s="211">
        <f>SUM('7.4 (L)'!J66,'7.4 (P)'!J66)</f>
        <v>43</v>
      </c>
      <c r="K66" s="223"/>
      <c r="L66" s="211">
        <f>SUM('7.4 (L)'!L66,'7.4 (P)'!L66)</f>
        <v>5</v>
      </c>
      <c r="M66" s="211">
        <f>SUM('7.4 (L)'!M66,'7.4 (P)'!M66)</f>
        <v>21</v>
      </c>
      <c r="N66" s="211">
        <f>SUM('7.4 (L)'!N66,'7.4 (P)'!N66)</f>
        <v>25</v>
      </c>
      <c r="O66" s="211">
        <f>SUM('7.4 (L)'!O66,'7.4 (P)'!O66)</f>
        <v>27</v>
      </c>
      <c r="P66" s="211">
        <f>SUM('7.4 (L)'!P66,'7.4 (P)'!P66)</f>
        <v>14</v>
      </c>
      <c r="Q66" s="211">
        <f>SUM('7.4 (L)'!Q66,'7.4 (P)'!Q66)</f>
        <v>8</v>
      </c>
      <c r="R66" s="222"/>
    </row>
    <row r="67" spans="1:18" ht="8.1" customHeight="1">
      <c r="B67" s="155"/>
      <c r="C67" s="145"/>
      <c r="D67" s="149"/>
      <c r="E67" s="150"/>
      <c r="F67" s="203"/>
      <c r="G67" s="203"/>
      <c r="H67" s="203"/>
      <c r="I67" s="203"/>
      <c r="J67" s="203"/>
      <c r="K67" s="203"/>
      <c r="L67" s="150"/>
      <c r="M67" s="203"/>
      <c r="N67" s="203"/>
      <c r="O67" s="203"/>
      <c r="P67" s="203"/>
      <c r="Q67" s="203"/>
      <c r="R67" s="203"/>
    </row>
    <row r="68" spans="1:18" ht="15" customHeight="1">
      <c r="B68" s="151" t="s">
        <v>105</v>
      </c>
      <c r="C68" s="152"/>
      <c r="D68" s="149">
        <v>2021</v>
      </c>
      <c r="E68" s="211">
        <f>SUM('7.4 (L)'!E68,'7.4 (P)'!E68)</f>
        <v>32</v>
      </c>
      <c r="F68" s="211">
        <f>SUM('7.4 (L)'!F68,'7.4 (P)'!F68)</f>
        <v>141</v>
      </c>
      <c r="G68" s="211">
        <f>SUM('7.4 (L)'!G68,'7.4 (P)'!G68)</f>
        <v>107</v>
      </c>
      <c r="H68" s="211">
        <f>SUM('7.4 (L)'!H68,'7.4 (P)'!H68)</f>
        <v>96</v>
      </c>
      <c r="I68" s="211">
        <f>SUM('7.4 (L)'!I68,'7.4 (P)'!I68)</f>
        <v>64</v>
      </c>
      <c r="J68" s="211">
        <f>SUM('7.4 (L)'!J68,'7.4 (P)'!J68)</f>
        <v>59</v>
      </c>
      <c r="K68" s="223"/>
      <c r="L68" s="211">
        <f>SUM('7.4 (L)'!L68,'7.4 (P)'!L68)</f>
        <v>9</v>
      </c>
      <c r="M68" s="211">
        <f>SUM('7.4 (L)'!M68,'7.4 (P)'!M68)</f>
        <v>54</v>
      </c>
      <c r="N68" s="211">
        <f>SUM('7.4 (L)'!N68,'7.4 (P)'!N68)</f>
        <v>45</v>
      </c>
      <c r="O68" s="211">
        <f>SUM('7.4 (L)'!O68,'7.4 (P)'!O68)</f>
        <v>36</v>
      </c>
      <c r="P68" s="211">
        <f>SUM('7.4 (L)'!P68,'7.4 (P)'!P68)</f>
        <v>31</v>
      </c>
      <c r="Q68" s="211">
        <f>SUM('7.4 (L)'!Q68,'7.4 (P)'!Q68)</f>
        <v>16</v>
      </c>
      <c r="R68" s="222"/>
    </row>
    <row r="69" spans="1:18" ht="15" customHeight="1">
      <c r="B69" s="153"/>
      <c r="C69" s="152"/>
      <c r="D69" s="149">
        <v>2022</v>
      </c>
      <c r="E69" s="211">
        <f>SUM('7.4 (L)'!E69,'7.4 (P)'!E69)</f>
        <v>21</v>
      </c>
      <c r="F69" s="211">
        <f>SUM('7.4 (L)'!F69,'7.4 (P)'!F69)</f>
        <v>158</v>
      </c>
      <c r="G69" s="211">
        <f>SUM('7.4 (L)'!G69,'7.4 (P)'!G69)</f>
        <v>96</v>
      </c>
      <c r="H69" s="211">
        <f>SUM('7.4 (L)'!H69,'7.4 (P)'!H69)</f>
        <v>105</v>
      </c>
      <c r="I69" s="211">
        <f>SUM('7.4 (L)'!I69,'7.4 (P)'!I69)</f>
        <v>69</v>
      </c>
      <c r="J69" s="211">
        <f>SUM('7.4 (L)'!J69,'7.4 (P)'!J69)</f>
        <v>54</v>
      </c>
      <c r="K69" s="223"/>
      <c r="L69" s="211">
        <f>SUM('7.4 (L)'!L69,'7.4 (P)'!L69)</f>
        <v>11</v>
      </c>
      <c r="M69" s="211">
        <f>SUM('7.4 (L)'!M69,'7.4 (P)'!M69)</f>
        <v>40</v>
      </c>
      <c r="N69" s="211">
        <f>SUM('7.4 (L)'!N69,'7.4 (P)'!N69)</f>
        <v>44</v>
      </c>
      <c r="O69" s="211">
        <f>SUM('7.4 (L)'!O69,'7.4 (P)'!O69)</f>
        <v>49</v>
      </c>
      <c r="P69" s="211">
        <f>SUM('7.4 (L)'!P69,'7.4 (P)'!P69)</f>
        <v>32</v>
      </c>
      <c r="Q69" s="211">
        <f>SUM('7.4 (L)'!Q69,'7.4 (P)'!Q69)</f>
        <v>16</v>
      </c>
      <c r="R69" s="222"/>
    </row>
    <row r="70" spans="1:18" ht="15" customHeight="1">
      <c r="B70" s="153"/>
      <c r="C70" s="152"/>
      <c r="D70" s="149">
        <v>2023</v>
      </c>
      <c r="E70" s="211">
        <f>SUM('7.4 (L)'!E70,'7.4 (P)'!E70)</f>
        <v>31</v>
      </c>
      <c r="F70" s="211">
        <f>SUM('7.4 (L)'!F70,'7.4 (P)'!F70)</f>
        <v>172</v>
      </c>
      <c r="G70" s="211">
        <f>SUM('7.4 (L)'!G70,'7.4 (P)'!G70)</f>
        <v>118</v>
      </c>
      <c r="H70" s="211">
        <f>SUM('7.4 (L)'!H70,'7.4 (P)'!H70)</f>
        <v>110</v>
      </c>
      <c r="I70" s="211">
        <f>SUM('7.4 (L)'!I70,'7.4 (P)'!I70)</f>
        <v>77</v>
      </c>
      <c r="J70" s="211">
        <f>SUM('7.4 (L)'!J70,'7.4 (P)'!J70)</f>
        <v>78</v>
      </c>
      <c r="K70" s="223"/>
      <c r="L70" s="211">
        <f>SUM('7.4 (L)'!L70,'7.4 (P)'!L70)</f>
        <v>7</v>
      </c>
      <c r="M70" s="211">
        <f>SUM('7.4 (L)'!M70,'7.4 (P)'!M70)</f>
        <v>60</v>
      </c>
      <c r="N70" s="211">
        <f>SUM('7.4 (L)'!N70,'7.4 (P)'!N70)</f>
        <v>52</v>
      </c>
      <c r="O70" s="211">
        <f>SUM('7.4 (L)'!O70,'7.4 (P)'!O70)</f>
        <v>34</v>
      </c>
      <c r="P70" s="211">
        <f>SUM('7.4 (L)'!P70,'7.4 (P)'!P70)</f>
        <v>29</v>
      </c>
      <c r="Q70" s="211">
        <f>SUM('7.4 (L)'!Q70,'7.4 (P)'!Q70)</f>
        <v>22</v>
      </c>
      <c r="R70" s="222"/>
    </row>
    <row r="71" spans="1:18" ht="8.1" customHeight="1">
      <c r="B71" s="153"/>
      <c r="C71" s="151"/>
      <c r="D71" s="149"/>
      <c r="E71" s="150"/>
      <c r="F71" s="203"/>
      <c r="G71" s="203"/>
      <c r="H71" s="203"/>
      <c r="I71" s="203"/>
      <c r="J71" s="203"/>
      <c r="K71" s="203"/>
      <c r="L71" s="150"/>
      <c r="M71" s="203"/>
      <c r="N71" s="203"/>
      <c r="O71" s="203"/>
      <c r="P71" s="203"/>
      <c r="Q71" s="203"/>
      <c r="R71" s="203"/>
    </row>
    <row r="72" spans="1:18" ht="15" customHeight="1">
      <c r="B72" s="151" t="s">
        <v>109</v>
      </c>
      <c r="C72" s="152"/>
      <c r="D72" s="149">
        <v>2021</v>
      </c>
      <c r="E72" s="211">
        <f>SUM('7.4 (L)'!E72,'7.4 (P)'!E72)</f>
        <v>30</v>
      </c>
      <c r="F72" s="211">
        <f>SUM('7.4 (L)'!F72,'7.4 (P)'!F72)</f>
        <v>315</v>
      </c>
      <c r="G72" s="211">
        <f>SUM('7.4 (L)'!G72,'7.4 (P)'!G72)</f>
        <v>283</v>
      </c>
      <c r="H72" s="211">
        <f>SUM('7.4 (L)'!H72,'7.4 (P)'!H72)</f>
        <v>158</v>
      </c>
      <c r="I72" s="211">
        <f>SUM('7.4 (L)'!I72,'7.4 (P)'!I72)</f>
        <v>142</v>
      </c>
      <c r="J72" s="211">
        <f>SUM('7.4 (L)'!J72,'7.4 (P)'!J72)</f>
        <v>100</v>
      </c>
      <c r="K72" s="223"/>
      <c r="L72" s="211">
        <f>SUM('7.4 (L)'!L72,'7.4 (P)'!L72)</f>
        <v>3</v>
      </c>
      <c r="M72" s="211">
        <f>SUM('7.4 (L)'!M72,'7.4 (P)'!M72)</f>
        <v>19</v>
      </c>
      <c r="N72" s="211">
        <f>SUM('7.4 (L)'!N72,'7.4 (P)'!N72)</f>
        <v>24</v>
      </c>
      <c r="O72" s="211">
        <f>SUM('7.4 (L)'!O72,'7.4 (P)'!O72)</f>
        <v>18</v>
      </c>
      <c r="P72" s="211">
        <f>SUM('7.4 (L)'!P72,'7.4 (P)'!P72)</f>
        <v>12</v>
      </c>
      <c r="Q72" s="211">
        <f>SUM('7.4 (L)'!Q72,'7.4 (P)'!Q72)</f>
        <v>6</v>
      </c>
      <c r="R72" s="222"/>
    </row>
    <row r="73" spans="1:18" ht="15" customHeight="1">
      <c r="B73" s="153"/>
      <c r="C73" s="152"/>
      <c r="D73" s="149">
        <v>2022</v>
      </c>
      <c r="E73" s="211">
        <f>SUM('7.4 (L)'!E73,'7.4 (P)'!E73)</f>
        <v>41</v>
      </c>
      <c r="F73" s="211">
        <f>SUM('7.4 (L)'!F73,'7.4 (P)'!F73)</f>
        <v>353</v>
      </c>
      <c r="G73" s="211">
        <f>SUM('7.4 (L)'!G73,'7.4 (P)'!G73)</f>
        <v>312</v>
      </c>
      <c r="H73" s="211">
        <f>SUM('7.4 (L)'!H73,'7.4 (P)'!H73)</f>
        <v>164</v>
      </c>
      <c r="I73" s="211">
        <f>SUM('7.4 (L)'!I73,'7.4 (P)'!I73)</f>
        <v>108</v>
      </c>
      <c r="J73" s="211">
        <f>SUM('7.4 (L)'!J73,'7.4 (P)'!J73)</f>
        <v>116</v>
      </c>
      <c r="K73" s="223"/>
      <c r="L73" s="211">
        <f>SUM('7.4 (L)'!L73,'7.4 (P)'!L73)</f>
        <v>4</v>
      </c>
      <c r="M73" s="211">
        <f>SUM('7.4 (L)'!M73,'7.4 (P)'!M73)</f>
        <v>30</v>
      </c>
      <c r="N73" s="211">
        <f>SUM('7.4 (L)'!N73,'7.4 (P)'!N73)</f>
        <v>41</v>
      </c>
      <c r="O73" s="211">
        <f>SUM('7.4 (L)'!O73,'7.4 (P)'!O73)</f>
        <v>45</v>
      </c>
      <c r="P73" s="211">
        <f>SUM('7.4 (L)'!P73,'7.4 (P)'!P73)</f>
        <v>19</v>
      </c>
      <c r="Q73" s="211">
        <f>SUM('7.4 (L)'!Q73,'7.4 (P)'!Q73)</f>
        <v>13</v>
      </c>
      <c r="R73" s="222"/>
    </row>
    <row r="74" spans="1:18" ht="15" customHeight="1">
      <c r="A74" s="177"/>
      <c r="B74" s="225"/>
      <c r="C74" s="226"/>
      <c r="D74" s="227">
        <v>2023</v>
      </c>
      <c r="E74" s="211">
        <f>SUM('7.4 (L)'!E74,'7.4 (P)'!E74)</f>
        <v>70</v>
      </c>
      <c r="F74" s="211">
        <f>SUM('7.4 (L)'!F74,'7.4 (P)'!F74)</f>
        <v>488</v>
      </c>
      <c r="G74" s="211">
        <f>SUM('7.4 (L)'!G74,'7.4 (P)'!G74)</f>
        <v>404</v>
      </c>
      <c r="H74" s="211">
        <f>SUM('7.4 (L)'!H74,'7.4 (P)'!H74)</f>
        <v>245</v>
      </c>
      <c r="I74" s="211">
        <f>SUM('7.4 (L)'!I74,'7.4 (P)'!I74)</f>
        <v>150</v>
      </c>
      <c r="J74" s="211">
        <f>SUM('7.4 (L)'!J74,'7.4 (P)'!J74)</f>
        <v>134</v>
      </c>
      <c r="K74" s="223"/>
      <c r="L74" s="211">
        <f>SUM('7.4 (L)'!L74,'7.4 (P)'!L74)</f>
        <v>11</v>
      </c>
      <c r="M74" s="211">
        <f>SUM('7.4 (L)'!M74,'7.4 (P)'!M74)</f>
        <v>51</v>
      </c>
      <c r="N74" s="211">
        <f>SUM('7.4 (L)'!N74,'7.4 (P)'!N74)</f>
        <v>47</v>
      </c>
      <c r="O74" s="211">
        <f>SUM('7.4 (L)'!O74,'7.4 (P)'!O74)</f>
        <v>37</v>
      </c>
      <c r="P74" s="211">
        <f>SUM('7.4 (L)'!P74,'7.4 (P)'!P74)</f>
        <v>29</v>
      </c>
      <c r="Q74" s="211">
        <f>SUM('7.4 (L)'!Q74,'7.4 (P)'!Q74)</f>
        <v>49</v>
      </c>
      <c r="R74" s="222"/>
    </row>
    <row r="75" spans="1:18" ht="8.1" customHeight="1" thickBot="1">
      <c r="A75" s="156"/>
      <c r="B75" s="156"/>
      <c r="C75" s="156"/>
      <c r="D75" s="157"/>
      <c r="E75" s="158"/>
      <c r="F75" s="158"/>
      <c r="G75" s="158"/>
      <c r="H75" s="158"/>
      <c r="I75" s="158"/>
      <c r="J75" s="158"/>
      <c r="K75" s="158"/>
      <c r="L75" s="158"/>
      <c r="M75" s="228"/>
      <c r="N75" s="228"/>
      <c r="O75" s="229"/>
      <c r="P75" s="229"/>
      <c r="Q75" s="229"/>
      <c r="R75" s="158"/>
    </row>
    <row r="76" spans="1:18" s="87" customFormat="1" ht="15.95" customHeight="1">
      <c r="B76" s="88"/>
      <c r="C76" s="89"/>
      <c r="D76" s="90"/>
      <c r="E76" s="91"/>
      <c r="F76" s="91"/>
      <c r="R76" s="92" t="s">
        <v>19</v>
      </c>
    </row>
    <row r="77" spans="1:18" s="87" customFormat="1" ht="15.95" customHeight="1">
      <c r="B77" s="88"/>
      <c r="C77" s="89"/>
      <c r="D77" s="90"/>
      <c r="E77" s="91"/>
      <c r="F77" s="91"/>
      <c r="R77" s="93" t="s">
        <v>20</v>
      </c>
    </row>
    <row r="78" spans="1:18" ht="15" customHeight="1">
      <c r="B78" s="212"/>
      <c r="C78" s="213"/>
      <c r="D78" s="214"/>
      <c r="E78" s="219"/>
      <c r="F78" s="220"/>
      <c r="G78" s="220"/>
      <c r="H78" s="220"/>
      <c r="I78" s="220"/>
      <c r="J78" s="220"/>
      <c r="K78" s="220"/>
      <c r="L78" s="220"/>
      <c r="M78" s="221"/>
      <c r="N78" s="221"/>
      <c r="O78" s="196"/>
      <c r="P78" s="196"/>
      <c r="Q78" s="196"/>
      <c r="R78" s="220"/>
    </row>
    <row r="79" spans="1:18" ht="15" customHeight="1">
      <c r="D79" s="217"/>
      <c r="E79" s="216"/>
      <c r="F79" s="216"/>
      <c r="G79" s="216"/>
      <c r="H79" s="216"/>
      <c r="L79" s="215"/>
      <c r="M79" s="218"/>
      <c r="N79" s="218"/>
    </row>
    <row r="80" spans="1:18" ht="15" customHeight="1">
      <c r="B80" s="138"/>
      <c r="C80" s="138"/>
      <c r="D80" s="139"/>
      <c r="E80" s="140"/>
      <c r="F80" s="140"/>
      <c r="G80" s="140"/>
      <c r="H80" s="140"/>
      <c r="I80" s="140"/>
      <c r="J80" s="140"/>
      <c r="K80" s="140"/>
      <c r="L80" s="140"/>
      <c r="R80" s="140"/>
    </row>
    <row r="81" spans="2:18" ht="15" customHeight="1">
      <c r="B81" s="138"/>
      <c r="C81" s="138"/>
      <c r="D81" s="139"/>
      <c r="E81" s="140"/>
      <c r="F81" s="140"/>
      <c r="G81" s="140"/>
      <c r="H81" s="140"/>
      <c r="I81" s="140"/>
      <c r="J81" s="140"/>
      <c r="K81" s="140"/>
      <c r="L81" s="140"/>
      <c r="R81" s="140"/>
    </row>
    <row r="82" spans="2:18" ht="15" customHeight="1">
      <c r="B82" s="138"/>
      <c r="C82" s="138"/>
      <c r="D82" s="139"/>
      <c r="E82" s="140"/>
      <c r="F82" s="140"/>
      <c r="G82" s="140"/>
      <c r="H82" s="140"/>
      <c r="I82" s="140"/>
      <c r="J82" s="140"/>
      <c r="K82" s="140"/>
      <c r="L82" s="140"/>
      <c r="R82" s="140"/>
    </row>
    <row r="83" spans="2:18" ht="15" customHeight="1">
      <c r="B83" s="138"/>
      <c r="C83" s="138"/>
      <c r="D83" s="139"/>
      <c r="E83" s="140"/>
      <c r="F83" s="140"/>
      <c r="G83" s="140"/>
      <c r="H83" s="140"/>
      <c r="I83" s="140"/>
      <c r="J83" s="140"/>
      <c r="K83" s="140"/>
      <c r="L83" s="140"/>
      <c r="R83" s="140"/>
    </row>
    <row r="84" spans="2:18" ht="15" customHeight="1">
      <c r="B84" s="138"/>
      <c r="C84" s="138"/>
      <c r="D84" s="139"/>
      <c r="E84" s="140"/>
      <c r="F84" s="140"/>
      <c r="G84" s="140"/>
      <c r="H84" s="140"/>
      <c r="I84" s="140"/>
      <c r="J84" s="140"/>
      <c r="K84" s="140"/>
      <c r="L84" s="140"/>
      <c r="R84" s="140"/>
    </row>
    <row r="85" spans="2:18" ht="15" customHeight="1">
      <c r="B85" s="138"/>
      <c r="C85" s="138"/>
      <c r="D85" s="139"/>
      <c r="E85" s="140"/>
      <c r="F85" s="140"/>
      <c r="G85" s="140"/>
      <c r="H85" s="140"/>
      <c r="I85" s="140"/>
      <c r="J85" s="140"/>
      <c r="K85" s="140"/>
      <c r="L85" s="140"/>
      <c r="R85" s="140"/>
    </row>
    <row r="86" spans="2:18" ht="15" customHeight="1">
      <c r="B86" s="138"/>
      <c r="C86" s="138"/>
      <c r="D86" s="139"/>
      <c r="E86" s="140"/>
      <c r="F86" s="140"/>
      <c r="G86" s="140"/>
      <c r="H86" s="140"/>
      <c r="I86" s="140"/>
      <c r="J86" s="140"/>
      <c r="K86" s="140"/>
      <c r="L86" s="140"/>
      <c r="R86" s="140"/>
    </row>
    <row r="87" spans="2:18" ht="15" customHeight="1">
      <c r="B87" s="138"/>
      <c r="C87" s="138"/>
      <c r="D87" s="139"/>
      <c r="E87" s="140"/>
      <c r="F87" s="140"/>
      <c r="G87" s="140"/>
      <c r="H87" s="140"/>
      <c r="I87" s="140"/>
      <c r="J87" s="140"/>
      <c r="K87" s="140"/>
      <c r="L87" s="140"/>
      <c r="R87" s="140"/>
    </row>
    <row r="88" spans="2:18" ht="15" customHeight="1">
      <c r="B88" s="138"/>
      <c r="C88" s="138"/>
      <c r="D88" s="139"/>
      <c r="E88" s="140"/>
      <c r="F88" s="140"/>
      <c r="G88" s="140"/>
      <c r="H88" s="140"/>
      <c r="I88" s="140"/>
      <c r="J88" s="140"/>
      <c r="K88" s="140"/>
      <c r="L88" s="140"/>
      <c r="R88" s="140"/>
    </row>
    <row r="89" spans="2:18" ht="15" customHeight="1">
      <c r="B89" s="138"/>
      <c r="C89" s="138"/>
      <c r="D89" s="139"/>
      <c r="E89" s="140"/>
      <c r="F89" s="140"/>
      <c r="G89" s="140"/>
      <c r="H89" s="140"/>
      <c r="I89" s="140"/>
      <c r="J89" s="140"/>
      <c r="K89" s="140"/>
      <c r="L89" s="140"/>
      <c r="R89" s="140"/>
    </row>
    <row r="90" spans="2:18" ht="15" customHeight="1">
      <c r="B90" s="138"/>
      <c r="C90" s="138"/>
      <c r="D90" s="139"/>
      <c r="E90" s="140"/>
      <c r="F90" s="140"/>
      <c r="G90" s="140"/>
      <c r="H90" s="140"/>
      <c r="I90" s="140"/>
      <c r="J90" s="140"/>
      <c r="K90" s="140"/>
      <c r="L90" s="140"/>
      <c r="R90" s="140"/>
    </row>
    <row r="91" spans="2:18" ht="15" customHeight="1">
      <c r="B91" s="138"/>
      <c r="C91" s="138"/>
      <c r="D91" s="139"/>
      <c r="E91" s="140"/>
      <c r="F91" s="140"/>
      <c r="G91" s="140"/>
      <c r="H91" s="140"/>
      <c r="I91" s="140"/>
      <c r="J91" s="140"/>
      <c r="K91" s="140"/>
      <c r="L91" s="140"/>
      <c r="R91" s="140"/>
    </row>
    <row r="92" spans="2:18" ht="15" customHeight="1">
      <c r="B92" s="138"/>
      <c r="C92" s="138"/>
      <c r="D92" s="139"/>
      <c r="E92" s="140"/>
      <c r="F92" s="140"/>
      <c r="G92" s="140"/>
      <c r="H92" s="140"/>
      <c r="I92" s="140"/>
      <c r="J92" s="140"/>
      <c r="K92" s="140"/>
      <c r="L92" s="140"/>
      <c r="R92" s="140"/>
    </row>
    <row r="93" spans="2:18" ht="15" customHeight="1">
      <c r="B93" s="138"/>
      <c r="C93" s="138"/>
      <c r="D93" s="139"/>
      <c r="E93" s="140"/>
      <c r="F93" s="140"/>
      <c r="G93" s="140"/>
      <c r="H93" s="140"/>
      <c r="I93" s="140"/>
      <c r="J93" s="140"/>
      <c r="K93" s="140"/>
      <c r="L93" s="140"/>
      <c r="R93" s="140"/>
    </row>
    <row r="94" spans="2:18" ht="15" customHeight="1">
      <c r="B94" s="138"/>
      <c r="C94" s="138"/>
      <c r="D94" s="139"/>
      <c r="E94" s="140"/>
      <c r="F94" s="140"/>
      <c r="G94" s="140"/>
      <c r="H94" s="140"/>
      <c r="I94" s="140"/>
      <c r="J94" s="140"/>
      <c r="K94" s="140"/>
      <c r="L94" s="140"/>
      <c r="R94" s="140"/>
    </row>
    <row r="95" spans="2:18" ht="15" customHeight="1">
      <c r="B95" s="138"/>
      <c r="C95" s="138"/>
      <c r="D95" s="139"/>
      <c r="E95" s="140"/>
      <c r="F95" s="140"/>
      <c r="G95" s="140"/>
      <c r="H95" s="140"/>
      <c r="I95" s="140"/>
      <c r="J95" s="140"/>
      <c r="K95" s="140"/>
      <c r="L95" s="140"/>
      <c r="R95" s="140"/>
    </row>
    <row r="96" spans="2:18" ht="15" customHeight="1">
      <c r="B96" s="138"/>
      <c r="C96" s="138"/>
      <c r="D96" s="139"/>
      <c r="E96" s="140"/>
      <c r="F96" s="140"/>
      <c r="G96" s="140"/>
      <c r="H96" s="140"/>
      <c r="I96" s="140"/>
      <c r="J96" s="140"/>
      <c r="K96" s="140"/>
      <c r="L96" s="140"/>
      <c r="R96" s="140"/>
    </row>
    <row r="97" spans="2:18" ht="15" customHeight="1">
      <c r="B97" s="138"/>
      <c r="C97" s="138"/>
      <c r="D97" s="139"/>
      <c r="E97" s="140"/>
      <c r="F97" s="140"/>
      <c r="G97" s="140"/>
      <c r="H97" s="140"/>
      <c r="I97" s="140"/>
      <c r="J97" s="140"/>
      <c r="K97" s="140"/>
      <c r="L97" s="140"/>
      <c r="R97" s="140"/>
    </row>
    <row r="98" spans="2:18" ht="15" customHeight="1">
      <c r="B98" s="138"/>
      <c r="C98" s="138"/>
      <c r="D98" s="139"/>
      <c r="E98" s="140"/>
      <c r="F98" s="140"/>
      <c r="G98" s="140"/>
      <c r="H98" s="140"/>
      <c r="I98" s="140"/>
      <c r="J98" s="140"/>
      <c r="K98" s="140"/>
      <c r="L98" s="140"/>
      <c r="R98" s="140"/>
    </row>
    <row r="99" spans="2:18" ht="15" customHeight="1">
      <c r="B99" s="138"/>
      <c r="C99" s="138"/>
      <c r="D99" s="139"/>
      <c r="E99" s="140"/>
      <c r="F99" s="140"/>
      <c r="G99" s="140"/>
      <c r="H99" s="140"/>
      <c r="I99" s="140"/>
      <c r="J99" s="140"/>
      <c r="K99" s="140"/>
      <c r="L99" s="140"/>
      <c r="R99" s="140"/>
    </row>
    <row r="100" spans="2:18" ht="15" customHeight="1">
      <c r="B100" s="138"/>
      <c r="C100" s="138"/>
      <c r="D100" s="139"/>
      <c r="E100" s="140"/>
      <c r="F100" s="140"/>
      <c r="G100" s="140"/>
      <c r="H100" s="140"/>
      <c r="I100" s="140"/>
      <c r="J100" s="140"/>
      <c r="K100" s="140"/>
      <c r="L100" s="140"/>
      <c r="R100" s="140"/>
    </row>
    <row r="101" spans="2:18" ht="15" customHeight="1">
      <c r="B101" s="138"/>
      <c r="C101" s="138"/>
      <c r="D101" s="139"/>
      <c r="E101" s="140"/>
      <c r="F101" s="140"/>
      <c r="G101" s="140"/>
      <c r="H101" s="140"/>
      <c r="I101" s="140"/>
      <c r="J101" s="140"/>
      <c r="K101" s="140"/>
      <c r="L101" s="140"/>
      <c r="R101" s="140"/>
    </row>
    <row r="102" spans="2:18" ht="15" customHeight="1">
      <c r="B102" s="138"/>
      <c r="C102" s="138"/>
      <c r="D102" s="139"/>
      <c r="E102" s="140"/>
      <c r="F102" s="140"/>
      <c r="G102" s="140"/>
      <c r="H102" s="140"/>
      <c r="I102" s="140"/>
      <c r="J102" s="140"/>
      <c r="K102" s="140"/>
      <c r="L102" s="140"/>
      <c r="R102" s="140"/>
    </row>
    <row r="103" spans="2:18" ht="15" customHeight="1">
      <c r="B103" s="138"/>
      <c r="C103" s="138"/>
      <c r="D103" s="139"/>
      <c r="E103" s="140"/>
      <c r="F103" s="140"/>
      <c r="G103" s="140"/>
      <c r="H103" s="140"/>
      <c r="I103" s="140"/>
      <c r="J103" s="140"/>
      <c r="K103" s="140"/>
      <c r="L103" s="140"/>
      <c r="R103" s="140"/>
    </row>
    <row r="104" spans="2:18" ht="15" customHeight="1">
      <c r="B104" s="138"/>
      <c r="C104" s="138"/>
      <c r="D104" s="139"/>
      <c r="E104" s="140"/>
      <c r="F104" s="140"/>
      <c r="G104" s="140"/>
      <c r="H104" s="140"/>
      <c r="I104" s="140"/>
      <c r="J104" s="140"/>
      <c r="K104" s="140"/>
      <c r="L104" s="140"/>
      <c r="R104" s="140"/>
    </row>
    <row r="105" spans="2:18" ht="15" customHeight="1">
      <c r="B105" s="138"/>
      <c r="C105" s="138"/>
      <c r="D105" s="139"/>
      <c r="E105" s="140"/>
      <c r="F105" s="140"/>
      <c r="G105" s="140"/>
      <c r="H105" s="140"/>
      <c r="I105" s="140"/>
      <c r="J105" s="140"/>
      <c r="K105" s="140"/>
      <c r="L105" s="140"/>
      <c r="R105" s="140"/>
    </row>
    <row r="106" spans="2:18" ht="15" customHeight="1">
      <c r="B106" s="138"/>
      <c r="C106" s="138"/>
      <c r="D106" s="139"/>
      <c r="E106" s="140"/>
      <c r="F106" s="140"/>
      <c r="G106" s="140"/>
      <c r="H106" s="140"/>
      <c r="I106" s="140"/>
      <c r="J106" s="140"/>
      <c r="K106" s="140"/>
      <c r="L106" s="140"/>
      <c r="R106" s="140"/>
    </row>
    <row r="107" spans="2:18" ht="15" customHeight="1">
      <c r="B107" s="138"/>
      <c r="C107" s="138"/>
      <c r="D107" s="139"/>
      <c r="E107" s="140"/>
      <c r="F107" s="140"/>
      <c r="G107" s="140"/>
      <c r="H107" s="140"/>
      <c r="I107" s="140"/>
      <c r="J107" s="140"/>
      <c r="K107" s="140"/>
      <c r="L107" s="140"/>
      <c r="R107" s="140"/>
    </row>
    <row r="108" spans="2:18" ht="15" customHeight="1">
      <c r="B108" s="138"/>
      <c r="C108" s="138"/>
      <c r="D108" s="139"/>
      <c r="E108" s="140"/>
      <c r="F108" s="140"/>
      <c r="G108" s="140"/>
      <c r="H108" s="140"/>
      <c r="I108" s="140"/>
      <c r="J108" s="140"/>
      <c r="K108" s="140"/>
      <c r="L108" s="140"/>
      <c r="R108" s="140"/>
    </row>
    <row r="109" spans="2:18" ht="15" customHeight="1">
      <c r="B109" s="138"/>
      <c r="C109" s="138"/>
      <c r="D109" s="139"/>
      <c r="E109" s="140"/>
      <c r="F109" s="140"/>
      <c r="G109" s="140"/>
      <c r="H109" s="140"/>
      <c r="I109" s="140"/>
      <c r="J109" s="140"/>
      <c r="K109" s="140"/>
      <c r="L109" s="140"/>
      <c r="R109" s="140"/>
    </row>
    <row r="110" spans="2:18" ht="15" customHeight="1">
      <c r="B110" s="138"/>
      <c r="C110" s="138"/>
      <c r="D110" s="139"/>
      <c r="E110" s="140"/>
      <c r="F110" s="140"/>
      <c r="G110" s="140"/>
      <c r="H110" s="140"/>
      <c r="I110" s="140"/>
      <c r="J110" s="140"/>
      <c r="K110" s="140"/>
      <c r="L110" s="140"/>
      <c r="R110" s="140"/>
    </row>
    <row r="111" spans="2:18" ht="15" customHeight="1">
      <c r="B111" s="138"/>
      <c r="C111" s="138"/>
      <c r="D111" s="139"/>
      <c r="E111" s="140"/>
      <c r="F111" s="140"/>
      <c r="G111" s="140"/>
      <c r="H111" s="140"/>
      <c r="I111" s="140"/>
      <c r="J111" s="140"/>
      <c r="K111" s="140"/>
      <c r="L111" s="140"/>
      <c r="R111" s="140"/>
    </row>
    <row r="112" spans="2:18" ht="15" customHeight="1">
      <c r="B112" s="138"/>
      <c r="C112" s="138"/>
      <c r="D112" s="139"/>
      <c r="E112" s="140"/>
      <c r="F112" s="140"/>
      <c r="G112" s="140"/>
      <c r="H112" s="140"/>
      <c r="I112" s="140"/>
      <c r="J112" s="140"/>
      <c r="K112" s="140"/>
      <c r="L112" s="140"/>
      <c r="R112" s="140"/>
    </row>
    <row r="113" spans="2:18" ht="15" customHeight="1">
      <c r="B113" s="138"/>
      <c r="C113" s="138"/>
      <c r="D113" s="139"/>
      <c r="E113" s="140"/>
      <c r="F113" s="140"/>
      <c r="G113" s="140"/>
      <c r="H113" s="140"/>
      <c r="I113" s="140"/>
      <c r="J113" s="140"/>
      <c r="K113" s="140"/>
      <c r="L113" s="140"/>
      <c r="R113" s="140"/>
    </row>
    <row r="114" spans="2:18" ht="15" customHeight="1">
      <c r="B114" s="138"/>
      <c r="C114" s="138"/>
      <c r="D114" s="139"/>
      <c r="E114" s="140"/>
      <c r="F114" s="140"/>
      <c r="G114" s="140"/>
      <c r="H114" s="140"/>
      <c r="I114" s="140"/>
      <c r="J114" s="140"/>
      <c r="K114" s="140"/>
      <c r="L114" s="140"/>
      <c r="R114" s="140"/>
    </row>
    <row r="115" spans="2:18" ht="15" customHeight="1">
      <c r="B115" s="138"/>
      <c r="C115" s="138"/>
      <c r="D115" s="139"/>
      <c r="E115" s="140"/>
      <c r="F115" s="140"/>
      <c r="G115" s="140"/>
      <c r="H115" s="140"/>
      <c r="I115" s="140"/>
      <c r="J115" s="140"/>
      <c r="K115" s="140"/>
      <c r="L115" s="140"/>
      <c r="R115" s="140"/>
    </row>
    <row r="116" spans="2:18" ht="15" customHeight="1">
      <c r="B116" s="138"/>
      <c r="C116" s="138"/>
      <c r="D116" s="139"/>
      <c r="E116" s="140"/>
      <c r="F116" s="140"/>
      <c r="G116" s="140"/>
      <c r="H116" s="140"/>
      <c r="I116" s="140"/>
      <c r="J116" s="140"/>
      <c r="K116" s="140"/>
      <c r="L116" s="140"/>
      <c r="R116" s="140"/>
    </row>
    <row r="117" spans="2:18" ht="15" customHeight="1">
      <c r="B117" s="138"/>
      <c r="C117" s="138"/>
      <c r="D117" s="139"/>
      <c r="E117" s="140"/>
      <c r="F117" s="140"/>
      <c r="G117" s="140"/>
      <c r="H117" s="140"/>
      <c r="I117" s="140"/>
      <c r="J117" s="140"/>
      <c r="K117" s="140"/>
      <c r="L117" s="140"/>
      <c r="R117" s="140"/>
    </row>
    <row r="118" spans="2:18" ht="15" customHeight="1">
      <c r="B118" s="138"/>
      <c r="C118" s="138"/>
      <c r="D118" s="139"/>
      <c r="E118" s="140"/>
      <c r="F118" s="140"/>
      <c r="G118" s="140"/>
      <c r="H118" s="140"/>
      <c r="I118" s="140"/>
      <c r="J118" s="140"/>
      <c r="K118" s="140"/>
      <c r="L118" s="140"/>
      <c r="R118" s="140"/>
    </row>
    <row r="119" spans="2:18" ht="15" customHeight="1">
      <c r="B119" s="138"/>
      <c r="C119" s="138"/>
      <c r="D119" s="139"/>
      <c r="E119" s="140"/>
      <c r="F119" s="140"/>
      <c r="G119" s="140"/>
      <c r="H119" s="140"/>
      <c r="I119" s="140"/>
      <c r="J119" s="140"/>
      <c r="K119" s="140"/>
      <c r="L119" s="140"/>
      <c r="R119" s="140"/>
    </row>
    <row r="120" spans="2:18" ht="15" customHeight="1">
      <c r="B120" s="138"/>
      <c r="C120" s="138"/>
      <c r="D120" s="139"/>
      <c r="E120" s="140"/>
      <c r="F120" s="140"/>
      <c r="G120" s="140"/>
      <c r="H120" s="140"/>
      <c r="I120" s="140"/>
      <c r="J120" s="140"/>
      <c r="K120" s="140"/>
      <c r="L120" s="140"/>
      <c r="R120" s="140"/>
    </row>
    <row r="121" spans="2:18" ht="15" customHeight="1">
      <c r="B121" s="138"/>
      <c r="C121" s="138"/>
      <c r="D121" s="139"/>
      <c r="E121" s="140"/>
      <c r="F121" s="140"/>
      <c r="G121" s="140"/>
      <c r="H121" s="140"/>
      <c r="I121" s="140"/>
      <c r="J121" s="140"/>
      <c r="K121" s="140"/>
      <c r="L121" s="140"/>
      <c r="R121" s="140"/>
    </row>
    <row r="122" spans="2:18" ht="15" customHeight="1">
      <c r="B122" s="138"/>
      <c r="C122" s="138"/>
      <c r="D122" s="139"/>
      <c r="E122" s="140"/>
      <c r="F122" s="140"/>
      <c r="G122" s="140"/>
      <c r="H122" s="140"/>
      <c r="I122" s="140"/>
      <c r="J122" s="140"/>
      <c r="K122" s="140"/>
      <c r="L122" s="140"/>
      <c r="R122" s="140"/>
    </row>
    <row r="123" spans="2:18" ht="15" customHeight="1">
      <c r="B123" s="138"/>
      <c r="C123" s="138"/>
      <c r="D123" s="139"/>
      <c r="E123" s="140"/>
      <c r="F123" s="140"/>
      <c r="G123" s="140"/>
      <c r="H123" s="140"/>
      <c r="I123" s="140"/>
      <c r="J123" s="140"/>
      <c r="K123" s="140"/>
      <c r="L123" s="140"/>
      <c r="R123" s="140"/>
    </row>
    <row r="124" spans="2:18" ht="15" customHeight="1">
      <c r="B124" s="138"/>
      <c r="C124" s="138"/>
      <c r="D124" s="139"/>
      <c r="E124" s="140"/>
      <c r="F124" s="140"/>
      <c r="G124" s="140"/>
      <c r="H124" s="140"/>
      <c r="I124" s="140"/>
      <c r="J124" s="140"/>
      <c r="K124" s="140"/>
      <c r="L124" s="140"/>
      <c r="R124" s="140"/>
    </row>
    <row r="125" spans="2:18" ht="15" customHeight="1">
      <c r="B125" s="138"/>
      <c r="C125" s="138"/>
      <c r="D125" s="139"/>
      <c r="E125" s="140"/>
      <c r="F125" s="140"/>
      <c r="G125" s="140"/>
      <c r="H125" s="140"/>
      <c r="I125" s="140"/>
      <c r="J125" s="140"/>
      <c r="K125" s="140"/>
      <c r="L125" s="140"/>
      <c r="R125" s="140"/>
    </row>
    <row r="126" spans="2:18" ht="15" customHeight="1">
      <c r="B126" s="138"/>
      <c r="C126" s="138"/>
      <c r="D126" s="139"/>
      <c r="E126" s="140"/>
      <c r="F126" s="140"/>
      <c r="G126" s="140"/>
      <c r="H126" s="140"/>
      <c r="I126" s="140"/>
      <c r="J126" s="140"/>
      <c r="K126" s="140"/>
      <c r="L126" s="140"/>
      <c r="R126" s="140"/>
    </row>
    <row r="127" spans="2:18" ht="15" customHeight="1">
      <c r="B127" s="138"/>
      <c r="C127" s="138"/>
      <c r="D127" s="139"/>
      <c r="E127" s="140"/>
      <c r="F127" s="140"/>
      <c r="G127" s="140"/>
      <c r="H127" s="140"/>
      <c r="I127" s="140"/>
      <c r="J127" s="140"/>
      <c r="K127" s="140"/>
      <c r="L127" s="140"/>
      <c r="R127" s="140"/>
    </row>
    <row r="128" spans="2:18" ht="15" customHeight="1">
      <c r="B128" s="138"/>
      <c r="C128" s="138"/>
      <c r="D128" s="139"/>
      <c r="E128" s="140"/>
      <c r="F128" s="140"/>
      <c r="G128" s="140"/>
      <c r="H128" s="140"/>
      <c r="I128" s="140"/>
      <c r="J128" s="140"/>
      <c r="K128" s="140"/>
      <c r="L128" s="140"/>
      <c r="R128" s="140"/>
    </row>
    <row r="129" spans="2:18" ht="15" customHeight="1">
      <c r="B129" s="138"/>
      <c r="C129" s="138"/>
      <c r="D129" s="139"/>
      <c r="E129" s="140"/>
      <c r="F129" s="140"/>
      <c r="G129" s="140"/>
      <c r="H129" s="140"/>
      <c r="I129" s="140"/>
      <c r="J129" s="140"/>
      <c r="K129" s="140"/>
      <c r="L129" s="140"/>
      <c r="R129" s="140"/>
    </row>
    <row r="130" spans="2:18" ht="15" customHeight="1">
      <c r="B130" s="138"/>
      <c r="C130" s="138"/>
      <c r="D130" s="139"/>
      <c r="E130" s="140"/>
      <c r="F130" s="140"/>
      <c r="G130" s="140"/>
      <c r="H130" s="140"/>
      <c r="I130" s="140"/>
      <c r="J130" s="140"/>
      <c r="K130" s="140"/>
      <c r="L130" s="140"/>
      <c r="R130" s="140"/>
    </row>
    <row r="131" spans="2:18" ht="15" customHeight="1">
      <c r="B131" s="138"/>
      <c r="C131" s="138"/>
      <c r="D131" s="139"/>
      <c r="E131" s="140"/>
      <c r="F131" s="140"/>
      <c r="G131" s="140"/>
      <c r="H131" s="140"/>
      <c r="I131" s="140"/>
      <c r="J131" s="140"/>
      <c r="K131" s="140"/>
      <c r="L131" s="140"/>
      <c r="R131" s="140"/>
    </row>
    <row r="132" spans="2:18" ht="15" customHeight="1">
      <c r="B132" s="138"/>
      <c r="C132" s="138"/>
      <c r="D132" s="139"/>
      <c r="E132" s="140"/>
      <c r="F132" s="140"/>
      <c r="G132" s="140"/>
      <c r="H132" s="140"/>
      <c r="I132" s="140"/>
      <c r="J132" s="140"/>
      <c r="K132" s="140"/>
      <c r="L132" s="140"/>
      <c r="R132" s="140"/>
    </row>
    <row r="133" spans="2:18" ht="15" customHeight="1">
      <c r="B133" s="138"/>
      <c r="C133" s="138"/>
      <c r="D133" s="139"/>
      <c r="E133" s="140"/>
      <c r="F133" s="140"/>
      <c r="G133" s="140"/>
      <c r="H133" s="140"/>
      <c r="I133" s="140"/>
      <c r="J133" s="140"/>
      <c r="K133" s="140"/>
      <c r="L133" s="140"/>
      <c r="R133" s="140"/>
    </row>
    <row r="134" spans="2:18" ht="15" customHeight="1">
      <c r="B134" s="138"/>
      <c r="C134" s="138"/>
      <c r="D134" s="139"/>
      <c r="E134" s="140"/>
      <c r="F134" s="140"/>
      <c r="G134" s="140"/>
      <c r="H134" s="140"/>
      <c r="I134" s="140"/>
      <c r="J134" s="140"/>
      <c r="K134" s="140"/>
      <c r="L134" s="140"/>
      <c r="R134" s="140"/>
    </row>
    <row r="135" spans="2:18" ht="15" customHeight="1">
      <c r="B135" s="138"/>
      <c r="C135" s="138"/>
      <c r="D135" s="139"/>
      <c r="E135" s="140"/>
      <c r="F135" s="140"/>
      <c r="G135" s="140"/>
      <c r="H135" s="140"/>
      <c r="I135" s="140"/>
      <c r="J135" s="140"/>
      <c r="K135" s="140"/>
      <c r="L135" s="140"/>
      <c r="R135" s="140"/>
    </row>
    <row r="136" spans="2:18" ht="15" customHeight="1">
      <c r="B136" s="138"/>
      <c r="C136" s="138"/>
      <c r="D136" s="139"/>
      <c r="E136" s="140"/>
      <c r="F136" s="140"/>
      <c r="G136" s="140"/>
      <c r="H136" s="140"/>
      <c r="I136" s="140"/>
      <c r="J136" s="140"/>
      <c r="K136" s="140"/>
      <c r="L136" s="140"/>
      <c r="R136" s="140"/>
    </row>
    <row r="137" spans="2:18" ht="15" customHeight="1">
      <c r="B137" s="138"/>
      <c r="C137" s="138"/>
      <c r="D137" s="139"/>
      <c r="E137" s="140"/>
      <c r="F137" s="140"/>
      <c r="G137" s="140"/>
      <c r="H137" s="140"/>
      <c r="I137" s="140"/>
      <c r="J137" s="140"/>
      <c r="K137" s="140"/>
      <c r="L137" s="140"/>
      <c r="R137" s="140"/>
    </row>
    <row r="138" spans="2:18" ht="15" customHeight="1">
      <c r="B138" s="138"/>
      <c r="C138" s="138"/>
      <c r="D138" s="139"/>
      <c r="E138" s="140"/>
      <c r="F138" s="140"/>
      <c r="G138" s="140"/>
      <c r="H138" s="140"/>
      <c r="I138" s="140"/>
      <c r="J138" s="140"/>
      <c r="K138" s="140"/>
      <c r="L138" s="140"/>
      <c r="R138" s="140"/>
    </row>
    <row r="139" spans="2:18" ht="15" customHeight="1">
      <c r="B139" s="138"/>
      <c r="C139" s="138"/>
      <c r="D139" s="139"/>
      <c r="E139" s="140"/>
      <c r="F139" s="140"/>
      <c r="G139" s="140"/>
      <c r="H139" s="140"/>
      <c r="I139" s="140"/>
      <c r="J139" s="140"/>
      <c r="K139" s="140"/>
      <c r="L139" s="140"/>
      <c r="R139" s="140"/>
    </row>
    <row r="140" spans="2:18" ht="15" customHeight="1">
      <c r="B140" s="138"/>
      <c r="C140" s="138"/>
      <c r="D140" s="139"/>
      <c r="E140" s="140"/>
      <c r="F140" s="140"/>
      <c r="G140" s="140"/>
      <c r="H140" s="140"/>
      <c r="I140" s="140"/>
      <c r="J140" s="140"/>
      <c r="K140" s="140"/>
      <c r="L140" s="140"/>
      <c r="R140" s="140"/>
    </row>
    <row r="141" spans="2:18" ht="15" customHeight="1">
      <c r="B141" s="138"/>
      <c r="C141" s="138"/>
      <c r="D141" s="139"/>
      <c r="E141" s="140"/>
      <c r="F141" s="140"/>
      <c r="G141" s="140"/>
      <c r="H141" s="140"/>
      <c r="I141" s="140"/>
      <c r="J141" s="140"/>
      <c r="K141" s="140"/>
      <c r="L141" s="140"/>
      <c r="R141" s="140"/>
    </row>
    <row r="142" spans="2:18" ht="15" customHeight="1">
      <c r="B142" s="138"/>
      <c r="C142" s="138"/>
      <c r="D142" s="139"/>
      <c r="E142" s="140"/>
      <c r="F142" s="140"/>
      <c r="G142" s="140"/>
      <c r="H142" s="140"/>
      <c r="I142" s="140"/>
      <c r="J142" s="140"/>
      <c r="K142" s="140"/>
      <c r="L142" s="140"/>
      <c r="R142" s="140"/>
    </row>
    <row r="143" spans="2:18" ht="15" customHeight="1">
      <c r="B143" s="138"/>
      <c r="C143" s="138"/>
      <c r="D143" s="139"/>
      <c r="E143" s="140"/>
      <c r="F143" s="140"/>
      <c r="G143" s="140"/>
      <c r="H143" s="140"/>
      <c r="I143" s="140"/>
      <c r="J143" s="140"/>
      <c r="K143" s="140"/>
      <c r="L143" s="140"/>
      <c r="R143" s="140"/>
    </row>
    <row r="144" spans="2:18" ht="15" customHeight="1">
      <c r="B144" s="138"/>
      <c r="C144" s="138"/>
      <c r="D144" s="139"/>
      <c r="E144" s="140"/>
      <c r="F144" s="140"/>
      <c r="G144" s="140"/>
      <c r="H144" s="140"/>
      <c r="I144" s="140"/>
      <c r="J144" s="140"/>
      <c r="K144" s="140"/>
      <c r="L144" s="140"/>
      <c r="R144" s="140"/>
    </row>
    <row r="145" spans="2:18" ht="15" customHeight="1">
      <c r="B145" s="138"/>
      <c r="C145" s="138"/>
      <c r="D145" s="139"/>
      <c r="E145" s="140"/>
      <c r="F145" s="140"/>
      <c r="G145" s="140"/>
      <c r="H145" s="140"/>
      <c r="I145" s="140"/>
      <c r="J145" s="140"/>
      <c r="K145" s="140"/>
      <c r="L145" s="140"/>
      <c r="R145" s="140"/>
    </row>
    <row r="146" spans="2:18" ht="15" customHeight="1">
      <c r="B146" s="138"/>
      <c r="C146" s="138"/>
      <c r="D146" s="139"/>
      <c r="E146" s="140"/>
      <c r="F146" s="140"/>
      <c r="G146" s="140"/>
      <c r="H146" s="140"/>
      <c r="I146" s="140"/>
      <c r="J146" s="140"/>
      <c r="K146" s="140"/>
      <c r="L146" s="140"/>
      <c r="R146" s="140"/>
    </row>
    <row r="147" spans="2:18" ht="15" customHeight="1">
      <c r="B147" s="138"/>
      <c r="C147" s="138"/>
      <c r="D147" s="139"/>
      <c r="E147" s="140"/>
      <c r="F147" s="140"/>
      <c r="G147" s="140"/>
      <c r="H147" s="140"/>
      <c r="I147" s="140"/>
      <c r="J147" s="140"/>
      <c r="K147" s="140"/>
      <c r="L147" s="140"/>
      <c r="R147" s="140"/>
    </row>
    <row r="148" spans="2:18" ht="15" customHeight="1">
      <c r="B148" s="138"/>
      <c r="C148" s="138"/>
      <c r="D148" s="139"/>
      <c r="E148" s="140"/>
      <c r="F148" s="140"/>
      <c r="G148" s="140"/>
      <c r="H148" s="140"/>
      <c r="I148" s="140"/>
      <c r="J148" s="140"/>
      <c r="K148" s="140"/>
      <c r="L148" s="140"/>
      <c r="R148" s="140"/>
    </row>
    <row r="149" spans="2:18" ht="15" customHeight="1">
      <c r="B149" s="138"/>
      <c r="C149" s="138"/>
      <c r="D149" s="139"/>
      <c r="E149" s="140"/>
      <c r="F149" s="140"/>
      <c r="G149" s="140"/>
      <c r="H149" s="140"/>
      <c r="I149" s="140"/>
      <c r="J149" s="140"/>
      <c r="K149" s="140"/>
      <c r="L149" s="140"/>
      <c r="R149" s="140"/>
    </row>
    <row r="150" spans="2:18" ht="15" customHeight="1">
      <c r="B150" s="138"/>
      <c r="C150" s="138"/>
      <c r="D150" s="139"/>
      <c r="E150" s="140"/>
      <c r="F150" s="140"/>
      <c r="G150" s="140"/>
      <c r="H150" s="140"/>
      <c r="I150" s="140"/>
      <c r="J150" s="140"/>
      <c r="K150" s="140"/>
      <c r="L150" s="140"/>
      <c r="R150" s="140"/>
    </row>
    <row r="151" spans="2:18" ht="15" customHeight="1">
      <c r="B151" s="138"/>
      <c r="C151" s="138"/>
      <c r="D151" s="139"/>
      <c r="E151" s="140"/>
      <c r="F151" s="140"/>
      <c r="G151" s="140"/>
      <c r="H151" s="140"/>
      <c r="I151" s="140"/>
      <c r="J151" s="140"/>
      <c r="K151" s="140"/>
      <c r="L151" s="140"/>
      <c r="R151" s="140"/>
    </row>
    <row r="152" spans="2:18" ht="15" customHeight="1">
      <c r="B152" s="138"/>
      <c r="C152" s="138"/>
      <c r="D152" s="139"/>
      <c r="E152" s="140"/>
      <c r="F152" s="140"/>
      <c r="G152" s="140"/>
      <c r="H152" s="140"/>
      <c r="I152" s="140"/>
      <c r="J152" s="140"/>
      <c r="K152" s="140"/>
      <c r="L152" s="140"/>
      <c r="R152" s="140"/>
    </row>
    <row r="153" spans="2:18" ht="15" customHeight="1">
      <c r="B153" s="138"/>
      <c r="C153" s="138"/>
      <c r="D153" s="139"/>
      <c r="E153" s="140"/>
      <c r="F153" s="140"/>
      <c r="G153" s="140"/>
      <c r="H153" s="140"/>
      <c r="I153" s="140"/>
      <c r="J153" s="140"/>
      <c r="K153" s="140"/>
      <c r="L153" s="140"/>
      <c r="R153" s="140"/>
    </row>
    <row r="154" spans="2:18" ht="15" customHeight="1">
      <c r="B154" s="138"/>
      <c r="C154" s="138"/>
      <c r="D154" s="139"/>
      <c r="E154" s="140"/>
      <c r="F154" s="140"/>
      <c r="G154" s="140"/>
      <c r="H154" s="140"/>
      <c r="I154" s="140"/>
      <c r="J154" s="140"/>
      <c r="K154" s="140"/>
      <c r="L154" s="140"/>
      <c r="R154" s="140"/>
    </row>
    <row r="155" spans="2:18" ht="15" customHeight="1">
      <c r="B155" s="138"/>
      <c r="C155" s="138"/>
      <c r="D155" s="139"/>
      <c r="E155" s="140"/>
      <c r="F155" s="140"/>
      <c r="G155" s="140"/>
      <c r="H155" s="140"/>
      <c r="I155" s="140"/>
      <c r="J155" s="140"/>
      <c r="K155" s="140"/>
      <c r="L155" s="140"/>
      <c r="R155" s="140"/>
    </row>
    <row r="156" spans="2:18" ht="15" customHeight="1">
      <c r="B156" s="138"/>
      <c r="C156" s="138"/>
      <c r="D156" s="139"/>
      <c r="E156" s="140"/>
      <c r="F156" s="140"/>
      <c r="G156" s="140"/>
      <c r="H156" s="140"/>
      <c r="I156" s="140"/>
      <c r="J156" s="140"/>
      <c r="K156" s="140"/>
      <c r="L156" s="140"/>
      <c r="R156" s="140"/>
    </row>
    <row r="157" spans="2:18" ht="15" customHeight="1">
      <c r="B157" s="138"/>
      <c r="C157" s="138"/>
      <c r="D157" s="139"/>
      <c r="E157" s="140"/>
      <c r="F157" s="140"/>
      <c r="G157" s="140"/>
      <c r="H157" s="140"/>
      <c r="I157" s="140"/>
      <c r="J157" s="140"/>
      <c r="K157" s="140"/>
      <c r="L157" s="140"/>
      <c r="R157" s="140"/>
    </row>
    <row r="158" spans="2:18" ht="15" customHeight="1">
      <c r="B158" s="138"/>
      <c r="C158" s="138"/>
      <c r="D158" s="139"/>
      <c r="E158" s="140"/>
      <c r="F158" s="140"/>
      <c r="G158" s="140"/>
      <c r="H158" s="140"/>
      <c r="I158" s="140"/>
      <c r="J158" s="140"/>
      <c r="K158" s="140"/>
      <c r="L158" s="140"/>
      <c r="R158" s="140"/>
    </row>
    <row r="159" spans="2:18" ht="15" customHeight="1">
      <c r="B159" s="138"/>
      <c r="C159" s="138"/>
      <c r="D159" s="139"/>
      <c r="E159" s="140"/>
      <c r="F159" s="140"/>
      <c r="G159" s="140"/>
      <c r="H159" s="140"/>
      <c r="I159" s="140"/>
      <c r="J159" s="140"/>
      <c r="K159" s="140"/>
      <c r="L159" s="140"/>
      <c r="R159" s="140"/>
    </row>
    <row r="160" spans="2:18" ht="15" customHeight="1">
      <c r="B160" s="138"/>
      <c r="C160" s="138"/>
      <c r="D160" s="139"/>
      <c r="E160" s="140"/>
      <c r="F160" s="140"/>
      <c r="G160" s="140"/>
      <c r="H160" s="140"/>
      <c r="I160" s="140"/>
      <c r="J160" s="140"/>
      <c r="K160" s="140"/>
      <c r="L160" s="140"/>
      <c r="R160" s="140"/>
    </row>
    <row r="161" spans="2:18" ht="15" customHeight="1">
      <c r="B161" s="138"/>
      <c r="C161" s="138"/>
      <c r="D161" s="139"/>
      <c r="E161" s="140"/>
      <c r="F161" s="140"/>
      <c r="G161" s="140"/>
      <c r="H161" s="140"/>
      <c r="I161" s="140"/>
      <c r="J161" s="140"/>
      <c r="K161" s="140"/>
      <c r="L161" s="140"/>
      <c r="R161" s="140"/>
    </row>
    <row r="162" spans="2:18" ht="15" customHeight="1">
      <c r="B162" s="138"/>
      <c r="C162" s="138"/>
      <c r="D162" s="139"/>
      <c r="E162" s="140"/>
      <c r="F162" s="140"/>
      <c r="G162" s="140"/>
      <c r="H162" s="140"/>
      <c r="I162" s="140"/>
      <c r="J162" s="140"/>
      <c r="K162" s="140"/>
      <c r="L162" s="140"/>
      <c r="R162" s="140"/>
    </row>
    <row r="163" spans="2:18" ht="15" customHeight="1">
      <c r="B163" s="138"/>
      <c r="C163" s="138"/>
      <c r="D163" s="139"/>
      <c r="E163" s="140"/>
      <c r="F163" s="140"/>
      <c r="G163" s="140"/>
      <c r="H163" s="140"/>
      <c r="I163" s="140"/>
      <c r="J163" s="140"/>
      <c r="K163" s="140"/>
      <c r="L163" s="140"/>
      <c r="R163" s="140"/>
    </row>
    <row r="164" spans="2:18" ht="15" customHeight="1">
      <c r="B164" s="138"/>
      <c r="C164" s="138"/>
      <c r="D164" s="139"/>
      <c r="E164" s="140"/>
      <c r="F164" s="140"/>
      <c r="G164" s="140"/>
      <c r="H164" s="140"/>
      <c r="I164" s="140"/>
      <c r="J164" s="140"/>
      <c r="K164" s="140"/>
      <c r="L164" s="140"/>
      <c r="R164" s="140"/>
    </row>
    <row r="165" spans="2:18" ht="15" customHeight="1">
      <c r="B165" s="138"/>
      <c r="C165" s="138"/>
      <c r="D165" s="139"/>
      <c r="E165" s="140"/>
      <c r="F165" s="140"/>
      <c r="G165" s="140"/>
      <c r="H165" s="140"/>
      <c r="I165" s="140"/>
      <c r="J165" s="140"/>
      <c r="K165" s="140"/>
      <c r="L165" s="140"/>
      <c r="R165" s="140"/>
    </row>
    <row r="166" spans="2:18" ht="15" customHeight="1">
      <c r="B166" s="138"/>
      <c r="C166" s="138"/>
      <c r="D166" s="139"/>
      <c r="E166" s="140"/>
      <c r="F166" s="140"/>
      <c r="G166" s="140"/>
      <c r="H166" s="140"/>
      <c r="I166" s="140"/>
      <c r="J166" s="140"/>
      <c r="K166" s="140"/>
      <c r="L166" s="140"/>
      <c r="R166" s="140"/>
    </row>
    <row r="167" spans="2:18" ht="15" customHeight="1">
      <c r="B167" s="138"/>
      <c r="C167" s="138"/>
      <c r="D167" s="139"/>
      <c r="E167" s="140"/>
      <c r="F167" s="140"/>
      <c r="G167" s="140"/>
      <c r="H167" s="140"/>
      <c r="I167" s="140"/>
      <c r="J167" s="140"/>
      <c r="K167" s="140"/>
      <c r="L167" s="140"/>
      <c r="R167" s="140"/>
    </row>
    <row r="168" spans="2:18" ht="15" customHeight="1">
      <c r="B168" s="138"/>
      <c r="C168" s="138"/>
      <c r="D168" s="139"/>
      <c r="E168" s="140"/>
      <c r="F168" s="140"/>
      <c r="G168" s="140"/>
      <c r="H168" s="140"/>
      <c r="I168" s="140"/>
      <c r="J168" s="140"/>
      <c r="K168" s="140"/>
      <c r="L168" s="140"/>
      <c r="R168" s="140"/>
    </row>
    <row r="169" spans="2:18" ht="15" customHeight="1">
      <c r="B169" s="138"/>
      <c r="C169" s="138"/>
      <c r="D169" s="139"/>
      <c r="E169" s="140"/>
      <c r="F169" s="140"/>
      <c r="G169" s="140"/>
      <c r="H169" s="140"/>
      <c r="I169" s="140"/>
      <c r="J169" s="140"/>
      <c r="K169" s="140"/>
      <c r="L169" s="140"/>
      <c r="R169" s="140"/>
    </row>
    <row r="170" spans="2:18" ht="15" customHeight="1">
      <c r="B170" s="138"/>
      <c r="C170" s="138"/>
      <c r="D170" s="139"/>
      <c r="E170" s="140"/>
      <c r="F170" s="140"/>
      <c r="G170" s="140"/>
      <c r="H170" s="140"/>
      <c r="I170" s="140"/>
      <c r="J170" s="140"/>
      <c r="K170" s="140"/>
      <c r="L170" s="140"/>
      <c r="R170" s="140"/>
    </row>
    <row r="171" spans="2:18" ht="15" customHeight="1">
      <c r="B171" s="138"/>
      <c r="C171" s="138"/>
      <c r="D171" s="139"/>
      <c r="E171" s="140"/>
      <c r="F171" s="140"/>
      <c r="G171" s="140"/>
      <c r="H171" s="140"/>
      <c r="I171" s="140"/>
      <c r="J171" s="140"/>
      <c r="K171" s="140"/>
      <c r="L171" s="140"/>
      <c r="R171" s="140"/>
    </row>
    <row r="172" spans="2:18" ht="15" customHeight="1">
      <c r="B172" s="138"/>
      <c r="C172" s="138"/>
      <c r="D172" s="139"/>
      <c r="E172" s="140"/>
      <c r="F172" s="140"/>
      <c r="G172" s="140"/>
      <c r="H172" s="140"/>
      <c r="I172" s="140"/>
      <c r="J172" s="140"/>
      <c r="K172" s="140"/>
      <c r="L172" s="140"/>
      <c r="R172" s="140"/>
    </row>
    <row r="173" spans="2:18" ht="15" customHeight="1">
      <c r="B173" s="138"/>
      <c r="C173" s="138"/>
      <c r="D173" s="139"/>
      <c r="E173" s="140"/>
      <c r="F173" s="140"/>
      <c r="G173" s="140"/>
      <c r="H173" s="140"/>
      <c r="I173" s="140"/>
      <c r="J173" s="140"/>
      <c r="K173" s="140"/>
      <c r="L173" s="140"/>
      <c r="R173" s="140"/>
    </row>
  </sheetData>
  <mergeCells count="6">
    <mergeCell ref="K1:M1"/>
    <mergeCell ref="L7:M7"/>
    <mergeCell ref="E10:J10"/>
    <mergeCell ref="L10:Q10"/>
    <mergeCell ref="E11:J11"/>
    <mergeCell ref="L11:Q11"/>
  </mergeCells>
  <printOptions horizontalCentered="1"/>
  <pageMargins left="0.39370078740157483" right="0.39370078740157483" top="0.39370078740157483" bottom="0.39370078740157483" header="0.31496062992125984" footer="0.31496062992125984"/>
  <pageSetup paperSize="9" scale="7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173"/>
  <sheetViews>
    <sheetView tabSelected="1" view="pageBreakPreview" topLeftCell="A4" zoomScale="95" zoomScaleNormal="84" zoomScaleSheetLayoutView="95" workbookViewId="0">
      <selection activeCell="M12" sqref="M12"/>
    </sheetView>
  </sheetViews>
  <sheetFormatPr defaultColWidth="7.140625" defaultRowHeight="13.5"/>
  <cols>
    <col min="1" max="1" width="1.7109375" style="116" customWidth="1"/>
    <col min="2" max="2" width="12.7109375" style="116" customWidth="1"/>
    <col min="3" max="3" width="7.28515625" style="116" customWidth="1"/>
    <col min="4" max="4" width="10.7109375" style="116" customWidth="1"/>
    <col min="5" max="10" width="7.5703125" style="116" customWidth="1"/>
    <col min="11" max="11" width="1.5703125" style="116" customWidth="1"/>
    <col min="12" max="16" width="7.5703125" style="116" customWidth="1"/>
    <col min="17" max="17" width="7.5703125" style="177" customWidth="1"/>
    <col min="18" max="18" width="1.7109375" style="116" customWidth="1"/>
    <col min="19" max="16384" width="7.140625" style="116"/>
  </cols>
  <sheetData>
    <row r="1" spans="1:18" s="1" customFormat="1" ht="15" customHeight="1">
      <c r="B1" s="2"/>
      <c r="C1" s="2"/>
      <c r="D1" s="3"/>
      <c r="E1" s="201"/>
      <c r="F1" s="201"/>
      <c r="G1" s="201"/>
      <c r="H1" s="201"/>
      <c r="I1" s="201"/>
      <c r="J1" s="201"/>
      <c r="K1" s="297"/>
      <c r="L1" s="297"/>
      <c r="M1" s="297"/>
    </row>
    <row r="2" spans="1:18" s="1" customFormat="1">
      <c r="B2" s="2"/>
      <c r="C2" s="2"/>
      <c r="D2" s="3"/>
      <c r="E2" s="201"/>
      <c r="F2" s="201"/>
      <c r="G2" s="201"/>
      <c r="H2" s="201"/>
      <c r="I2" s="201"/>
      <c r="J2" s="201"/>
      <c r="K2" s="201"/>
      <c r="L2" s="201"/>
      <c r="R2" s="200" t="s">
        <v>7</v>
      </c>
    </row>
    <row r="3" spans="1:18" s="1" customFormat="1">
      <c r="B3" s="2"/>
      <c r="C3" s="2"/>
      <c r="D3" s="3"/>
      <c r="E3" s="201"/>
      <c r="F3" s="201"/>
      <c r="G3" s="201"/>
      <c r="H3" s="201"/>
      <c r="I3" s="201"/>
      <c r="J3" s="201"/>
      <c r="K3" s="201"/>
      <c r="L3" s="201"/>
      <c r="R3" s="5" t="s">
        <v>55</v>
      </c>
    </row>
    <row r="4" spans="1:18" s="1" customFormat="1">
      <c r="B4" s="7"/>
      <c r="C4" s="7"/>
      <c r="D4" s="3"/>
    </row>
    <row r="5" spans="1:18" ht="15" customHeight="1">
      <c r="B5" s="8" t="s">
        <v>88</v>
      </c>
      <c r="C5" s="9" t="s">
        <v>139</v>
      </c>
      <c r="D5" s="117"/>
      <c r="E5" s="118"/>
      <c r="F5" s="118"/>
      <c r="G5" s="118"/>
      <c r="H5" s="118"/>
      <c r="I5" s="118"/>
      <c r="J5" s="118"/>
      <c r="K5" s="118"/>
      <c r="L5" s="118"/>
      <c r="R5" s="118"/>
    </row>
    <row r="6" spans="1:18" ht="15" customHeight="1">
      <c r="B6" s="12" t="s">
        <v>89</v>
      </c>
      <c r="C6" s="13" t="s">
        <v>146</v>
      </c>
      <c r="D6" s="114"/>
      <c r="E6" s="115"/>
      <c r="F6" s="115"/>
      <c r="G6" s="115"/>
      <c r="H6" s="115"/>
      <c r="I6" s="115"/>
      <c r="J6" s="115"/>
      <c r="K6" s="115"/>
      <c r="L6" s="115"/>
      <c r="R6" s="115"/>
    </row>
    <row r="7" spans="1:18" ht="8.1" customHeight="1">
      <c r="B7" s="112"/>
      <c r="C7" s="113"/>
      <c r="D7" s="114"/>
      <c r="E7" s="115"/>
      <c r="F7" s="115"/>
      <c r="G7" s="115"/>
      <c r="H7" s="115"/>
      <c r="I7" s="115"/>
      <c r="J7" s="115"/>
      <c r="K7" s="115"/>
      <c r="L7" s="298"/>
      <c r="M7" s="298"/>
      <c r="R7" s="115"/>
    </row>
    <row r="8" spans="1:18" ht="15.95" customHeight="1" thickBot="1">
      <c r="D8" s="117"/>
      <c r="E8" s="118"/>
      <c r="F8" s="118"/>
      <c r="G8" s="118"/>
      <c r="H8" s="118"/>
      <c r="I8" s="118"/>
      <c r="J8" s="118"/>
      <c r="K8" s="118"/>
      <c r="L8" s="118"/>
      <c r="N8" s="118"/>
      <c r="O8" s="118"/>
      <c r="P8" s="118"/>
      <c r="Q8" s="116"/>
      <c r="R8" s="118"/>
    </row>
    <row r="9" spans="1:18" ht="8.1" customHeight="1" thickTop="1">
      <c r="A9" s="119"/>
      <c r="B9" s="120"/>
      <c r="C9" s="121"/>
      <c r="D9" s="122"/>
      <c r="E9" s="123"/>
      <c r="F9" s="123"/>
      <c r="G9" s="123"/>
      <c r="H9" s="123"/>
      <c r="I9" s="123"/>
      <c r="J9" s="123"/>
      <c r="K9" s="123"/>
      <c r="L9" s="123"/>
      <c r="M9" s="119"/>
      <c r="N9" s="123"/>
      <c r="O9" s="123"/>
      <c r="P9" s="123"/>
      <c r="Q9" s="119"/>
      <c r="R9" s="123"/>
    </row>
    <row r="10" spans="1:18" ht="15" customHeight="1">
      <c r="A10" s="124"/>
      <c r="B10" s="125" t="s">
        <v>90</v>
      </c>
      <c r="C10" s="126"/>
      <c r="D10" s="189" t="s">
        <v>91</v>
      </c>
      <c r="E10" s="290" t="s">
        <v>147</v>
      </c>
      <c r="F10" s="290"/>
      <c r="G10" s="290"/>
      <c r="H10" s="290"/>
      <c r="I10" s="290"/>
      <c r="J10" s="290"/>
      <c r="K10" s="189"/>
      <c r="L10" s="292" t="s">
        <v>126</v>
      </c>
      <c r="M10" s="292"/>
      <c r="N10" s="292"/>
      <c r="O10" s="292"/>
      <c r="P10" s="292"/>
      <c r="Q10" s="292"/>
      <c r="R10" s="189"/>
    </row>
    <row r="11" spans="1:18" ht="15" customHeight="1">
      <c r="A11" s="124"/>
      <c r="B11" s="129" t="s">
        <v>92</v>
      </c>
      <c r="C11" s="126"/>
      <c r="D11" s="130" t="s">
        <v>93</v>
      </c>
      <c r="E11" s="291"/>
      <c r="F11" s="291"/>
      <c r="G11" s="291"/>
      <c r="H11" s="291"/>
      <c r="I11" s="291"/>
      <c r="J11" s="291"/>
      <c r="K11" s="191"/>
      <c r="L11" s="293" t="s">
        <v>134</v>
      </c>
      <c r="M11" s="293"/>
      <c r="N11" s="293"/>
      <c r="O11" s="293"/>
      <c r="P11" s="293"/>
      <c r="Q11" s="293"/>
      <c r="R11" s="191"/>
    </row>
    <row r="12" spans="1:18" ht="15" customHeight="1">
      <c r="A12" s="124"/>
      <c r="B12" s="125"/>
      <c r="C12" s="126"/>
      <c r="D12" s="189"/>
      <c r="E12" s="172"/>
      <c r="F12" s="172"/>
      <c r="G12" s="192"/>
      <c r="H12" s="192"/>
      <c r="I12" s="192"/>
      <c r="J12" s="192"/>
      <c r="K12" s="192"/>
      <c r="L12" s="192"/>
      <c r="M12" s="192"/>
      <c r="N12" s="192"/>
      <c r="O12" s="192"/>
      <c r="P12" s="192"/>
      <c r="Q12" s="192"/>
      <c r="R12" s="192"/>
    </row>
    <row r="13" spans="1:18" ht="15" customHeight="1">
      <c r="A13" s="124"/>
      <c r="B13" s="125"/>
      <c r="C13" s="126"/>
      <c r="D13" s="189"/>
      <c r="E13" s="278" t="s">
        <v>112</v>
      </c>
      <c r="F13" s="278" t="s">
        <v>113</v>
      </c>
      <c r="G13" s="278" t="s">
        <v>114</v>
      </c>
      <c r="H13" s="278" t="s">
        <v>115</v>
      </c>
      <c r="I13" s="278" t="s">
        <v>116</v>
      </c>
      <c r="J13" s="278" t="s">
        <v>132</v>
      </c>
      <c r="K13" s="278"/>
      <c r="L13" s="278" t="s">
        <v>112</v>
      </c>
      <c r="M13" s="278" t="s">
        <v>113</v>
      </c>
      <c r="N13" s="278" t="s">
        <v>114</v>
      </c>
      <c r="O13" s="278" t="s">
        <v>115</v>
      </c>
      <c r="P13" s="278" t="s">
        <v>116</v>
      </c>
      <c r="Q13" s="278" t="s">
        <v>132</v>
      </c>
      <c r="R13" s="230"/>
    </row>
    <row r="14" spans="1:18" ht="8.1" customHeight="1">
      <c r="A14" s="135"/>
      <c r="B14" s="136"/>
      <c r="C14" s="135"/>
      <c r="D14" s="135"/>
      <c r="E14" s="137"/>
      <c r="F14" s="137"/>
      <c r="G14" s="137"/>
      <c r="H14" s="137"/>
      <c r="I14" s="137"/>
      <c r="J14" s="137"/>
      <c r="K14" s="137"/>
      <c r="L14" s="137"/>
      <c r="M14" s="135"/>
      <c r="N14" s="135"/>
      <c r="O14" s="224"/>
      <c r="P14" s="224"/>
      <c r="Q14" s="224"/>
      <c r="R14" s="137"/>
    </row>
    <row r="15" spans="1:18" ht="8.1" customHeight="1">
      <c r="A15" s="138"/>
      <c r="B15" s="138"/>
      <c r="C15" s="138"/>
      <c r="D15" s="146"/>
      <c r="E15" s="140"/>
      <c r="F15" s="140"/>
      <c r="G15" s="140"/>
      <c r="H15" s="141"/>
      <c r="I15" s="142"/>
      <c r="J15" s="142"/>
      <c r="K15" s="142"/>
      <c r="L15" s="143"/>
      <c r="M15" s="142"/>
      <c r="N15" s="142"/>
      <c r="R15" s="142"/>
    </row>
    <row r="16" spans="1:18" ht="15" customHeight="1">
      <c r="B16" s="144" t="s">
        <v>107</v>
      </c>
      <c r="C16" s="145"/>
      <c r="D16" s="147">
        <v>2021</v>
      </c>
      <c r="E16" s="211">
        <f>SUM('7.4 (L) (2)'!E16,'7.4 (P) (2)'!E16)</f>
        <v>60</v>
      </c>
      <c r="F16" s="211">
        <f>SUM('7.4 (L) (2)'!F16,'7.4 (P) (2)'!F16)</f>
        <v>337</v>
      </c>
      <c r="G16" s="211">
        <f>SUM('7.4 (L) (2)'!G16,'7.4 (P) (2)'!G16)</f>
        <v>390</v>
      </c>
      <c r="H16" s="211">
        <f>SUM('7.4 (L) (2)'!H16,'7.4 (P) (2)'!H16)</f>
        <v>318</v>
      </c>
      <c r="I16" s="211">
        <f>SUM('7.4 (L) (2)'!I16,'7.4 (P) (2)'!I16)</f>
        <v>216</v>
      </c>
      <c r="J16" s="211">
        <f>SUM('7.4 (L) (2)'!J16,'7.4 (P) (2)'!J16)</f>
        <v>139</v>
      </c>
      <c r="K16" s="211"/>
      <c r="L16" s="211">
        <f>SUM('7.4 (L) (2)'!L16,'7.4 (P) (2)'!L16)</f>
        <v>1182</v>
      </c>
      <c r="M16" s="211">
        <f>SUM('7.4 (L) (2)'!M16,'7.4 (P) (2)'!M16)</f>
        <v>3777</v>
      </c>
      <c r="N16" s="211">
        <f>SUM('7.4 (L) (2)'!N16,'7.4 (P) (2)'!N16)</f>
        <v>2372</v>
      </c>
      <c r="O16" s="211">
        <f>SUM('7.4 (L) (2)'!O16,'7.4 (P) (2)'!O16)</f>
        <v>1481</v>
      </c>
      <c r="P16" s="211">
        <f>SUM('7.4 (L) (2)'!P16,'7.4 (P) (2)'!P16)</f>
        <v>566</v>
      </c>
      <c r="Q16" s="211">
        <f>SUM('7.4 (L) (2)'!Q16,'7.4 (P) (2)'!Q16)</f>
        <v>121</v>
      </c>
      <c r="R16" s="211"/>
    </row>
    <row r="17" spans="2:18" ht="15" customHeight="1">
      <c r="B17" s="145"/>
      <c r="C17" s="145"/>
      <c r="D17" s="146">
        <v>2022</v>
      </c>
      <c r="E17" s="211">
        <f>SUM('7.4 (L) (2)'!E17,'7.4 (P) (2)'!E17)</f>
        <v>26</v>
      </c>
      <c r="F17" s="211">
        <f>SUM('7.4 (L) (2)'!F17,'7.4 (P) (2)'!F17)</f>
        <v>211</v>
      </c>
      <c r="G17" s="211">
        <f>SUM('7.4 (L) (2)'!G17,'7.4 (P) (2)'!G17)</f>
        <v>154</v>
      </c>
      <c r="H17" s="211">
        <f>SUM('7.4 (L) (2)'!H17,'7.4 (P) (2)'!H17)</f>
        <v>181</v>
      </c>
      <c r="I17" s="211">
        <f>SUM('7.4 (L) (2)'!I17,'7.4 (P) (2)'!I17)</f>
        <v>124</v>
      </c>
      <c r="J17" s="211">
        <f>SUM('7.4 (L) (2)'!J17,'7.4 (P) (2)'!J17)</f>
        <v>96</v>
      </c>
      <c r="K17" s="211"/>
      <c r="L17" s="211">
        <f>SUM('7.4 (L) (2)'!L17,'7.4 (P) (2)'!L17)</f>
        <v>911</v>
      </c>
      <c r="M17" s="211">
        <f>SUM('7.4 (L) (2)'!M17,'7.4 (P) (2)'!M17)</f>
        <v>3599</v>
      </c>
      <c r="N17" s="211">
        <f>SUM('7.4 (L) (2)'!N17,'7.4 (P) (2)'!N17)</f>
        <v>2547</v>
      </c>
      <c r="O17" s="211">
        <f>SUM('7.4 (L) (2)'!O17,'7.4 (P) (2)'!O17)</f>
        <v>1457</v>
      </c>
      <c r="P17" s="211">
        <f>SUM('7.4 (L) (2)'!P17,'7.4 (P) (2)'!P17)</f>
        <v>603</v>
      </c>
      <c r="Q17" s="211">
        <f>SUM('7.4 (L) (2)'!Q17,'7.4 (P) (2)'!Q17)</f>
        <v>141</v>
      </c>
      <c r="R17" s="211"/>
    </row>
    <row r="18" spans="2:18" ht="15" customHeight="1">
      <c r="B18" s="145"/>
      <c r="C18" s="145"/>
      <c r="D18" s="146">
        <v>2023</v>
      </c>
      <c r="E18" s="211">
        <f>SUM('7.4 (L) (2)'!E18,'7.4 (P) (2)'!E18)</f>
        <v>32</v>
      </c>
      <c r="F18" s="211">
        <f>SUM('7.4 (L) (2)'!F18,'7.4 (P) (2)'!F18)</f>
        <v>178</v>
      </c>
      <c r="G18" s="211">
        <f>SUM('7.4 (L) (2)'!G18,'7.4 (P) (2)'!G18)</f>
        <v>199</v>
      </c>
      <c r="H18" s="211">
        <f>SUM('7.4 (L) (2)'!H18,'7.4 (P) (2)'!H18)</f>
        <v>227</v>
      </c>
      <c r="I18" s="211">
        <f>SUM('7.4 (L) (2)'!I18,'7.4 (P) (2)'!I18)</f>
        <v>151</v>
      </c>
      <c r="J18" s="211">
        <f>SUM('7.4 (L) (2)'!J18,'7.4 (P) (2)'!J18)</f>
        <v>148</v>
      </c>
      <c r="K18" s="211"/>
      <c r="L18" s="211">
        <f>SUM('7.4 (L) (2)'!L18,'7.4 (P) (2)'!L18)</f>
        <v>964</v>
      </c>
      <c r="M18" s="211">
        <f>SUM('7.4 (L) (2)'!M18,'7.4 (P) (2)'!M18)</f>
        <v>4092</v>
      </c>
      <c r="N18" s="211">
        <f>SUM('7.4 (L) (2)'!N18,'7.4 (P) (2)'!N18)</f>
        <v>3172</v>
      </c>
      <c r="O18" s="211">
        <f>SUM('7.4 (L) (2)'!O18,'7.4 (P) (2)'!O18)</f>
        <v>1995</v>
      </c>
      <c r="P18" s="211">
        <f>SUM('7.4 (L) (2)'!P18,'7.4 (P) (2)'!P18)</f>
        <v>953</v>
      </c>
      <c r="Q18" s="211">
        <f>SUM('7.4 (L) (2)'!Q18,'7.4 (P) (2)'!Q18)</f>
        <v>297</v>
      </c>
      <c r="R18" s="211"/>
    </row>
    <row r="19" spans="2:18" ht="8.1" customHeight="1">
      <c r="B19" s="145"/>
      <c r="C19" s="148"/>
      <c r="D19" s="149"/>
      <c r="E19" s="179"/>
      <c r="F19" s="184"/>
      <c r="G19" s="184"/>
      <c r="H19" s="184"/>
      <c r="I19" s="184"/>
      <c r="J19" s="184"/>
      <c r="K19" s="184"/>
      <c r="L19" s="184"/>
      <c r="M19" s="185"/>
      <c r="N19" s="185"/>
      <c r="O19" s="186"/>
      <c r="P19" s="186"/>
      <c r="Q19" s="186"/>
      <c r="R19" s="184"/>
    </row>
    <row r="20" spans="2:18" ht="15" customHeight="1">
      <c r="B20" s="151" t="s">
        <v>94</v>
      </c>
      <c r="C20" s="152"/>
      <c r="D20" s="149">
        <v>2021</v>
      </c>
      <c r="E20" s="211">
        <f>SUM('7.4 (L) (2)'!E20,'7.4 (P) (2)'!E20)</f>
        <v>4</v>
      </c>
      <c r="F20" s="211">
        <f>SUM('7.4 (L) (2)'!F20,'7.4 (P) (2)'!F20)</f>
        <v>21</v>
      </c>
      <c r="G20" s="211">
        <f>SUM('7.4 (L) (2)'!G20,'7.4 (P) (2)'!G20)</f>
        <v>32</v>
      </c>
      <c r="H20" s="211">
        <f>SUM('7.4 (L) (2)'!H20,'7.4 (P) (2)'!H20)</f>
        <v>28</v>
      </c>
      <c r="I20" s="211">
        <f>SUM('7.4 (L) (2)'!I20,'7.4 (P) (2)'!I20)</f>
        <v>21</v>
      </c>
      <c r="J20" s="211">
        <f>SUM('7.4 (L) (2)'!J20,'7.4 (P) (2)'!J20)</f>
        <v>16</v>
      </c>
      <c r="K20" s="223"/>
      <c r="L20" s="223">
        <f>SUM('7.4 (L) (2)'!L20,'7.4 (P) (2)'!L20)</f>
        <v>97</v>
      </c>
      <c r="M20" s="223">
        <f>SUM('7.4 (L) (2)'!M20,'7.4 (P) (2)'!M20)</f>
        <v>328</v>
      </c>
      <c r="N20" s="223">
        <f>SUM('7.4 (L) (2)'!N20,'7.4 (P) (2)'!N20)</f>
        <v>213</v>
      </c>
      <c r="O20" s="223">
        <f>SUM('7.4 (L) (2)'!O20,'7.4 (P) (2)'!O20)</f>
        <v>140</v>
      </c>
      <c r="P20" s="223">
        <f>SUM('7.4 (L) (2)'!P20,'7.4 (P) (2)'!P20)</f>
        <v>49</v>
      </c>
      <c r="Q20" s="223">
        <f>SUM('7.4 (L) (2)'!Q20,'7.4 (P) (2)'!Q20)</f>
        <v>17</v>
      </c>
      <c r="R20" s="222"/>
    </row>
    <row r="21" spans="2:18" ht="15" customHeight="1">
      <c r="B21" s="153"/>
      <c r="C21" s="152"/>
      <c r="D21" s="149">
        <v>2022</v>
      </c>
      <c r="E21" s="211">
        <f>SUM('7.4 (L) (2)'!E21,'7.4 (P) (2)'!E21)</f>
        <v>3</v>
      </c>
      <c r="F21" s="211">
        <f>SUM('7.4 (L) (2)'!F21,'7.4 (P) (2)'!F21)</f>
        <v>20</v>
      </c>
      <c r="G21" s="211">
        <f>SUM('7.4 (L) (2)'!G21,'7.4 (P) (2)'!G21)</f>
        <v>11</v>
      </c>
      <c r="H21" s="211">
        <f>SUM('7.4 (L) (2)'!H21,'7.4 (P) (2)'!H21)</f>
        <v>17</v>
      </c>
      <c r="I21" s="211">
        <f>SUM('7.4 (L) (2)'!I21,'7.4 (P) (2)'!I21)</f>
        <v>15</v>
      </c>
      <c r="J21" s="211">
        <f>SUM('7.4 (L) (2)'!J21,'7.4 (P) (2)'!J21)</f>
        <v>11</v>
      </c>
      <c r="K21" s="223"/>
      <c r="L21" s="223">
        <f>SUM('7.4 (L) (2)'!L21,'7.4 (P) (2)'!L21)</f>
        <v>94</v>
      </c>
      <c r="M21" s="223">
        <f>SUM('7.4 (L) (2)'!M21,'7.4 (P) (2)'!M21)</f>
        <v>314</v>
      </c>
      <c r="N21" s="223">
        <f>SUM('7.4 (L) (2)'!N21,'7.4 (P) (2)'!N21)</f>
        <v>241</v>
      </c>
      <c r="O21" s="223">
        <f>SUM('7.4 (L) (2)'!O21,'7.4 (P) (2)'!O21)</f>
        <v>166</v>
      </c>
      <c r="P21" s="223">
        <f>SUM('7.4 (L) (2)'!P21,'7.4 (P) (2)'!P21)</f>
        <v>62</v>
      </c>
      <c r="Q21" s="223">
        <f>SUM('7.4 (L) (2)'!Q21,'7.4 (P) (2)'!Q21)</f>
        <v>12</v>
      </c>
      <c r="R21" s="222"/>
    </row>
    <row r="22" spans="2:18" ht="15" customHeight="1">
      <c r="B22" s="153"/>
      <c r="C22" s="152"/>
      <c r="D22" s="149">
        <v>2023</v>
      </c>
      <c r="E22" s="211">
        <f>SUM('7.4 (L) (2)'!E22,'7.4 (P) (2)'!E22)</f>
        <v>1</v>
      </c>
      <c r="F22" s="211">
        <f>SUM('7.4 (L) (2)'!F22,'7.4 (P) (2)'!F22)</f>
        <v>14</v>
      </c>
      <c r="G22" s="211">
        <f>SUM('7.4 (L) (2)'!G22,'7.4 (P) (2)'!G22)</f>
        <v>11</v>
      </c>
      <c r="H22" s="211">
        <f>SUM('7.4 (L) (2)'!H22,'7.4 (P) (2)'!H22)</f>
        <v>29</v>
      </c>
      <c r="I22" s="211">
        <f>SUM('7.4 (L) (2)'!I22,'7.4 (P) (2)'!I22)</f>
        <v>23</v>
      </c>
      <c r="J22" s="211">
        <f>SUM('7.4 (L) (2)'!J22,'7.4 (P) (2)'!J22)</f>
        <v>13</v>
      </c>
      <c r="K22" s="223"/>
      <c r="L22" s="223">
        <f>SUM('7.4 (L) (2)'!L22,'7.4 (P) (2)'!L22)</f>
        <v>85</v>
      </c>
      <c r="M22" s="223">
        <f>SUM('7.4 (L) (2)'!M22,'7.4 (P) (2)'!M22)</f>
        <v>396</v>
      </c>
      <c r="N22" s="223">
        <f>SUM('7.4 (L) (2)'!N22,'7.4 (P) (2)'!N22)</f>
        <v>306</v>
      </c>
      <c r="O22" s="223">
        <f>SUM('7.4 (L) (2)'!O22,'7.4 (P) (2)'!O22)</f>
        <v>212</v>
      </c>
      <c r="P22" s="223">
        <f>SUM('7.4 (L) (2)'!P22,'7.4 (P) (2)'!P22)</f>
        <v>95</v>
      </c>
      <c r="Q22" s="223">
        <f>SUM('7.4 (L) (2)'!Q22,'7.4 (P) (2)'!Q22)</f>
        <v>23</v>
      </c>
      <c r="R22" s="222"/>
    </row>
    <row r="23" spans="2:18" ht="8.1" customHeight="1">
      <c r="B23" s="153"/>
      <c r="C23" s="154"/>
      <c r="D23" s="149"/>
      <c r="E23" s="150"/>
      <c r="F23" s="203"/>
      <c r="G23" s="203"/>
      <c r="H23" s="203"/>
      <c r="I23" s="203"/>
      <c r="J23" s="203"/>
      <c r="K23" s="203"/>
      <c r="L23" s="203"/>
      <c r="M23" s="204"/>
      <c r="N23" s="204"/>
      <c r="O23" s="204"/>
      <c r="P23" s="204"/>
      <c r="Q23" s="204"/>
      <c r="R23" s="203"/>
    </row>
    <row r="24" spans="2:18" ht="15" customHeight="1">
      <c r="B24" s="151" t="s">
        <v>95</v>
      </c>
      <c r="C24" s="152"/>
      <c r="D24" s="149">
        <v>2021</v>
      </c>
      <c r="E24" s="211">
        <f>SUM('7.4 (L) (2)'!E24,'7.4 (P) (2)'!E24)</f>
        <v>3</v>
      </c>
      <c r="F24" s="211">
        <f>SUM('7.4 (L) (2)'!F24,'7.4 (P) (2)'!F24)</f>
        <v>23</v>
      </c>
      <c r="G24" s="211">
        <f>SUM('7.4 (L) (2)'!G24,'7.4 (P) (2)'!G24)</f>
        <v>25</v>
      </c>
      <c r="H24" s="211">
        <f>SUM('7.4 (L) (2)'!H24,'7.4 (P) (2)'!H24)</f>
        <v>16</v>
      </c>
      <c r="I24" s="211">
        <f>SUM('7.4 (L) (2)'!I24,'7.4 (P) (2)'!I24)</f>
        <v>15</v>
      </c>
      <c r="J24" s="211">
        <f>SUM('7.4 (L) (2)'!J24,'7.4 (P) (2)'!J24)</f>
        <v>16</v>
      </c>
      <c r="K24" s="223"/>
      <c r="L24" s="223">
        <f>SUM('7.4 (L) (2)'!L24,'7.4 (P) (2)'!L24)</f>
        <v>77</v>
      </c>
      <c r="M24" s="223">
        <f>SUM('7.4 (L) (2)'!M24,'7.4 (P) (2)'!M24)</f>
        <v>260</v>
      </c>
      <c r="N24" s="223">
        <f>SUM('7.4 (L) (2)'!N24,'7.4 (P) (2)'!N24)</f>
        <v>138</v>
      </c>
      <c r="O24" s="223">
        <f>SUM('7.4 (L) (2)'!O24,'7.4 (P) (2)'!O24)</f>
        <v>84</v>
      </c>
      <c r="P24" s="223">
        <f>SUM('7.4 (L) (2)'!P24,'7.4 (P) (2)'!P24)</f>
        <v>36</v>
      </c>
      <c r="Q24" s="223">
        <f>SUM('7.4 (L) (2)'!Q24,'7.4 (P) (2)'!Q24)</f>
        <v>4</v>
      </c>
      <c r="R24" s="222"/>
    </row>
    <row r="25" spans="2:18" ht="15" customHeight="1">
      <c r="B25" s="151"/>
      <c r="C25" s="152"/>
      <c r="D25" s="149">
        <v>2022</v>
      </c>
      <c r="E25" s="260" t="s">
        <v>22</v>
      </c>
      <c r="F25" s="211">
        <f>SUM('7.4 (L) (2)'!F25,'7.4 (P) (2)'!F25)</f>
        <v>21</v>
      </c>
      <c r="G25" s="211">
        <f>SUM('7.4 (L) (2)'!G25,'7.4 (P) (2)'!G25)</f>
        <v>7</v>
      </c>
      <c r="H25" s="211">
        <f>SUM('7.4 (L) (2)'!H25,'7.4 (P) (2)'!H25)</f>
        <v>9</v>
      </c>
      <c r="I25" s="211">
        <f>SUM('7.4 (L) (2)'!I25,'7.4 (P) (2)'!I25)</f>
        <v>13</v>
      </c>
      <c r="J25" s="211">
        <f>SUM('7.4 (L) (2)'!J25,'7.4 (P) (2)'!J25)</f>
        <v>6</v>
      </c>
      <c r="K25" s="223"/>
      <c r="L25" s="223">
        <f>SUM('7.4 (L) (2)'!L25,'7.4 (P) (2)'!L25)</f>
        <v>73</v>
      </c>
      <c r="M25" s="223">
        <f>SUM('7.4 (L) (2)'!M25,'7.4 (P) (2)'!M25)</f>
        <v>229</v>
      </c>
      <c r="N25" s="223">
        <f>SUM('7.4 (L) (2)'!N25,'7.4 (P) (2)'!N25)</f>
        <v>136</v>
      </c>
      <c r="O25" s="223">
        <f>SUM('7.4 (L) (2)'!O25,'7.4 (P) (2)'!O25)</f>
        <v>69</v>
      </c>
      <c r="P25" s="223">
        <f>SUM('7.4 (L) (2)'!P25,'7.4 (P) (2)'!P25)</f>
        <v>32</v>
      </c>
      <c r="Q25" s="223">
        <f>SUM('7.4 (L) (2)'!Q25,'7.4 (P) (2)'!Q25)</f>
        <v>6</v>
      </c>
      <c r="R25" s="222"/>
    </row>
    <row r="26" spans="2:18" ht="15" customHeight="1">
      <c r="B26" s="151"/>
      <c r="C26" s="152"/>
      <c r="D26" s="149">
        <v>2023</v>
      </c>
      <c r="E26" s="211">
        <f>SUM('7.4 (L) (2)'!E26,'7.4 (P) (2)'!E26)</f>
        <v>4</v>
      </c>
      <c r="F26" s="211">
        <f>SUM('7.4 (L) (2)'!F26,'7.4 (P) (2)'!F26)</f>
        <v>13</v>
      </c>
      <c r="G26" s="211">
        <f>SUM('7.4 (L) (2)'!G26,'7.4 (P) (2)'!G26)</f>
        <v>22</v>
      </c>
      <c r="H26" s="211">
        <f>SUM('7.4 (L) (2)'!H26,'7.4 (P) (2)'!H26)</f>
        <v>23</v>
      </c>
      <c r="I26" s="211">
        <f>SUM('7.4 (L) (2)'!I26,'7.4 (P) (2)'!I26)</f>
        <v>11</v>
      </c>
      <c r="J26" s="211">
        <f>SUM('7.4 (L) (2)'!J26,'7.4 (P) (2)'!J26)</f>
        <v>8</v>
      </c>
      <c r="K26" s="223"/>
      <c r="L26" s="223">
        <f>SUM('7.4 (L) (2)'!L26,'7.4 (P) (2)'!L26)</f>
        <v>50</v>
      </c>
      <c r="M26" s="223">
        <f>SUM('7.4 (L) (2)'!M26,'7.4 (P) (2)'!M26)</f>
        <v>208</v>
      </c>
      <c r="N26" s="223">
        <f>SUM('7.4 (L) (2)'!N26,'7.4 (P) (2)'!N26)</f>
        <v>171</v>
      </c>
      <c r="O26" s="223">
        <f>SUM('7.4 (L) (2)'!O26,'7.4 (P) (2)'!O26)</f>
        <v>93</v>
      </c>
      <c r="P26" s="223">
        <f>SUM('7.4 (L) (2)'!P26,'7.4 (P) (2)'!P26)</f>
        <v>39</v>
      </c>
      <c r="Q26" s="223">
        <f>SUM('7.4 (L) (2)'!Q26,'7.4 (P) (2)'!Q26)</f>
        <v>12</v>
      </c>
      <c r="R26" s="222"/>
    </row>
    <row r="27" spans="2:18" ht="8.1" customHeight="1">
      <c r="B27" s="151"/>
      <c r="C27" s="154"/>
      <c r="D27" s="149"/>
      <c r="E27" s="150"/>
      <c r="F27" s="203"/>
      <c r="G27" s="203"/>
      <c r="H27" s="203"/>
      <c r="I27" s="203"/>
      <c r="J27" s="203"/>
      <c r="K27" s="203"/>
      <c r="L27" s="203"/>
      <c r="M27" s="204"/>
      <c r="N27" s="204"/>
      <c r="O27" s="204"/>
      <c r="P27" s="204"/>
      <c r="Q27" s="204"/>
      <c r="R27" s="203"/>
    </row>
    <row r="28" spans="2:18" ht="15" customHeight="1">
      <c r="B28" s="151" t="s">
        <v>96</v>
      </c>
      <c r="C28" s="152"/>
      <c r="D28" s="149">
        <v>2021</v>
      </c>
      <c r="E28" s="211">
        <f>SUM('7.4 (L) (2)'!E28,'7.4 (P) (2)'!E28)</f>
        <v>4</v>
      </c>
      <c r="F28" s="211">
        <f>SUM('7.4 (L) (2)'!F28,'7.4 (P) (2)'!F28)</f>
        <v>16</v>
      </c>
      <c r="G28" s="211">
        <f>SUM('7.4 (L) (2)'!G28,'7.4 (P) (2)'!G28)</f>
        <v>12</v>
      </c>
      <c r="H28" s="211">
        <f>SUM('7.4 (L) (2)'!H28,'7.4 (P) (2)'!H28)</f>
        <v>8</v>
      </c>
      <c r="I28" s="211">
        <f>SUM('7.4 (L) (2)'!I28,'7.4 (P) (2)'!I28)</f>
        <v>8</v>
      </c>
      <c r="J28" s="211">
        <f>SUM('7.4 (L) (2)'!J28,'7.4 (P) (2)'!J28)</f>
        <v>2</v>
      </c>
      <c r="K28" s="223"/>
      <c r="L28" s="223">
        <f>SUM('7.4 (L) (2)'!L28,'7.4 (P) (2)'!L28)</f>
        <v>70</v>
      </c>
      <c r="M28" s="223">
        <f>SUM('7.4 (L) (2)'!M28,'7.4 (P) (2)'!M28)</f>
        <v>140</v>
      </c>
      <c r="N28" s="223">
        <f>SUM('7.4 (L) (2)'!N28,'7.4 (P) (2)'!N28)</f>
        <v>80</v>
      </c>
      <c r="O28" s="223">
        <f>SUM('7.4 (L) (2)'!O28,'7.4 (P) (2)'!O28)</f>
        <v>42</v>
      </c>
      <c r="P28" s="223">
        <f>SUM('7.4 (L) (2)'!P28,'7.4 (P) (2)'!P28)</f>
        <v>18</v>
      </c>
      <c r="Q28" s="260" t="s">
        <v>22</v>
      </c>
      <c r="R28" s="222"/>
    </row>
    <row r="29" spans="2:18" ht="15" customHeight="1">
      <c r="B29" s="153"/>
      <c r="C29" s="152"/>
      <c r="D29" s="149">
        <v>2022</v>
      </c>
      <c r="E29" s="211">
        <f>SUM('7.4 (L) (2)'!E29,'7.4 (P) (2)'!E29)</f>
        <v>1</v>
      </c>
      <c r="F29" s="211">
        <f>SUM('7.4 (L) (2)'!F29,'7.4 (P) (2)'!F29)</f>
        <v>6</v>
      </c>
      <c r="G29" s="211">
        <f>SUM('7.4 (L) (2)'!G29,'7.4 (P) (2)'!G29)</f>
        <v>8</v>
      </c>
      <c r="H29" s="211">
        <f>SUM('7.4 (L) (2)'!H29,'7.4 (P) (2)'!H29)</f>
        <v>6</v>
      </c>
      <c r="I29" s="211">
        <f>SUM('7.4 (L) (2)'!I29,'7.4 (P) (2)'!I29)</f>
        <v>6</v>
      </c>
      <c r="J29" s="211">
        <f>SUM('7.4 (L) (2)'!J29,'7.4 (P) (2)'!J29)</f>
        <v>2</v>
      </c>
      <c r="K29" s="223"/>
      <c r="L29" s="223">
        <f>SUM('7.4 (L) (2)'!L29,'7.4 (P) (2)'!L29)</f>
        <v>41</v>
      </c>
      <c r="M29" s="223">
        <f>SUM('7.4 (L) (2)'!M29,'7.4 (P) (2)'!M29)</f>
        <v>128</v>
      </c>
      <c r="N29" s="223">
        <f>SUM('7.4 (L) (2)'!N29,'7.4 (P) (2)'!N29)</f>
        <v>70</v>
      </c>
      <c r="O29" s="223">
        <f>SUM('7.4 (L) (2)'!O29,'7.4 (P) (2)'!O29)</f>
        <v>42</v>
      </c>
      <c r="P29" s="223">
        <f>SUM('7.4 (L) (2)'!P29,'7.4 (P) (2)'!P29)</f>
        <v>14</v>
      </c>
      <c r="Q29" s="223">
        <f>SUM('7.4 (L) (2)'!Q29,'7.4 (P) (2)'!Q29)</f>
        <v>3</v>
      </c>
      <c r="R29" s="222"/>
    </row>
    <row r="30" spans="2:18" ht="15" customHeight="1">
      <c r="B30" s="153"/>
      <c r="C30" s="152"/>
      <c r="D30" s="149">
        <v>2023</v>
      </c>
      <c r="E30" s="211">
        <f>SUM('7.4 (L) (2)'!E30,'7.4 (P) (2)'!E30)</f>
        <v>2</v>
      </c>
      <c r="F30" s="211">
        <f>SUM('7.4 (L) (2)'!F30,'7.4 (P) (2)'!F30)</f>
        <v>4</v>
      </c>
      <c r="G30" s="211">
        <f>SUM('7.4 (L) (2)'!G30,'7.4 (P) (2)'!G30)</f>
        <v>6</v>
      </c>
      <c r="H30" s="211">
        <f>SUM('7.4 (L) (2)'!H30,'7.4 (P) (2)'!H30)</f>
        <v>8</v>
      </c>
      <c r="I30" s="211">
        <f>SUM('7.4 (L) (2)'!I30,'7.4 (P) (2)'!I30)</f>
        <v>4</v>
      </c>
      <c r="J30" s="211">
        <f>SUM('7.4 (L) (2)'!J30,'7.4 (P) (2)'!J30)</f>
        <v>4</v>
      </c>
      <c r="K30" s="223"/>
      <c r="L30" s="223">
        <f>SUM('7.4 (L) (2)'!L30,'7.4 (P) (2)'!L30)</f>
        <v>20</v>
      </c>
      <c r="M30" s="223">
        <f>SUM('7.4 (L) (2)'!M30,'7.4 (P) (2)'!M30)</f>
        <v>117</v>
      </c>
      <c r="N30" s="223">
        <f>SUM('7.4 (L) (2)'!N30,'7.4 (P) (2)'!N30)</f>
        <v>93</v>
      </c>
      <c r="O30" s="223">
        <f>SUM('7.4 (L) (2)'!O30,'7.4 (P) (2)'!O30)</f>
        <v>53</v>
      </c>
      <c r="P30" s="223">
        <f>SUM('7.4 (L) (2)'!P30,'7.4 (P) (2)'!P30)</f>
        <v>20</v>
      </c>
      <c r="Q30" s="223">
        <f>SUM('7.4 (L) (2)'!Q30,'7.4 (P) (2)'!Q30)</f>
        <v>5</v>
      </c>
      <c r="R30" s="222"/>
    </row>
    <row r="31" spans="2:18" ht="8.1" customHeight="1">
      <c r="B31" s="153"/>
      <c r="C31" s="148"/>
      <c r="D31" s="149"/>
      <c r="E31" s="150"/>
      <c r="F31" s="203"/>
      <c r="G31" s="203"/>
      <c r="H31" s="203"/>
      <c r="I31" s="203"/>
      <c r="J31" s="203"/>
      <c r="K31" s="203"/>
      <c r="L31" s="203"/>
      <c r="M31" s="204"/>
      <c r="N31" s="204"/>
      <c r="O31" s="205"/>
      <c r="P31" s="206"/>
      <c r="Q31" s="206"/>
      <c r="R31" s="203"/>
    </row>
    <row r="32" spans="2:18" ht="15" customHeight="1">
      <c r="B32" s="151" t="s">
        <v>97</v>
      </c>
      <c r="C32" s="152"/>
      <c r="D32" s="149">
        <v>2021</v>
      </c>
      <c r="E32" s="211">
        <f>SUM('7.4 (L) (2)'!E32,'7.4 (P) (2)'!E32)</f>
        <v>1</v>
      </c>
      <c r="F32" s="211">
        <f>SUM('7.4 (L) (2)'!F32,'7.4 (P) (2)'!F32)</f>
        <v>14</v>
      </c>
      <c r="G32" s="211">
        <f>SUM('7.4 (L) (2)'!G32,'7.4 (P) (2)'!G32)</f>
        <v>18</v>
      </c>
      <c r="H32" s="211">
        <f>SUM('7.4 (L) (2)'!H32,'7.4 (P) (2)'!H32)</f>
        <v>25</v>
      </c>
      <c r="I32" s="211">
        <f>SUM('7.4 (L) (2)'!I32,'7.4 (P) (2)'!I32)</f>
        <v>9</v>
      </c>
      <c r="J32" s="211">
        <f>SUM('7.4 (L) (2)'!J32,'7.4 (P) (2)'!J32)</f>
        <v>10</v>
      </c>
      <c r="K32" s="223"/>
      <c r="L32" s="223">
        <f>SUM('7.4 (L) (2)'!L32,'7.4 (P) (2)'!L32)</f>
        <v>51</v>
      </c>
      <c r="M32" s="223">
        <f>SUM('7.4 (L) (2)'!M32,'7.4 (P) (2)'!M32)</f>
        <v>133</v>
      </c>
      <c r="N32" s="223">
        <f>SUM('7.4 (L) (2)'!N32,'7.4 (P) (2)'!N32)</f>
        <v>87</v>
      </c>
      <c r="O32" s="223">
        <f>SUM('7.4 (L) (2)'!O32,'7.4 (P) (2)'!O32)</f>
        <v>47</v>
      </c>
      <c r="P32" s="223">
        <f>SUM('7.4 (L) (2)'!P32,'7.4 (P) (2)'!P32)</f>
        <v>18</v>
      </c>
      <c r="Q32" s="223">
        <f>SUM('7.4 (L) (2)'!Q32,'7.4 (P) (2)'!Q32)</f>
        <v>4</v>
      </c>
      <c r="R32" s="222"/>
    </row>
    <row r="33" spans="2:18" ht="15" customHeight="1">
      <c r="B33" s="153"/>
      <c r="C33" s="152"/>
      <c r="D33" s="149">
        <v>2022</v>
      </c>
      <c r="E33" s="260" t="s">
        <v>22</v>
      </c>
      <c r="F33" s="211">
        <f>SUM('7.4 (L) (2)'!F33,'7.4 (P) (2)'!F33)</f>
        <v>17</v>
      </c>
      <c r="G33" s="211">
        <f>SUM('7.4 (L) (2)'!G33,'7.4 (P) (2)'!G33)</f>
        <v>13</v>
      </c>
      <c r="H33" s="211">
        <f>SUM('7.4 (L) (2)'!H33,'7.4 (P) (2)'!H33)</f>
        <v>13</v>
      </c>
      <c r="I33" s="211">
        <f>SUM('7.4 (L) (2)'!I33,'7.4 (P) (2)'!I33)</f>
        <v>8</v>
      </c>
      <c r="J33" s="211">
        <f>SUM('7.4 (L) (2)'!J33,'7.4 (P) (2)'!J33)</f>
        <v>3</v>
      </c>
      <c r="K33" s="223"/>
      <c r="L33" s="223">
        <f>SUM('7.4 (L) (2)'!L33,'7.4 (P) (2)'!L33)</f>
        <v>55</v>
      </c>
      <c r="M33" s="223">
        <f>SUM('7.4 (L) (2)'!M33,'7.4 (P) (2)'!M33)</f>
        <v>207</v>
      </c>
      <c r="N33" s="223">
        <f>SUM('7.4 (L) (2)'!N33,'7.4 (P) (2)'!N33)</f>
        <v>109</v>
      </c>
      <c r="O33" s="223">
        <f>SUM('7.4 (L) (2)'!O33,'7.4 (P) (2)'!O33)</f>
        <v>66</v>
      </c>
      <c r="P33" s="223">
        <f>SUM('7.4 (L) (2)'!P33,'7.4 (P) (2)'!P33)</f>
        <v>30</v>
      </c>
      <c r="Q33" s="223">
        <f>SUM('7.4 (L) (2)'!Q33,'7.4 (P) (2)'!Q33)</f>
        <v>2</v>
      </c>
      <c r="R33" s="222"/>
    </row>
    <row r="34" spans="2:18" ht="15" customHeight="1">
      <c r="B34" s="153"/>
      <c r="C34" s="152"/>
      <c r="D34" s="149">
        <v>2023</v>
      </c>
      <c r="E34" s="211">
        <f>SUM('7.4 (L) (2)'!E34,'7.4 (P) (2)'!E34)</f>
        <v>3</v>
      </c>
      <c r="F34" s="211">
        <f>SUM('7.4 (L) (2)'!F34,'7.4 (P) (2)'!F34)</f>
        <v>10</v>
      </c>
      <c r="G34" s="211">
        <f>SUM('7.4 (L) (2)'!G34,'7.4 (P) (2)'!G34)</f>
        <v>10</v>
      </c>
      <c r="H34" s="211">
        <f>SUM('7.4 (L) (2)'!H34,'7.4 (P) (2)'!H34)</f>
        <v>8</v>
      </c>
      <c r="I34" s="211">
        <f>SUM('7.4 (L) (2)'!I34,'7.4 (P) (2)'!I34)</f>
        <v>7</v>
      </c>
      <c r="J34" s="211">
        <f>SUM('7.4 (L) (2)'!J34,'7.4 (P) (2)'!J34)</f>
        <v>8</v>
      </c>
      <c r="K34" s="223"/>
      <c r="L34" s="223">
        <f>SUM('7.4 (L) (2)'!L34,'7.4 (P) (2)'!L34)</f>
        <v>47</v>
      </c>
      <c r="M34" s="223">
        <f>SUM('7.4 (L) (2)'!M34,'7.4 (P) (2)'!M34)</f>
        <v>209</v>
      </c>
      <c r="N34" s="223">
        <f>SUM('7.4 (L) (2)'!N34,'7.4 (P) (2)'!N34)</f>
        <v>122</v>
      </c>
      <c r="O34" s="223">
        <f>SUM('7.4 (L) (2)'!O34,'7.4 (P) (2)'!O34)</f>
        <v>84</v>
      </c>
      <c r="P34" s="223">
        <f>SUM('7.4 (L) (2)'!P34,'7.4 (P) (2)'!P34)</f>
        <v>50</v>
      </c>
      <c r="Q34" s="223">
        <f>SUM('7.4 (L) (2)'!Q34,'7.4 (P) (2)'!Q34)</f>
        <v>16</v>
      </c>
      <c r="R34" s="222"/>
    </row>
    <row r="35" spans="2:18" ht="8.1" customHeight="1">
      <c r="B35" s="153"/>
      <c r="C35" s="154"/>
      <c r="D35" s="149"/>
      <c r="E35" s="150"/>
      <c r="F35" s="203"/>
      <c r="G35" s="203"/>
      <c r="H35" s="203"/>
      <c r="I35" s="203"/>
      <c r="J35" s="203"/>
      <c r="K35" s="203"/>
      <c r="L35" s="203"/>
      <c r="M35" s="204"/>
      <c r="N35" s="204"/>
      <c r="O35" s="205"/>
      <c r="P35" s="206"/>
      <c r="Q35" s="206"/>
      <c r="R35" s="203"/>
    </row>
    <row r="36" spans="2:18" ht="15" customHeight="1">
      <c r="B36" s="151" t="s">
        <v>98</v>
      </c>
      <c r="C36" s="152"/>
      <c r="D36" s="149">
        <v>2021</v>
      </c>
      <c r="E36" s="211">
        <f>SUM('7.4 (L) (2)'!E36,'7.4 (P) (2)'!E36)</f>
        <v>4</v>
      </c>
      <c r="F36" s="211">
        <f>SUM('7.4 (L) (2)'!F36,'7.4 (P) (2)'!F36)</f>
        <v>35</v>
      </c>
      <c r="G36" s="211">
        <f>SUM('7.4 (L) (2)'!G36,'7.4 (P) (2)'!G36)</f>
        <v>34</v>
      </c>
      <c r="H36" s="211">
        <f>SUM('7.4 (L) (2)'!H36,'7.4 (P) (2)'!H36)</f>
        <v>15</v>
      </c>
      <c r="I36" s="211">
        <f>SUM('7.4 (L) (2)'!I36,'7.4 (P) (2)'!I36)</f>
        <v>17</v>
      </c>
      <c r="J36" s="211">
        <f>SUM('7.4 (L) (2)'!J36,'7.4 (P) (2)'!J36)</f>
        <v>11</v>
      </c>
      <c r="K36" s="223"/>
      <c r="L36" s="223">
        <f>SUM('7.4 (L) (2)'!L36,'7.4 (P) (2)'!L36)</f>
        <v>146</v>
      </c>
      <c r="M36" s="223">
        <f>SUM('7.4 (L) (2)'!M36,'7.4 (P) (2)'!M36)</f>
        <v>368</v>
      </c>
      <c r="N36" s="223">
        <f>SUM('7.4 (L) (2)'!N36,'7.4 (P) (2)'!N36)</f>
        <v>258</v>
      </c>
      <c r="O36" s="223">
        <f>SUM('7.4 (L) (2)'!O36,'7.4 (P) (2)'!O36)</f>
        <v>162</v>
      </c>
      <c r="P36" s="223">
        <f>SUM('7.4 (L) (2)'!P36,'7.4 (P) (2)'!P36)</f>
        <v>56</v>
      </c>
      <c r="Q36" s="223">
        <f>SUM('7.4 (L) (2)'!Q36,'7.4 (P) (2)'!Q36)</f>
        <v>12</v>
      </c>
      <c r="R36" s="222"/>
    </row>
    <row r="37" spans="2:18" ht="15" customHeight="1">
      <c r="B37" s="153"/>
      <c r="C37" s="152"/>
      <c r="D37" s="149">
        <v>2022</v>
      </c>
      <c r="E37" s="211">
        <f>SUM('7.4 (L) (2)'!E37,'7.4 (P) (2)'!E37)</f>
        <v>4</v>
      </c>
      <c r="F37" s="211">
        <f>SUM('7.4 (L) (2)'!F37,'7.4 (P) (2)'!F37)</f>
        <v>17</v>
      </c>
      <c r="G37" s="211">
        <f>SUM('7.4 (L) (2)'!G37,'7.4 (P) (2)'!G37)</f>
        <v>18</v>
      </c>
      <c r="H37" s="211">
        <f>SUM('7.4 (L) (2)'!H37,'7.4 (P) (2)'!H37)</f>
        <v>17</v>
      </c>
      <c r="I37" s="211">
        <f>SUM('7.4 (L) (2)'!I37,'7.4 (P) (2)'!I37)</f>
        <v>9</v>
      </c>
      <c r="J37" s="211">
        <f>SUM('7.4 (L) (2)'!J37,'7.4 (P) (2)'!J37)</f>
        <v>9</v>
      </c>
      <c r="K37" s="223"/>
      <c r="L37" s="223">
        <f>SUM('7.4 (L) (2)'!L37,'7.4 (P) (2)'!L37)</f>
        <v>84</v>
      </c>
      <c r="M37" s="223">
        <f>SUM('7.4 (L) (2)'!M37,'7.4 (P) (2)'!M37)</f>
        <v>254</v>
      </c>
      <c r="N37" s="223">
        <f>SUM('7.4 (L) (2)'!N37,'7.4 (P) (2)'!N37)</f>
        <v>198</v>
      </c>
      <c r="O37" s="223">
        <f>SUM('7.4 (L) (2)'!O37,'7.4 (P) (2)'!O37)</f>
        <v>142</v>
      </c>
      <c r="P37" s="223">
        <f>SUM('7.4 (L) (2)'!P37,'7.4 (P) (2)'!P37)</f>
        <v>54</v>
      </c>
      <c r="Q37" s="223">
        <f>SUM('7.4 (L) (2)'!Q37,'7.4 (P) (2)'!Q37)</f>
        <v>19</v>
      </c>
      <c r="R37" s="222"/>
    </row>
    <row r="38" spans="2:18" ht="15" customHeight="1">
      <c r="B38" s="153"/>
      <c r="C38" s="152"/>
      <c r="D38" s="149">
        <v>2023</v>
      </c>
      <c r="E38" s="211">
        <f>SUM('7.4 (L) (2)'!E38,'7.4 (P) (2)'!E38)</f>
        <v>5</v>
      </c>
      <c r="F38" s="211">
        <f>SUM('7.4 (L) (2)'!F38,'7.4 (P) (2)'!F38)</f>
        <v>11</v>
      </c>
      <c r="G38" s="211">
        <f>SUM('7.4 (L) (2)'!G38,'7.4 (P) (2)'!G38)</f>
        <v>13</v>
      </c>
      <c r="H38" s="211">
        <f>SUM('7.4 (L) (2)'!H38,'7.4 (P) (2)'!H38)</f>
        <v>20</v>
      </c>
      <c r="I38" s="211">
        <f>SUM('7.4 (L) (2)'!I38,'7.4 (P) (2)'!I38)</f>
        <v>16</v>
      </c>
      <c r="J38" s="211">
        <f>SUM('7.4 (L) (2)'!J38,'7.4 (P) (2)'!J38)</f>
        <v>16</v>
      </c>
      <c r="K38" s="223"/>
      <c r="L38" s="223">
        <f>SUM('7.4 (L) (2)'!L38,'7.4 (P) (2)'!L38)</f>
        <v>109</v>
      </c>
      <c r="M38" s="223">
        <f>SUM('7.4 (L) (2)'!M38,'7.4 (P) (2)'!M38)</f>
        <v>322</v>
      </c>
      <c r="N38" s="223">
        <f>SUM('7.4 (L) (2)'!N38,'7.4 (P) (2)'!N38)</f>
        <v>276</v>
      </c>
      <c r="O38" s="223">
        <f>SUM('7.4 (L) (2)'!O38,'7.4 (P) (2)'!O38)</f>
        <v>158</v>
      </c>
      <c r="P38" s="223">
        <f>SUM('7.4 (L) (2)'!P38,'7.4 (P) (2)'!P38)</f>
        <v>82</v>
      </c>
      <c r="Q38" s="223">
        <f>SUM('7.4 (L) (2)'!Q38,'7.4 (P) (2)'!Q38)</f>
        <v>24</v>
      </c>
      <c r="R38" s="222"/>
    </row>
    <row r="39" spans="2:18" ht="8.1" customHeight="1">
      <c r="B39" s="153"/>
      <c r="C39" s="154"/>
      <c r="D39" s="149"/>
      <c r="E39" s="150"/>
      <c r="F39" s="203"/>
      <c r="G39" s="203"/>
      <c r="H39" s="203"/>
      <c r="I39" s="203"/>
      <c r="J39" s="203"/>
      <c r="K39" s="203"/>
      <c r="L39" s="203"/>
      <c r="M39" s="204"/>
      <c r="N39" s="204"/>
      <c r="O39" s="205"/>
      <c r="P39" s="206"/>
      <c r="Q39" s="206"/>
      <c r="R39" s="203"/>
    </row>
    <row r="40" spans="2:18" ht="15" customHeight="1">
      <c r="B40" s="151" t="s">
        <v>99</v>
      </c>
      <c r="C40" s="152"/>
      <c r="D40" s="149">
        <v>2021</v>
      </c>
      <c r="E40" s="211">
        <f>SUM('7.4 (L) (2)'!E40,'7.4 (P) (2)'!E40)</f>
        <v>12</v>
      </c>
      <c r="F40" s="211">
        <f>SUM('7.4 (L) (2)'!F40,'7.4 (P) (2)'!F40)</f>
        <v>17</v>
      </c>
      <c r="G40" s="211">
        <f>SUM('7.4 (L) (2)'!G40,'7.4 (P) (2)'!G40)</f>
        <v>19</v>
      </c>
      <c r="H40" s="211">
        <f>SUM('7.4 (L) (2)'!H40,'7.4 (P) (2)'!H40)</f>
        <v>21</v>
      </c>
      <c r="I40" s="211">
        <f>SUM('7.4 (L) (2)'!I40,'7.4 (P) (2)'!I40)</f>
        <v>16</v>
      </c>
      <c r="J40" s="211">
        <f>SUM('7.4 (L) (2)'!J40,'7.4 (P) (2)'!J40)</f>
        <v>3</v>
      </c>
      <c r="K40" s="223"/>
      <c r="L40" s="223">
        <f>SUM('7.4 (L) (2)'!L40,'7.4 (P) (2)'!L40)</f>
        <v>80</v>
      </c>
      <c r="M40" s="223">
        <f>SUM('7.4 (L) (2)'!M40,'7.4 (P) (2)'!M40)</f>
        <v>255</v>
      </c>
      <c r="N40" s="223">
        <f>SUM('7.4 (L) (2)'!N40,'7.4 (P) (2)'!N40)</f>
        <v>167</v>
      </c>
      <c r="O40" s="223">
        <f>SUM('7.4 (L) (2)'!O40,'7.4 (P) (2)'!O40)</f>
        <v>76</v>
      </c>
      <c r="P40" s="223">
        <f>SUM('7.4 (L) (2)'!P40,'7.4 (P) (2)'!P40)</f>
        <v>50</v>
      </c>
      <c r="Q40" s="223">
        <f>SUM('7.4 (L) (2)'!Q40,'7.4 (P) (2)'!Q40)</f>
        <v>5</v>
      </c>
      <c r="R40" s="222"/>
    </row>
    <row r="41" spans="2:18" ht="15" customHeight="1">
      <c r="B41" s="153"/>
      <c r="C41" s="152"/>
      <c r="D41" s="149">
        <v>2022</v>
      </c>
      <c r="E41" s="211">
        <f>SUM('7.4 (L) (2)'!E41,'7.4 (P) (2)'!E41)</f>
        <v>2</v>
      </c>
      <c r="F41" s="211">
        <f>SUM('7.4 (L) (2)'!F41,'7.4 (P) (2)'!F41)</f>
        <v>25</v>
      </c>
      <c r="G41" s="211">
        <f>SUM('7.4 (L) (2)'!G41,'7.4 (P) (2)'!G41)</f>
        <v>13</v>
      </c>
      <c r="H41" s="211">
        <f>SUM('7.4 (L) (2)'!H41,'7.4 (P) (2)'!H41)</f>
        <v>16</v>
      </c>
      <c r="I41" s="211">
        <f>SUM('7.4 (L) (2)'!I41,'7.4 (P) (2)'!I41)</f>
        <v>5</v>
      </c>
      <c r="J41" s="211">
        <f>SUM('7.4 (L) (2)'!J41,'7.4 (P) (2)'!J41)</f>
        <v>7</v>
      </c>
      <c r="K41" s="223"/>
      <c r="L41" s="223">
        <f>SUM('7.4 (L) (2)'!L41,'7.4 (P) (2)'!L41)</f>
        <v>81</v>
      </c>
      <c r="M41" s="223">
        <f>SUM('7.4 (L) (2)'!M41,'7.4 (P) (2)'!M41)</f>
        <v>285</v>
      </c>
      <c r="N41" s="223">
        <f>SUM('7.4 (L) (2)'!N41,'7.4 (P) (2)'!N41)</f>
        <v>180</v>
      </c>
      <c r="O41" s="223">
        <f>SUM('7.4 (L) (2)'!O41,'7.4 (P) (2)'!O41)</f>
        <v>110</v>
      </c>
      <c r="P41" s="223">
        <f>SUM('7.4 (L) (2)'!P41,'7.4 (P) (2)'!P41)</f>
        <v>36</v>
      </c>
      <c r="Q41" s="223">
        <f>SUM('7.4 (L) (2)'!Q41,'7.4 (P) (2)'!Q41)</f>
        <v>15</v>
      </c>
      <c r="R41" s="222"/>
    </row>
    <row r="42" spans="2:18" ht="15" customHeight="1">
      <c r="B42" s="153"/>
      <c r="C42" s="152"/>
      <c r="D42" s="149">
        <v>2023</v>
      </c>
      <c r="E42" s="211">
        <f>SUM('7.4 (L) (2)'!E42,'7.4 (P) (2)'!E42)</f>
        <v>4</v>
      </c>
      <c r="F42" s="211">
        <f>SUM('7.4 (L) (2)'!F42,'7.4 (P) (2)'!F42)</f>
        <v>15</v>
      </c>
      <c r="G42" s="211">
        <f>SUM('7.4 (L) (2)'!G42,'7.4 (P) (2)'!G42)</f>
        <v>16</v>
      </c>
      <c r="H42" s="211">
        <f>SUM('7.4 (L) (2)'!H42,'7.4 (P) (2)'!H42)</f>
        <v>17</v>
      </c>
      <c r="I42" s="211">
        <f>SUM('7.4 (L) (2)'!I42,'7.4 (P) (2)'!I42)</f>
        <v>4</v>
      </c>
      <c r="J42" s="211">
        <f>SUM('7.4 (L) (2)'!J42,'7.4 (P) (2)'!J42)</f>
        <v>11</v>
      </c>
      <c r="K42" s="223"/>
      <c r="L42" s="223">
        <f>SUM('7.4 (L) (2)'!L42,'7.4 (P) (2)'!L42)</f>
        <v>82</v>
      </c>
      <c r="M42" s="223">
        <f>SUM('7.4 (L) (2)'!M42,'7.4 (P) (2)'!M42)</f>
        <v>254</v>
      </c>
      <c r="N42" s="223">
        <f>SUM('7.4 (L) (2)'!N42,'7.4 (P) (2)'!N42)</f>
        <v>216</v>
      </c>
      <c r="O42" s="223">
        <f>SUM('7.4 (L) (2)'!O42,'7.4 (P) (2)'!O42)</f>
        <v>116</v>
      </c>
      <c r="P42" s="223">
        <f>SUM('7.4 (L) (2)'!P42,'7.4 (P) (2)'!P42)</f>
        <v>63</v>
      </c>
      <c r="Q42" s="223">
        <f>SUM('7.4 (L) (2)'!Q42,'7.4 (P) (2)'!Q42)</f>
        <v>11</v>
      </c>
      <c r="R42" s="222"/>
    </row>
    <row r="43" spans="2:18" ht="8.1" customHeight="1">
      <c r="B43" s="153"/>
      <c r="C43" s="148"/>
      <c r="D43" s="149"/>
      <c r="E43" s="150"/>
      <c r="F43" s="203"/>
      <c r="G43" s="203"/>
      <c r="H43" s="203"/>
      <c r="I43" s="203"/>
      <c r="J43" s="203"/>
      <c r="K43" s="203"/>
      <c r="L43" s="203"/>
      <c r="M43" s="204"/>
      <c r="N43" s="204"/>
      <c r="O43" s="204"/>
      <c r="P43" s="204"/>
      <c r="Q43" s="204"/>
      <c r="R43" s="203"/>
    </row>
    <row r="44" spans="2:18" ht="15" customHeight="1">
      <c r="B44" s="151" t="s">
        <v>100</v>
      </c>
      <c r="C44" s="152"/>
      <c r="D44" s="149">
        <v>2021</v>
      </c>
      <c r="E44" s="211">
        <f>SUM('7.4 (L) (2)'!E44,'7.4 (P) (2)'!E44)</f>
        <v>6</v>
      </c>
      <c r="F44" s="211">
        <f>SUM('7.4 (L) (2)'!F44,'7.4 (P) (2)'!F44)</f>
        <v>32</v>
      </c>
      <c r="G44" s="211">
        <f>SUM('7.4 (L) (2)'!G44,'7.4 (P) (2)'!G44)</f>
        <v>28</v>
      </c>
      <c r="H44" s="211">
        <f>SUM('7.4 (L) (2)'!H44,'7.4 (P) (2)'!H44)</f>
        <v>26</v>
      </c>
      <c r="I44" s="211">
        <f>SUM('7.4 (L) (2)'!I44,'7.4 (P) (2)'!I44)</f>
        <v>27</v>
      </c>
      <c r="J44" s="211">
        <f>SUM('7.4 (L) (2)'!J44,'7.4 (P) (2)'!J44)</f>
        <v>13</v>
      </c>
      <c r="K44" s="223"/>
      <c r="L44" s="223">
        <f>SUM('7.4 (L) (2)'!L44,'7.4 (P) (2)'!L44)</f>
        <v>118</v>
      </c>
      <c r="M44" s="223">
        <f>SUM('7.4 (L) (2)'!M44,'7.4 (P) (2)'!M44)</f>
        <v>438</v>
      </c>
      <c r="N44" s="223">
        <f>SUM('7.4 (L) (2)'!N44,'7.4 (P) (2)'!N44)</f>
        <v>210</v>
      </c>
      <c r="O44" s="223">
        <f>SUM('7.4 (L) (2)'!O44,'7.4 (P) (2)'!O44)</f>
        <v>138</v>
      </c>
      <c r="P44" s="223">
        <f>SUM('7.4 (L) (2)'!P44,'7.4 (P) (2)'!P44)</f>
        <v>43</v>
      </c>
      <c r="Q44" s="223">
        <f>SUM('7.4 (L) (2)'!Q44,'7.4 (P) (2)'!Q44)</f>
        <v>11</v>
      </c>
      <c r="R44" s="222"/>
    </row>
    <row r="45" spans="2:18" ht="15" customHeight="1">
      <c r="B45" s="151"/>
      <c r="C45" s="152"/>
      <c r="D45" s="149">
        <v>2022</v>
      </c>
      <c r="E45" s="211">
        <f>SUM('7.4 (L) (2)'!E45,'7.4 (P) (2)'!E45)</f>
        <v>2</v>
      </c>
      <c r="F45" s="211">
        <f>SUM('7.4 (L) (2)'!F45,'7.4 (P) (2)'!F45)</f>
        <v>7</v>
      </c>
      <c r="G45" s="211">
        <f>SUM('7.4 (L) (2)'!G45,'7.4 (P) (2)'!G45)</f>
        <v>9</v>
      </c>
      <c r="H45" s="211">
        <f>SUM('7.4 (L) (2)'!H45,'7.4 (P) (2)'!H45)</f>
        <v>13</v>
      </c>
      <c r="I45" s="211">
        <f>SUM('7.4 (L) (2)'!I45,'7.4 (P) (2)'!I45)</f>
        <v>11</v>
      </c>
      <c r="J45" s="211">
        <f>SUM('7.4 (L) (2)'!J45,'7.4 (P) (2)'!J45)</f>
        <v>10</v>
      </c>
      <c r="K45" s="223"/>
      <c r="L45" s="223">
        <f>SUM('7.4 (L) (2)'!L45,'7.4 (P) (2)'!L45)</f>
        <v>78</v>
      </c>
      <c r="M45" s="223">
        <f>SUM('7.4 (L) (2)'!M45,'7.4 (P) (2)'!M45)</f>
        <v>372</v>
      </c>
      <c r="N45" s="223">
        <f>SUM('7.4 (L) (2)'!N45,'7.4 (P) (2)'!N45)</f>
        <v>199</v>
      </c>
      <c r="O45" s="223">
        <f>SUM('7.4 (L) (2)'!O45,'7.4 (P) (2)'!O45)</f>
        <v>130</v>
      </c>
      <c r="P45" s="223">
        <f>SUM('7.4 (L) (2)'!P45,'7.4 (P) (2)'!P45)</f>
        <v>45</v>
      </c>
      <c r="Q45" s="223">
        <f>SUM('7.4 (L) (2)'!Q45,'7.4 (P) (2)'!Q45)</f>
        <v>15</v>
      </c>
      <c r="R45" s="222"/>
    </row>
    <row r="46" spans="2:18" ht="15" customHeight="1">
      <c r="B46" s="151"/>
      <c r="C46" s="152"/>
      <c r="D46" s="149">
        <v>2023</v>
      </c>
      <c r="E46" s="211">
        <f>SUM('7.4 (L) (2)'!E46,'7.4 (P) (2)'!E46)</f>
        <v>2</v>
      </c>
      <c r="F46" s="211">
        <f>SUM('7.4 (L) (2)'!F46,'7.4 (P) (2)'!F46)</f>
        <v>21</v>
      </c>
      <c r="G46" s="211">
        <f>SUM('7.4 (L) (2)'!G46,'7.4 (P) (2)'!G46)</f>
        <v>13</v>
      </c>
      <c r="H46" s="211">
        <f>SUM('7.4 (L) (2)'!H46,'7.4 (P) (2)'!H46)</f>
        <v>16</v>
      </c>
      <c r="I46" s="211">
        <f>SUM('7.4 (L) (2)'!I46,'7.4 (P) (2)'!I46)</f>
        <v>11</v>
      </c>
      <c r="J46" s="211">
        <f>SUM('7.4 (L) (2)'!J46,'7.4 (P) (2)'!J46)</f>
        <v>10</v>
      </c>
      <c r="K46" s="223"/>
      <c r="L46" s="223">
        <f>SUM('7.4 (L) (2)'!L46,'7.4 (P) (2)'!L46)</f>
        <v>70</v>
      </c>
      <c r="M46" s="223">
        <f>SUM('7.4 (L) (2)'!M46,'7.4 (P) (2)'!M46)</f>
        <v>419</v>
      </c>
      <c r="N46" s="223">
        <f>SUM('7.4 (L) (2)'!N46,'7.4 (P) (2)'!N46)</f>
        <v>249</v>
      </c>
      <c r="O46" s="223">
        <f>SUM('7.4 (L) (2)'!O46,'7.4 (P) (2)'!O46)</f>
        <v>180</v>
      </c>
      <c r="P46" s="223">
        <f>SUM('7.4 (L) (2)'!P46,'7.4 (P) (2)'!P46)</f>
        <v>79</v>
      </c>
      <c r="Q46" s="223">
        <f>SUM('7.4 (L) (2)'!Q46,'7.4 (P) (2)'!Q46)</f>
        <v>20</v>
      </c>
      <c r="R46" s="222"/>
    </row>
    <row r="47" spans="2:18" ht="8.1" customHeight="1">
      <c r="B47" s="151"/>
      <c r="C47" s="154"/>
      <c r="D47" s="149"/>
      <c r="E47" s="150"/>
      <c r="F47" s="203"/>
      <c r="G47" s="203"/>
      <c r="H47" s="203"/>
      <c r="I47" s="203"/>
      <c r="J47" s="203"/>
      <c r="K47" s="203"/>
      <c r="L47" s="203"/>
      <c r="M47" s="204"/>
      <c r="N47" s="204"/>
      <c r="O47" s="204"/>
      <c r="P47" s="204"/>
      <c r="Q47" s="204"/>
      <c r="R47" s="203"/>
    </row>
    <row r="48" spans="2:18" ht="15" customHeight="1">
      <c r="B48" s="151" t="s">
        <v>101</v>
      </c>
      <c r="C48" s="152"/>
      <c r="D48" s="149">
        <v>2021</v>
      </c>
      <c r="E48" s="211">
        <f>SUM('7.4 (L) (2)'!E48,'7.4 (P) (2)'!E48)</f>
        <v>6</v>
      </c>
      <c r="F48" s="211">
        <f>SUM('7.4 (L) (2)'!F48,'7.4 (P) (2)'!F48)</f>
        <v>19</v>
      </c>
      <c r="G48" s="211">
        <f>SUM('7.4 (L) (2)'!G48,'7.4 (P) (2)'!G48)</f>
        <v>19</v>
      </c>
      <c r="H48" s="211">
        <f>SUM('7.4 (L) (2)'!H48,'7.4 (P) (2)'!H48)</f>
        <v>23</v>
      </c>
      <c r="I48" s="211">
        <f>SUM('7.4 (L) (2)'!I48,'7.4 (P) (2)'!I48)</f>
        <v>11</v>
      </c>
      <c r="J48" s="211">
        <f>SUM('7.4 (L) (2)'!J48,'7.4 (P) (2)'!J48)</f>
        <v>14</v>
      </c>
      <c r="K48" s="223"/>
      <c r="L48" s="223">
        <f>SUM('7.4 (L) (2)'!L48,'7.4 (P) (2)'!L48)</f>
        <v>101</v>
      </c>
      <c r="M48" s="223">
        <f>SUM('7.4 (L) (2)'!M48,'7.4 (P) (2)'!M48)</f>
        <v>246</v>
      </c>
      <c r="N48" s="223">
        <f>SUM('7.4 (L) (2)'!N48,'7.4 (P) (2)'!N48)</f>
        <v>158</v>
      </c>
      <c r="O48" s="223">
        <f>SUM('7.4 (L) (2)'!O48,'7.4 (P) (2)'!O48)</f>
        <v>105</v>
      </c>
      <c r="P48" s="223">
        <f>SUM('7.4 (L) (2)'!P48,'7.4 (P) (2)'!P48)</f>
        <v>37</v>
      </c>
      <c r="Q48" s="223">
        <f>SUM('7.4 (L) (2)'!Q48,'7.4 (P) (2)'!Q48)</f>
        <v>10</v>
      </c>
      <c r="R48" s="222"/>
    </row>
    <row r="49" spans="2:18" ht="15" customHeight="1">
      <c r="B49" s="153"/>
      <c r="C49" s="152"/>
      <c r="D49" s="149">
        <v>2022</v>
      </c>
      <c r="E49" s="211">
        <f>SUM('7.4 (L) (2)'!E49,'7.4 (P) (2)'!E49)</f>
        <v>4</v>
      </c>
      <c r="F49" s="211">
        <f>SUM('7.4 (L) (2)'!F49,'7.4 (P) (2)'!F49)</f>
        <v>12</v>
      </c>
      <c r="G49" s="211">
        <f>SUM('7.4 (L) (2)'!G49,'7.4 (P) (2)'!G49)</f>
        <v>10</v>
      </c>
      <c r="H49" s="211">
        <f>SUM('7.4 (L) (2)'!H49,'7.4 (P) (2)'!H49)</f>
        <v>14</v>
      </c>
      <c r="I49" s="211">
        <f>SUM('7.4 (L) (2)'!I49,'7.4 (P) (2)'!I49)</f>
        <v>10</v>
      </c>
      <c r="J49" s="211">
        <f>SUM('7.4 (L) (2)'!J49,'7.4 (P) (2)'!J49)</f>
        <v>9</v>
      </c>
      <c r="K49" s="223"/>
      <c r="L49" s="223">
        <f>SUM('7.4 (L) (2)'!L49,'7.4 (P) (2)'!L49)</f>
        <v>69</v>
      </c>
      <c r="M49" s="223">
        <f>SUM('7.4 (L) (2)'!M49,'7.4 (P) (2)'!M49)</f>
        <v>224</v>
      </c>
      <c r="N49" s="223">
        <f>SUM('7.4 (L) (2)'!N49,'7.4 (P) (2)'!N49)</f>
        <v>180</v>
      </c>
      <c r="O49" s="223">
        <f>SUM('7.4 (L) (2)'!O49,'7.4 (P) (2)'!O49)</f>
        <v>94</v>
      </c>
      <c r="P49" s="223">
        <f>SUM('7.4 (L) (2)'!P49,'7.4 (P) (2)'!P49)</f>
        <v>33</v>
      </c>
      <c r="Q49" s="223">
        <f>SUM('7.4 (L) (2)'!Q49,'7.4 (P) (2)'!Q49)</f>
        <v>12</v>
      </c>
      <c r="R49" s="222"/>
    </row>
    <row r="50" spans="2:18" ht="15" customHeight="1">
      <c r="B50" s="153"/>
      <c r="C50" s="152"/>
      <c r="D50" s="149">
        <v>2023</v>
      </c>
      <c r="E50" s="211">
        <f>SUM('7.4 (L) (2)'!E50,'7.4 (P) (2)'!E50)</f>
        <v>3</v>
      </c>
      <c r="F50" s="211">
        <f>SUM('7.4 (L) (2)'!F50,'7.4 (P) (2)'!F50)</f>
        <v>9</v>
      </c>
      <c r="G50" s="211">
        <f>SUM('7.4 (L) (2)'!G50,'7.4 (P) (2)'!G50)</f>
        <v>14</v>
      </c>
      <c r="H50" s="211">
        <f>SUM('7.4 (L) (2)'!H50,'7.4 (P) (2)'!H50)</f>
        <v>9</v>
      </c>
      <c r="I50" s="211">
        <f>SUM('7.4 (L) (2)'!I50,'7.4 (P) (2)'!I50)</f>
        <v>11</v>
      </c>
      <c r="J50" s="211">
        <f>SUM('7.4 (L) (2)'!J50,'7.4 (P) (2)'!J50)</f>
        <v>15</v>
      </c>
      <c r="K50" s="223"/>
      <c r="L50" s="223">
        <f>SUM('7.4 (L) (2)'!L50,'7.4 (P) (2)'!L50)</f>
        <v>79</v>
      </c>
      <c r="M50" s="223">
        <f>SUM('7.4 (L) (2)'!M50,'7.4 (P) (2)'!M50)</f>
        <v>291</v>
      </c>
      <c r="N50" s="223">
        <f>SUM('7.4 (L) (2)'!N50,'7.4 (P) (2)'!N50)</f>
        <v>178</v>
      </c>
      <c r="O50" s="223">
        <f>SUM('7.4 (L) (2)'!O50,'7.4 (P) (2)'!O50)</f>
        <v>118</v>
      </c>
      <c r="P50" s="223">
        <f>SUM('7.4 (L) (2)'!P50,'7.4 (P) (2)'!P50)</f>
        <v>69</v>
      </c>
      <c r="Q50" s="223">
        <f>SUM('7.4 (L) (2)'!Q50,'7.4 (P) (2)'!Q50)</f>
        <v>15</v>
      </c>
      <c r="R50" s="222"/>
    </row>
    <row r="51" spans="2:18" ht="8.1" customHeight="1">
      <c r="B51" s="153"/>
      <c r="C51" s="138"/>
      <c r="D51" s="149"/>
      <c r="E51" s="150"/>
      <c r="F51" s="203"/>
      <c r="G51" s="203"/>
      <c r="H51" s="203"/>
      <c r="I51" s="203"/>
      <c r="J51" s="203"/>
      <c r="K51" s="203"/>
      <c r="L51" s="203"/>
      <c r="M51" s="207"/>
      <c r="N51" s="207"/>
      <c r="O51" s="204"/>
      <c r="P51" s="204"/>
      <c r="Q51" s="204"/>
      <c r="R51" s="203"/>
    </row>
    <row r="52" spans="2:18" ht="15" customHeight="1">
      <c r="B52" s="151" t="s">
        <v>102</v>
      </c>
      <c r="C52" s="152"/>
      <c r="D52" s="149">
        <v>2021</v>
      </c>
      <c r="E52" s="211">
        <f>SUM('7.4 (L) (2)'!E52,'7.4 (P) (2)'!E52)</f>
        <v>1</v>
      </c>
      <c r="F52" s="211">
        <f>SUM('7.4 (L) (2)'!F52,'7.4 (P) (2)'!F52)</f>
        <v>5</v>
      </c>
      <c r="G52" s="211">
        <f>SUM('7.4 (L) (2)'!G52,'7.4 (P) (2)'!G52)</f>
        <v>7</v>
      </c>
      <c r="H52" s="211">
        <f>SUM('7.4 (L) (2)'!H52,'7.4 (P) (2)'!H52)</f>
        <v>8</v>
      </c>
      <c r="I52" s="211">
        <f>SUM('7.4 (L) (2)'!I52,'7.4 (P) (2)'!I52)</f>
        <v>5</v>
      </c>
      <c r="J52" s="260" t="s">
        <v>22</v>
      </c>
      <c r="K52" s="223"/>
      <c r="L52" s="223">
        <f>SUM('7.4 (L) (2)'!L52,'7.4 (P) (2)'!L52)</f>
        <v>21</v>
      </c>
      <c r="M52" s="223">
        <f>SUM('7.4 (L) (2)'!M52,'7.4 (P) (2)'!M52)</f>
        <v>60</v>
      </c>
      <c r="N52" s="223">
        <f>SUM('7.4 (L) (2)'!N52,'7.4 (P) (2)'!N52)</f>
        <v>32</v>
      </c>
      <c r="O52" s="223">
        <f>SUM('7.4 (L) (2)'!O52,'7.4 (P) (2)'!O52)</f>
        <v>26</v>
      </c>
      <c r="P52" s="223">
        <f>SUM('7.4 (L) (2)'!P52,'7.4 (P) (2)'!P52)</f>
        <v>11</v>
      </c>
      <c r="Q52" s="223">
        <f>SUM('7.4 (L) (2)'!Q52,'7.4 (P) (2)'!Q52)</f>
        <v>1</v>
      </c>
      <c r="R52" s="222"/>
    </row>
    <row r="53" spans="2:18" ht="15" customHeight="1">
      <c r="B53" s="153"/>
      <c r="C53" s="152"/>
      <c r="D53" s="149">
        <v>2022</v>
      </c>
      <c r="E53" s="260" t="s">
        <v>22</v>
      </c>
      <c r="F53" s="211">
        <f>SUM('7.4 (L) (2)'!F53,'7.4 (P) (2)'!F53)</f>
        <v>6</v>
      </c>
      <c r="G53" s="211">
        <f>SUM('7.4 (L) (2)'!G53,'7.4 (P) (2)'!G53)</f>
        <v>2</v>
      </c>
      <c r="H53" s="211">
        <f>SUM('7.4 (L) (2)'!H53,'7.4 (P) (2)'!H53)</f>
        <v>3</v>
      </c>
      <c r="I53" s="260" t="s">
        <v>22</v>
      </c>
      <c r="J53" s="211">
        <f>SUM('7.4 (L) (2)'!J53,'7.4 (P) (2)'!J53)</f>
        <v>1</v>
      </c>
      <c r="K53" s="223"/>
      <c r="L53" s="223">
        <f>SUM('7.4 (L) (2)'!L53,'7.4 (P) (2)'!L53)</f>
        <v>31</v>
      </c>
      <c r="M53" s="223">
        <f>SUM('7.4 (L) (2)'!M53,'7.4 (P) (2)'!M53)</f>
        <v>55</v>
      </c>
      <c r="N53" s="223">
        <f>SUM('7.4 (L) (2)'!N53,'7.4 (P) (2)'!N53)</f>
        <v>38</v>
      </c>
      <c r="O53" s="223">
        <f>SUM('7.4 (L) (2)'!O53,'7.4 (P) (2)'!O53)</f>
        <v>12</v>
      </c>
      <c r="P53" s="223">
        <f>SUM('7.4 (L) (2)'!P53,'7.4 (P) (2)'!P53)</f>
        <v>11</v>
      </c>
      <c r="Q53" s="260" t="s">
        <v>22</v>
      </c>
      <c r="R53" s="222"/>
    </row>
    <row r="54" spans="2:18" ht="15" customHeight="1">
      <c r="B54" s="153"/>
      <c r="C54" s="152"/>
      <c r="D54" s="149">
        <v>2023</v>
      </c>
      <c r="E54" s="211">
        <f>SUM('7.4 (L) (2)'!E54,'7.4 (P) (2)'!E54)</f>
        <v>1</v>
      </c>
      <c r="F54" s="211">
        <f>SUM('7.4 (L) (2)'!F54,'7.4 (P) (2)'!F54)</f>
        <v>2</v>
      </c>
      <c r="G54" s="211">
        <f>SUM('7.4 (L) (2)'!G54,'7.4 (P) (2)'!G54)</f>
        <v>3</v>
      </c>
      <c r="H54" s="211">
        <f>SUM('7.4 (L) (2)'!H54,'7.4 (P) (2)'!H54)</f>
        <v>1</v>
      </c>
      <c r="I54" s="260" t="s">
        <v>22</v>
      </c>
      <c r="J54" s="211">
        <f>SUM('7.4 (L) (2)'!J54,'7.4 (P) (2)'!J54)</f>
        <v>2</v>
      </c>
      <c r="K54" s="223"/>
      <c r="L54" s="223">
        <f>SUM('7.4 (L) (2)'!L54,'7.4 (P) (2)'!L54)</f>
        <v>19</v>
      </c>
      <c r="M54" s="223">
        <f>SUM('7.4 (L) (2)'!M54,'7.4 (P) (2)'!M54)</f>
        <v>31</v>
      </c>
      <c r="N54" s="223">
        <f>SUM('7.4 (L) (2)'!N54,'7.4 (P) (2)'!N54)</f>
        <v>33</v>
      </c>
      <c r="O54" s="223">
        <f>SUM('7.4 (L) (2)'!O54,'7.4 (P) (2)'!O54)</f>
        <v>23</v>
      </c>
      <c r="P54" s="223">
        <f>SUM('7.4 (L) (2)'!P54,'7.4 (P) (2)'!P54)</f>
        <v>8</v>
      </c>
      <c r="Q54" s="223">
        <f>SUM('7.4 (L) (2)'!Q54,'7.4 (P) (2)'!Q54)</f>
        <v>1</v>
      </c>
      <c r="R54" s="222"/>
    </row>
    <row r="55" spans="2:18" ht="8.1" customHeight="1">
      <c r="B55" s="153"/>
      <c r="C55" s="154"/>
      <c r="D55" s="149"/>
      <c r="E55" s="150"/>
      <c r="F55" s="203"/>
      <c r="G55" s="203"/>
      <c r="H55" s="203"/>
      <c r="I55" s="203"/>
      <c r="J55" s="203"/>
      <c r="K55" s="203"/>
      <c r="L55" s="203"/>
      <c r="M55" s="204"/>
      <c r="N55" s="204"/>
      <c r="O55" s="204"/>
      <c r="P55" s="204"/>
      <c r="Q55" s="204"/>
      <c r="R55" s="203"/>
    </row>
    <row r="56" spans="2:18" ht="15" customHeight="1">
      <c r="B56" s="151" t="s">
        <v>103</v>
      </c>
      <c r="C56" s="152"/>
      <c r="D56" s="149">
        <v>2021</v>
      </c>
      <c r="E56" s="211">
        <f>SUM('7.4 (L) (2)'!E56,'7.4 (P) (2)'!E56)</f>
        <v>3</v>
      </c>
      <c r="F56" s="211">
        <f>SUM('7.4 (L) (2)'!F56,'7.4 (P) (2)'!F56)</f>
        <v>50</v>
      </c>
      <c r="G56" s="211">
        <f>SUM('7.4 (L) (2)'!G56,'7.4 (P) (2)'!G56)</f>
        <v>61</v>
      </c>
      <c r="H56" s="211">
        <f>SUM('7.4 (L) (2)'!H56,'7.4 (P) (2)'!H56)</f>
        <v>44</v>
      </c>
      <c r="I56" s="211">
        <f>SUM('7.4 (L) (2)'!I56,'7.4 (P) (2)'!I56)</f>
        <v>34</v>
      </c>
      <c r="J56" s="211">
        <f>SUM('7.4 (L) (2)'!J56,'7.4 (P) (2)'!J56)</f>
        <v>16</v>
      </c>
      <c r="K56" s="223"/>
      <c r="L56" s="223">
        <f>SUM('7.4 (L) (2)'!L56,'7.4 (P) (2)'!L56)</f>
        <v>117</v>
      </c>
      <c r="M56" s="223">
        <f>SUM('7.4 (L) (2)'!M56,'7.4 (P) (2)'!M56)</f>
        <v>439</v>
      </c>
      <c r="N56" s="223">
        <f>SUM('7.4 (L) (2)'!N56,'7.4 (P) (2)'!N56)</f>
        <v>332</v>
      </c>
      <c r="O56" s="223">
        <f>SUM('7.4 (L) (2)'!O56,'7.4 (P) (2)'!O56)</f>
        <v>215</v>
      </c>
      <c r="P56" s="223">
        <f>SUM('7.4 (L) (2)'!P56,'7.4 (P) (2)'!P56)</f>
        <v>82</v>
      </c>
      <c r="Q56" s="223">
        <f>SUM('7.4 (L) (2)'!Q56,'7.4 (P) (2)'!Q56)</f>
        <v>17</v>
      </c>
      <c r="R56" s="222"/>
    </row>
    <row r="57" spans="2:18" ht="15" customHeight="1">
      <c r="B57" s="153"/>
      <c r="C57" s="152"/>
      <c r="D57" s="149">
        <v>2022</v>
      </c>
      <c r="E57" s="211">
        <f>SUM('7.4 (L) (2)'!E57,'7.4 (P) (2)'!E57)</f>
        <v>3</v>
      </c>
      <c r="F57" s="211">
        <f>SUM('7.4 (L) (2)'!F57,'7.4 (P) (2)'!F57)</f>
        <v>22</v>
      </c>
      <c r="G57" s="211">
        <f>SUM('7.4 (L) (2)'!G57,'7.4 (P) (2)'!G57)</f>
        <v>19</v>
      </c>
      <c r="H57" s="211">
        <f>SUM('7.4 (L) (2)'!H57,'7.4 (P) (2)'!H57)</f>
        <v>25</v>
      </c>
      <c r="I57" s="211">
        <f>SUM('7.4 (L) (2)'!I57,'7.4 (P) (2)'!I57)</f>
        <v>17</v>
      </c>
      <c r="J57" s="211">
        <f>SUM('7.4 (L) (2)'!J57,'7.4 (P) (2)'!J57)</f>
        <v>11</v>
      </c>
      <c r="K57" s="223"/>
      <c r="L57" s="223">
        <f>SUM('7.4 (L) (2)'!L57,'7.4 (P) (2)'!L57)</f>
        <v>57</v>
      </c>
      <c r="M57" s="223">
        <f>SUM('7.4 (L) (2)'!M57,'7.4 (P) (2)'!M57)</f>
        <v>425</v>
      </c>
      <c r="N57" s="223">
        <f>SUM('7.4 (L) (2)'!N57,'7.4 (P) (2)'!N57)</f>
        <v>329</v>
      </c>
      <c r="O57" s="223">
        <f>SUM('7.4 (L) (2)'!O57,'7.4 (P) (2)'!O57)</f>
        <v>194</v>
      </c>
      <c r="P57" s="223">
        <f>SUM('7.4 (L) (2)'!P57,'7.4 (P) (2)'!P57)</f>
        <v>98</v>
      </c>
      <c r="Q57" s="223">
        <f>SUM('7.4 (L) (2)'!Q57,'7.4 (P) (2)'!Q57)</f>
        <v>12</v>
      </c>
      <c r="R57" s="222"/>
    </row>
    <row r="58" spans="2:18" ht="15" customHeight="1">
      <c r="B58" s="153"/>
      <c r="C58" s="152"/>
      <c r="D58" s="149">
        <v>2023</v>
      </c>
      <c r="E58" s="260" t="s">
        <v>22</v>
      </c>
      <c r="F58" s="211">
        <f>SUM('7.4 (L) (2)'!F58,'7.4 (P) (2)'!F58)</f>
        <v>19</v>
      </c>
      <c r="G58" s="211">
        <f>SUM('7.4 (L) (2)'!G58,'7.4 (P) (2)'!G58)</f>
        <v>33</v>
      </c>
      <c r="H58" s="211">
        <f>SUM('7.4 (L) (2)'!H58,'7.4 (P) (2)'!H58)</f>
        <v>36</v>
      </c>
      <c r="I58" s="211">
        <f>SUM('7.4 (L) (2)'!I58,'7.4 (P) (2)'!I58)</f>
        <v>21</v>
      </c>
      <c r="J58" s="211">
        <f>SUM('7.4 (L) (2)'!J58,'7.4 (P) (2)'!J58)</f>
        <v>29</v>
      </c>
      <c r="K58" s="223"/>
      <c r="L58" s="223">
        <f>SUM('7.4 (L) (2)'!L58,'7.4 (P) (2)'!L58)</f>
        <v>169</v>
      </c>
      <c r="M58" s="223">
        <f>SUM('7.4 (L) (2)'!M58,'7.4 (P) (2)'!M58)</f>
        <v>750</v>
      </c>
      <c r="N58" s="223">
        <f>SUM('7.4 (L) (2)'!N58,'7.4 (P) (2)'!N58)</f>
        <v>586</v>
      </c>
      <c r="O58" s="223">
        <f>SUM('7.4 (L) (2)'!O58,'7.4 (P) (2)'!O58)</f>
        <v>374</v>
      </c>
      <c r="P58" s="223">
        <f>SUM('7.4 (L) (2)'!P58,'7.4 (P) (2)'!P58)</f>
        <v>180</v>
      </c>
      <c r="Q58" s="223">
        <f>SUM('7.4 (L) (2)'!Q58,'7.4 (P) (2)'!Q58)</f>
        <v>94</v>
      </c>
      <c r="R58" s="222"/>
    </row>
    <row r="59" spans="2:18" ht="8.1" customHeight="1">
      <c r="B59" s="153"/>
      <c r="C59" s="148"/>
      <c r="D59" s="149"/>
      <c r="E59" s="150"/>
      <c r="F59" s="203"/>
      <c r="G59" s="203"/>
      <c r="H59" s="203"/>
      <c r="I59" s="203"/>
      <c r="J59" s="203"/>
      <c r="K59" s="203"/>
      <c r="L59" s="203"/>
      <c r="M59" s="204"/>
      <c r="N59" s="204"/>
      <c r="O59" s="204"/>
      <c r="P59" s="204"/>
      <c r="Q59" s="204"/>
      <c r="R59" s="203"/>
    </row>
    <row r="60" spans="2:18" ht="15" customHeight="1">
      <c r="B60" s="151" t="s">
        <v>104</v>
      </c>
      <c r="C60" s="152"/>
      <c r="D60" s="149">
        <v>2021</v>
      </c>
      <c r="E60" s="211">
        <f>SUM('7.4 (L) (2)'!E60,'7.4 (P) (2)'!E60)</f>
        <v>7</v>
      </c>
      <c r="F60" s="211">
        <f>SUM('7.4 (L) (2)'!F60,'7.4 (P) (2)'!F60)</f>
        <v>15</v>
      </c>
      <c r="G60" s="211">
        <f>SUM('7.4 (L) (2)'!G60,'7.4 (P) (2)'!G60)</f>
        <v>22</v>
      </c>
      <c r="H60" s="211">
        <f>SUM('7.4 (L) (2)'!H60,'7.4 (P) (2)'!H60)</f>
        <v>22</v>
      </c>
      <c r="I60" s="211">
        <f>SUM('7.4 (L) (2)'!I60,'7.4 (P) (2)'!I60)</f>
        <v>15</v>
      </c>
      <c r="J60" s="260" t="s">
        <v>22</v>
      </c>
      <c r="K60" s="223"/>
      <c r="L60" s="223">
        <f>SUM('7.4 (L) (2)'!L60,'7.4 (P) (2)'!L60)</f>
        <v>78</v>
      </c>
      <c r="M60" s="223">
        <f>SUM('7.4 (L) (2)'!M60,'7.4 (P) (2)'!M60)</f>
        <v>190</v>
      </c>
      <c r="N60" s="223">
        <f>SUM('7.4 (L) (2)'!N60,'7.4 (P) (2)'!N60)</f>
        <v>112</v>
      </c>
      <c r="O60" s="223">
        <f>SUM('7.4 (L) (2)'!O60,'7.4 (P) (2)'!O60)</f>
        <v>65</v>
      </c>
      <c r="P60" s="223">
        <f>SUM('7.4 (L) (2)'!P60,'7.4 (P) (2)'!P60)</f>
        <v>24</v>
      </c>
      <c r="Q60" s="223">
        <f>SUM('7.4 (L) (2)'!Q60,'7.4 (P) (2)'!Q60)</f>
        <v>3</v>
      </c>
      <c r="R60" s="222"/>
    </row>
    <row r="61" spans="2:18" ht="15" customHeight="1">
      <c r="B61" s="153"/>
      <c r="C61" s="152"/>
      <c r="D61" s="149">
        <v>2022</v>
      </c>
      <c r="E61" s="211">
        <f>SUM('7.4 (L) (2)'!E61,'7.4 (P) (2)'!E61)</f>
        <v>2</v>
      </c>
      <c r="F61" s="211">
        <f>SUM('7.4 (L) (2)'!F61,'7.4 (P) (2)'!F61)</f>
        <v>11</v>
      </c>
      <c r="G61" s="211">
        <f>SUM('7.4 (L) (2)'!G61,'7.4 (P) (2)'!G61)</f>
        <v>10</v>
      </c>
      <c r="H61" s="211">
        <f>SUM('7.4 (L) (2)'!H61,'7.4 (P) (2)'!H61)</f>
        <v>7</v>
      </c>
      <c r="I61" s="211">
        <f>SUM('7.4 (L) (2)'!I61,'7.4 (P) (2)'!I61)</f>
        <v>6</v>
      </c>
      <c r="J61" s="260" t="s">
        <v>22</v>
      </c>
      <c r="K61" s="223"/>
      <c r="L61" s="223">
        <f>SUM('7.4 (L) (2)'!L61,'7.4 (P) (2)'!L61)</f>
        <v>45</v>
      </c>
      <c r="M61" s="223">
        <f>SUM('7.4 (L) (2)'!M61,'7.4 (P) (2)'!M61)</f>
        <v>141</v>
      </c>
      <c r="N61" s="223">
        <f>SUM('7.4 (L) (2)'!N61,'7.4 (P) (2)'!N61)</f>
        <v>116</v>
      </c>
      <c r="O61" s="223">
        <f>SUM('7.4 (L) (2)'!O61,'7.4 (P) (2)'!O61)</f>
        <v>63</v>
      </c>
      <c r="P61" s="223">
        <f>SUM('7.4 (L) (2)'!P61,'7.4 (P) (2)'!P61)</f>
        <v>29</v>
      </c>
      <c r="Q61" s="223">
        <f>SUM('7.4 (L) (2)'!Q61,'7.4 (P) (2)'!Q61)</f>
        <v>2</v>
      </c>
      <c r="R61" s="222"/>
    </row>
    <row r="62" spans="2:18" ht="15" customHeight="1">
      <c r="B62" s="153"/>
      <c r="C62" s="152"/>
      <c r="D62" s="149">
        <v>2023</v>
      </c>
      <c r="E62" s="211">
        <f>SUM('7.4 (L) (2)'!E62,'7.4 (P) (2)'!E62)</f>
        <v>3</v>
      </c>
      <c r="F62" s="211">
        <f>SUM('7.4 (L) (2)'!F62,'7.4 (P) (2)'!F62)</f>
        <v>11</v>
      </c>
      <c r="G62" s="211">
        <f>SUM('7.4 (L) (2)'!G62,'7.4 (P) (2)'!G62)</f>
        <v>13</v>
      </c>
      <c r="H62" s="211">
        <f>SUM('7.4 (L) (2)'!H62,'7.4 (P) (2)'!H62)</f>
        <v>9</v>
      </c>
      <c r="I62" s="211">
        <f>SUM('7.4 (L) (2)'!I62,'7.4 (P) (2)'!I62)</f>
        <v>3</v>
      </c>
      <c r="J62" s="211">
        <f>SUM('7.4 (L) (2)'!J62,'7.4 (P) (2)'!J62)</f>
        <v>2</v>
      </c>
      <c r="K62" s="223"/>
      <c r="L62" s="223">
        <f>SUM('7.4 (L) (2)'!L62,'7.4 (P) (2)'!L62)</f>
        <v>37</v>
      </c>
      <c r="M62" s="223">
        <f>SUM('7.4 (L) (2)'!M62,'7.4 (P) (2)'!M62)</f>
        <v>137</v>
      </c>
      <c r="N62" s="223">
        <f>SUM('7.4 (L) (2)'!N62,'7.4 (P) (2)'!N62)</f>
        <v>97</v>
      </c>
      <c r="O62" s="223">
        <f>SUM('7.4 (L) (2)'!O62,'7.4 (P) (2)'!O62)</f>
        <v>68</v>
      </c>
      <c r="P62" s="223">
        <f>SUM('7.4 (L) (2)'!P62,'7.4 (P) (2)'!P62)</f>
        <v>28</v>
      </c>
      <c r="Q62" s="260" t="s">
        <v>22</v>
      </c>
      <c r="R62" s="222"/>
    </row>
    <row r="63" spans="2:18" ht="8.1" customHeight="1">
      <c r="B63" s="153"/>
      <c r="C63" s="154"/>
      <c r="D63" s="149"/>
      <c r="E63" s="150"/>
      <c r="F63" s="203"/>
      <c r="G63" s="203"/>
      <c r="H63" s="203"/>
      <c r="I63" s="203"/>
      <c r="J63" s="203"/>
      <c r="K63" s="203"/>
      <c r="L63" s="203"/>
      <c r="M63" s="204"/>
      <c r="N63" s="204"/>
      <c r="O63" s="204"/>
      <c r="P63" s="208"/>
      <c r="Q63" s="208"/>
      <c r="R63" s="203"/>
    </row>
    <row r="64" spans="2:18" ht="15" customHeight="1">
      <c r="B64" s="151" t="s">
        <v>108</v>
      </c>
      <c r="C64" s="152"/>
      <c r="D64" s="149">
        <v>2021</v>
      </c>
      <c r="E64" s="260" t="s">
        <v>22</v>
      </c>
      <c r="F64" s="211">
        <f>SUM('7.4 (L) (2)'!F64,'7.4 (P) (2)'!F64)</f>
        <v>6</v>
      </c>
      <c r="G64" s="211">
        <f>SUM('7.4 (L) (2)'!G64,'7.4 (P) (2)'!G64)</f>
        <v>25</v>
      </c>
      <c r="H64" s="211">
        <f>SUM('7.4 (L) (2)'!H64,'7.4 (P) (2)'!H64)</f>
        <v>11</v>
      </c>
      <c r="I64" s="211">
        <f>SUM('7.4 (L) (2)'!I64,'7.4 (P) (2)'!I64)</f>
        <v>4</v>
      </c>
      <c r="J64" s="211">
        <f>SUM('7.4 (L) (2)'!J64,'7.4 (P) (2)'!J64)</f>
        <v>4</v>
      </c>
      <c r="K64" s="223"/>
      <c r="L64" s="223">
        <f>SUM('7.4 (L) (2)'!L64,'7.4 (P) (2)'!L64)</f>
        <v>34</v>
      </c>
      <c r="M64" s="223">
        <f>SUM('7.4 (L) (2)'!M64,'7.4 (P) (2)'!M64)</f>
        <v>164</v>
      </c>
      <c r="N64" s="223">
        <f>SUM('7.4 (L) (2)'!N64,'7.4 (P) (2)'!N64)</f>
        <v>109</v>
      </c>
      <c r="O64" s="223">
        <f>SUM('7.4 (L) (2)'!O64,'7.4 (P) (2)'!O64)</f>
        <v>83</v>
      </c>
      <c r="P64" s="223">
        <f>SUM('7.4 (L) (2)'!P64,'7.4 (P) (2)'!P64)</f>
        <v>42</v>
      </c>
      <c r="Q64" s="223">
        <f>SUM('7.4 (L) (2)'!Q64,'7.4 (P) (2)'!Q64)</f>
        <v>5</v>
      </c>
      <c r="R64" s="222"/>
    </row>
    <row r="65" spans="1:18" ht="15" customHeight="1">
      <c r="B65" s="153"/>
      <c r="C65" s="152"/>
      <c r="D65" s="149">
        <v>2022</v>
      </c>
      <c r="E65" s="211">
        <f>SUM('7.4 (L) (2)'!E65,'7.4 (P) (2)'!E65)</f>
        <v>1</v>
      </c>
      <c r="F65" s="211">
        <f>SUM('7.4 (L) (2)'!F65,'7.4 (P) (2)'!F65)</f>
        <v>6</v>
      </c>
      <c r="G65" s="211">
        <f>SUM('7.4 (L) (2)'!G65,'7.4 (P) (2)'!G65)</f>
        <v>4</v>
      </c>
      <c r="H65" s="211">
        <f>SUM('7.4 (L) (2)'!H65,'7.4 (P) (2)'!H65)</f>
        <v>2</v>
      </c>
      <c r="I65" s="211">
        <f>SUM('7.4 (L) (2)'!I65,'7.4 (P) (2)'!I65)</f>
        <v>3</v>
      </c>
      <c r="J65" s="211">
        <f>SUM('7.4 (L) (2)'!J65,'7.4 (P) (2)'!J65)</f>
        <v>2</v>
      </c>
      <c r="K65" s="223"/>
      <c r="L65" s="223">
        <f>SUM('7.4 (L) (2)'!L65,'7.4 (P) (2)'!L65)</f>
        <v>19</v>
      </c>
      <c r="M65" s="223">
        <f>SUM('7.4 (L) (2)'!M65,'7.4 (P) (2)'!M65)</f>
        <v>139</v>
      </c>
      <c r="N65" s="223">
        <f>SUM('7.4 (L) (2)'!N65,'7.4 (P) (2)'!N65)</f>
        <v>132</v>
      </c>
      <c r="O65" s="223">
        <f>SUM('7.4 (L) (2)'!O65,'7.4 (P) (2)'!O65)</f>
        <v>75</v>
      </c>
      <c r="P65" s="223">
        <f>SUM('7.4 (L) (2)'!P65,'7.4 (P) (2)'!P65)</f>
        <v>37</v>
      </c>
      <c r="Q65" s="223">
        <f>SUM('7.4 (L) (2)'!Q65,'7.4 (P) (2)'!Q65)</f>
        <v>15</v>
      </c>
      <c r="R65" s="222"/>
    </row>
    <row r="66" spans="1:18" ht="15" customHeight="1">
      <c r="B66" s="153"/>
      <c r="C66" s="152"/>
      <c r="D66" s="149">
        <v>2023</v>
      </c>
      <c r="E66" s="211">
        <f>SUM('7.4 (L) (2)'!E66,'7.4 (P) (2)'!E66)</f>
        <v>1</v>
      </c>
      <c r="F66" s="211">
        <f>SUM('7.4 (L) (2)'!F66,'7.4 (P) (2)'!F66)</f>
        <v>8</v>
      </c>
      <c r="G66" s="211">
        <f>SUM('7.4 (L) (2)'!G66,'7.4 (P) (2)'!G66)</f>
        <v>9</v>
      </c>
      <c r="H66" s="211">
        <f>SUM('7.4 (L) (2)'!H66,'7.4 (P) (2)'!H66)</f>
        <v>9</v>
      </c>
      <c r="I66" s="211">
        <f>SUM('7.4 (L) (2)'!I66,'7.4 (P) (2)'!I66)</f>
        <v>5</v>
      </c>
      <c r="J66" s="211">
        <f>SUM('7.4 (L) (2)'!J66,'7.4 (P) (2)'!J66)</f>
        <v>4</v>
      </c>
      <c r="K66" s="223"/>
      <c r="L66" s="223">
        <f>SUM('7.4 (L) (2)'!L66,'7.4 (P) (2)'!L66)</f>
        <v>32</v>
      </c>
      <c r="M66" s="223">
        <f>SUM('7.4 (L) (2)'!M66,'7.4 (P) (2)'!M66)</f>
        <v>204</v>
      </c>
      <c r="N66" s="223">
        <f>SUM('7.4 (L) (2)'!N66,'7.4 (P) (2)'!N66)</f>
        <v>224</v>
      </c>
      <c r="O66" s="223">
        <f>SUM('7.4 (L) (2)'!O66,'7.4 (P) (2)'!O66)</f>
        <v>131</v>
      </c>
      <c r="P66" s="223">
        <f>SUM('7.4 (L) (2)'!P66,'7.4 (P) (2)'!P66)</f>
        <v>68</v>
      </c>
      <c r="Q66" s="223">
        <f>SUM('7.4 (L) (2)'!Q66,'7.4 (P) (2)'!Q66)</f>
        <v>24</v>
      </c>
      <c r="R66" s="222"/>
    </row>
    <row r="67" spans="1:18" ht="8.1" customHeight="1">
      <c r="B67" s="155"/>
      <c r="C67" s="145"/>
      <c r="D67" s="149"/>
      <c r="E67" s="150"/>
      <c r="F67" s="203"/>
      <c r="G67" s="203"/>
      <c r="H67" s="203"/>
      <c r="I67" s="203"/>
      <c r="J67" s="203"/>
      <c r="K67" s="203"/>
      <c r="L67" s="203"/>
      <c r="M67" s="208"/>
      <c r="N67" s="208"/>
      <c r="O67" s="204"/>
      <c r="P67" s="204"/>
      <c r="Q67" s="204"/>
      <c r="R67" s="203"/>
    </row>
    <row r="68" spans="1:18" ht="15" customHeight="1">
      <c r="B68" s="151" t="s">
        <v>105</v>
      </c>
      <c r="C68" s="152"/>
      <c r="D68" s="149">
        <v>2021</v>
      </c>
      <c r="E68" s="231">
        <f>SUM('7.4 (L) (2)'!E68,'7.4 (P) (2)'!E68)</f>
        <v>5</v>
      </c>
      <c r="F68" s="223">
        <f>SUM('7.4 (L) (2)'!F68,'7.4 (P) (2)'!F68)</f>
        <v>30</v>
      </c>
      <c r="G68" s="223">
        <f>SUM('7.4 (L) (2)'!G68,'7.4 (P) (2)'!G68)</f>
        <v>24</v>
      </c>
      <c r="H68" s="223">
        <f>SUM('7.4 (L) (2)'!H68,'7.4 (P) (2)'!H68)</f>
        <v>24</v>
      </c>
      <c r="I68" s="223">
        <f>SUM('7.4 (L) (2)'!I68,'7.4 (P) (2)'!I68)</f>
        <v>11</v>
      </c>
      <c r="J68" s="223">
        <f>SUM('7.4 (L) (2)'!J68,'7.4 (P) (2)'!J68)</f>
        <v>10</v>
      </c>
      <c r="K68" s="223"/>
      <c r="L68" s="223">
        <f>SUM('7.4 (L) (2)'!L68,'7.4 (P) (2)'!L68)</f>
        <v>98</v>
      </c>
      <c r="M68" s="223">
        <f>SUM('7.4 (L) (2)'!M68,'7.4 (P) (2)'!M68)</f>
        <v>290</v>
      </c>
      <c r="N68" s="223">
        <f>SUM('7.4 (L) (2)'!N68,'7.4 (P) (2)'!N68)</f>
        <v>201</v>
      </c>
      <c r="O68" s="223">
        <f>SUM('7.4 (L) (2)'!O68,'7.4 (P) (2)'!O68)</f>
        <v>140</v>
      </c>
      <c r="P68" s="223">
        <f>SUM('7.4 (L) (2)'!P68,'7.4 (P) (2)'!P68)</f>
        <v>43</v>
      </c>
      <c r="Q68" s="223">
        <f>SUM('7.4 (L) (2)'!Q68,'7.4 (P) (2)'!Q68)</f>
        <v>14</v>
      </c>
      <c r="R68" s="222"/>
    </row>
    <row r="69" spans="1:18" ht="15" customHeight="1">
      <c r="B69" s="153"/>
      <c r="C69" s="152"/>
      <c r="D69" s="149">
        <v>2022</v>
      </c>
      <c r="E69" s="223">
        <f>SUM('7.4 (L) (2)'!E69,'7.4 (P) (2)'!E69)</f>
        <v>2</v>
      </c>
      <c r="F69" s="223">
        <f>SUM('7.4 (L) (2)'!F69,'7.4 (P) (2)'!F69)</f>
        <v>7</v>
      </c>
      <c r="G69" s="223">
        <f>SUM('7.4 (L) (2)'!G69,'7.4 (P) (2)'!G69)</f>
        <v>8</v>
      </c>
      <c r="H69" s="223">
        <f>SUM('7.4 (L) (2)'!H69,'7.4 (P) (2)'!H69)</f>
        <v>15</v>
      </c>
      <c r="I69" s="223">
        <f>SUM('7.4 (L) (2)'!I69,'7.4 (P) (2)'!I69)</f>
        <v>8</v>
      </c>
      <c r="J69" s="223">
        <f>SUM('7.4 (L) (2)'!J69,'7.4 (P) (2)'!J69)</f>
        <v>9</v>
      </c>
      <c r="K69" s="223"/>
      <c r="L69" s="223">
        <f>SUM('7.4 (L) (2)'!L69,'7.4 (P) (2)'!L69)</f>
        <v>89</v>
      </c>
      <c r="M69" s="223">
        <f>SUM('7.4 (L) (2)'!M69,'7.4 (P) (2)'!M69)</f>
        <v>261</v>
      </c>
      <c r="N69" s="223">
        <f>SUM('7.4 (L) (2)'!N69,'7.4 (P) (2)'!N69)</f>
        <v>213</v>
      </c>
      <c r="O69" s="223">
        <f>SUM('7.4 (L) (2)'!O69,'7.4 (P) (2)'!O69)</f>
        <v>114</v>
      </c>
      <c r="P69" s="223">
        <f>SUM('7.4 (L) (2)'!P69,'7.4 (P) (2)'!P69)</f>
        <v>52</v>
      </c>
      <c r="Q69" s="223">
        <f>SUM('7.4 (L) (2)'!Q69,'7.4 (P) (2)'!Q69)</f>
        <v>16</v>
      </c>
      <c r="R69" s="222"/>
    </row>
    <row r="70" spans="1:18" ht="15" customHeight="1">
      <c r="B70" s="153"/>
      <c r="C70" s="152"/>
      <c r="D70" s="149">
        <v>2023</v>
      </c>
      <c r="E70" s="231">
        <f>SUM('7.4 (L) (2)'!E70,'7.4 (P) (2)'!E70)</f>
        <v>1</v>
      </c>
      <c r="F70" s="223">
        <f>SUM('7.4 (L) (2)'!F70,'7.4 (P) (2)'!F70)</f>
        <v>14</v>
      </c>
      <c r="G70" s="223">
        <f>SUM('7.4 (L) (2)'!G70,'7.4 (P) (2)'!G70)</f>
        <v>6</v>
      </c>
      <c r="H70" s="223">
        <f>SUM('7.4 (L) (2)'!H70,'7.4 (P) (2)'!H70)</f>
        <v>15</v>
      </c>
      <c r="I70" s="223">
        <f>SUM('7.4 (L) (2)'!I70,'7.4 (P) (2)'!I70)</f>
        <v>14</v>
      </c>
      <c r="J70" s="223">
        <f>SUM('7.4 (L) (2)'!J70,'7.4 (P) (2)'!J70)</f>
        <v>8</v>
      </c>
      <c r="K70" s="223"/>
      <c r="L70" s="223">
        <f>SUM('7.4 (L) (2)'!L70,'7.4 (P) (2)'!L70)</f>
        <v>78</v>
      </c>
      <c r="M70" s="223">
        <f>SUM('7.4 (L) (2)'!M70,'7.4 (P) (2)'!M70)</f>
        <v>280</v>
      </c>
      <c r="N70" s="223">
        <f>SUM('7.4 (L) (2)'!N70,'7.4 (P) (2)'!N70)</f>
        <v>252</v>
      </c>
      <c r="O70" s="223">
        <f>SUM('7.4 (L) (2)'!O70,'7.4 (P) (2)'!O70)</f>
        <v>182</v>
      </c>
      <c r="P70" s="223">
        <f>SUM('7.4 (L) (2)'!P70,'7.4 (P) (2)'!P70)</f>
        <v>99</v>
      </c>
      <c r="Q70" s="223">
        <f>SUM('7.4 (L) (2)'!Q70,'7.4 (P) (2)'!Q70)</f>
        <v>17</v>
      </c>
      <c r="R70" s="222"/>
    </row>
    <row r="71" spans="1:18" ht="8.1" customHeight="1">
      <c r="B71" s="153"/>
      <c r="C71" s="151"/>
      <c r="D71" s="149"/>
      <c r="E71" s="150"/>
      <c r="F71" s="203"/>
      <c r="G71" s="203"/>
      <c r="H71" s="203"/>
      <c r="I71" s="203"/>
      <c r="J71" s="203"/>
      <c r="K71" s="203"/>
      <c r="L71" s="203"/>
      <c r="M71" s="204"/>
      <c r="N71" s="204"/>
      <c r="O71" s="204"/>
      <c r="P71" s="208"/>
      <c r="Q71" s="208"/>
      <c r="R71" s="203"/>
    </row>
    <row r="72" spans="1:18" ht="15" customHeight="1">
      <c r="B72" s="151" t="s">
        <v>109</v>
      </c>
      <c r="C72" s="152"/>
      <c r="D72" s="149">
        <v>2021</v>
      </c>
      <c r="E72" s="223">
        <f>SUM('7.4 (L) (2)'!E72,'7.4 (P) (2)'!E72)</f>
        <v>4</v>
      </c>
      <c r="F72" s="223">
        <f>SUM('7.4 (L) (2)'!F72,'7.4 (P) (2)'!F72)</f>
        <v>54</v>
      </c>
      <c r="G72" s="223">
        <f>SUM('7.4 (L) (2)'!G72,'7.4 (P) (2)'!G72)</f>
        <v>64</v>
      </c>
      <c r="H72" s="223">
        <f>SUM('7.4 (L) (2)'!H72,'7.4 (P) (2)'!H72)</f>
        <v>47</v>
      </c>
      <c r="I72" s="223">
        <f>SUM('7.4 (L) (2)'!I72,'7.4 (P) (2)'!I72)</f>
        <v>23</v>
      </c>
      <c r="J72" s="223">
        <f>SUM('7.4 (L) (2)'!J72,'7.4 (P) (2)'!J72)</f>
        <v>24</v>
      </c>
      <c r="K72" s="223"/>
      <c r="L72" s="223">
        <f>SUM('7.4 (L) (2)'!L72,'7.4 (P) (2)'!L72)</f>
        <v>94</v>
      </c>
      <c r="M72" s="223">
        <f>SUM('7.4 (L) (2)'!M72,'7.4 (P) (2)'!M72)</f>
        <v>466</v>
      </c>
      <c r="N72" s="223">
        <f>SUM('7.4 (L) (2)'!N72,'7.4 (P) (2)'!N72)</f>
        <v>275</v>
      </c>
      <c r="O72" s="223">
        <f>SUM('7.4 (L) (2)'!O72,'7.4 (P) (2)'!O72)</f>
        <v>158</v>
      </c>
      <c r="P72" s="223">
        <f>SUM('7.4 (L) (2)'!P72,'7.4 (P) (2)'!P72)</f>
        <v>57</v>
      </c>
      <c r="Q72" s="223">
        <f>SUM('7.4 (L) (2)'!Q72,'7.4 (P) (2)'!Q72)</f>
        <v>18</v>
      </c>
      <c r="R72" s="222"/>
    </row>
    <row r="73" spans="1:18" ht="15" customHeight="1">
      <c r="B73" s="153"/>
      <c r="C73" s="152"/>
      <c r="D73" s="149">
        <v>2022</v>
      </c>
      <c r="E73" s="231">
        <f>SUM('7.4 (L) (2)'!E73,'7.4 (P) (2)'!E73)</f>
        <v>2</v>
      </c>
      <c r="F73" s="223">
        <f>SUM('7.4 (L) (2)'!F73,'7.4 (P) (2)'!F73)</f>
        <v>34</v>
      </c>
      <c r="G73" s="223">
        <f>SUM('7.4 (L) (2)'!G73,'7.4 (P) (2)'!G73)</f>
        <v>22</v>
      </c>
      <c r="H73" s="223">
        <f>SUM('7.4 (L) (2)'!H73,'7.4 (P) (2)'!H73)</f>
        <v>24</v>
      </c>
      <c r="I73" s="223">
        <f>SUM('7.4 (L) (2)'!I73,'7.4 (P) (2)'!I73)</f>
        <v>13</v>
      </c>
      <c r="J73" s="223">
        <f>SUM('7.4 (L) (2)'!J73,'7.4 (P) (2)'!J73)</f>
        <v>16</v>
      </c>
      <c r="K73" s="223"/>
      <c r="L73" s="223">
        <f>SUM('7.4 (L) (2)'!L73,'7.4 (P) (2)'!L73)</f>
        <v>95</v>
      </c>
      <c r="M73" s="223">
        <f>SUM('7.4 (L) (2)'!M73,'7.4 (P) (2)'!M73)</f>
        <v>565</v>
      </c>
      <c r="N73" s="223">
        <f>SUM('7.4 (L) (2)'!N73,'7.4 (P) (2)'!N73)</f>
        <v>406</v>
      </c>
      <c r="O73" s="223">
        <f>SUM('7.4 (L) (2)'!O73,'7.4 (P) (2)'!O73)</f>
        <v>180</v>
      </c>
      <c r="P73" s="223">
        <f>SUM('7.4 (L) (2)'!P73,'7.4 (P) (2)'!P73)</f>
        <v>70</v>
      </c>
      <c r="Q73" s="223">
        <f>SUM('7.4 (L) (2)'!Q73,'7.4 (P) (2)'!Q73)</f>
        <v>12</v>
      </c>
      <c r="R73" s="222"/>
    </row>
    <row r="74" spans="1:18" ht="15" customHeight="1">
      <c r="A74" s="177"/>
      <c r="B74" s="225"/>
      <c r="C74" s="226"/>
      <c r="D74" s="227">
        <v>2023</v>
      </c>
      <c r="E74" s="223">
        <f>SUM('7.4 (L) (2)'!E74,'7.4 (P) (2)'!E74)</f>
        <v>2</v>
      </c>
      <c r="F74" s="223">
        <f>SUM('7.4 (L) (2)'!F74,'7.4 (P) (2)'!F74)</f>
        <v>27</v>
      </c>
      <c r="G74" s="223">
        <f>SUM('7.4 (L) (2)'!G74,'7.4 (P) (2)'!G74)</f>
        <v>30</v>
      </c>
      <c r="H74" s="223">
        <f>SUM('7.4 (L) (2)'!H74,'7.4 (P) (2)'!H74)</f>
        <v>27</v>
      </c>
      <c r="I74" s="223">
        <f>SUM('7.4 (L) (2)'!I74,'7.4 (P) (2)'!I74)</f>
        <v>21</v>
      </c>
      <c r="J74" s="223">
        <f>SUM('7.4 (L) (2)'!J74,'7.4 (P) (2)'!J74)</f>
        <v>18</v>
      </c>
      <c r="K74" s="223"/>
      <c r="L74" s="223">
        <f>SUM('7.4 (L) (2)'!L74,'7.4 (P) (2)'!L74)</f>
        <v>87</v>
      </c>
      <c r="M74" s="223">
        <f>SUM('7.4 (L) (2)'!M74,'7.4 (P) (2)'!M74)</f>
        <v>474</v>
      </c>
      <c r="N74" s="223">
        <f>SUM('7.4 (L) (2)'!N74,'7.4 (P) (2)'!N74)</f>
        <v>369</v>
      </c>
      <c r="O74" s="223">
        <f>SUM('7.4 (L) (2)'!O74,'7.4 (P) (2)'!O74)</f>
        <v>203</v>
      </c>
      <c r="P74" s="223">
        <f>SUM('7.4 (L) (2)'!P74,'7.4 (P) (2)'!P74)</f>
        <v>73</v>
      </c>
      <c r="Q74" s="223">
        <f>SUM('7.4 (L) (2)'!Q74,'7.4 (P) (2)'!Q74)</f>
        <v>35</v>
      </c>
      <c r="R74" s="222"/>
    </row>
    <row r="75" spans="1:18" ht="8.1" customHeight="1" thickBot="1">
      <c r="A75" s="156"/>
      <c r="B75" s="156"/>
      <c r="C75" s="156"/>
      <c r="D75" s="157"/>
      <c r="E75" s="158"/>
      <c r="F75" s="158"/>
      <c r="G75" s="158"/>
      <c r="H75" s="158"/>
      <c r="I75" s="158"/>
      <c r="J75" s="158"/>
      <c r="K75" s="158"/>
      <c r="L75" s="158"/>
      <c r="M75" s="228"/>
      <c r="N75" s="228"/>
      <c r="O75" s="229"/>
      <c r="P75" s="229"/>
      <c r="Q75" s="229"/>
      <c r="R75" s="158"/>
    </row>
    <row r="76" spans="1:18" s="87" customFormat="1" ht="15.95" customHeight="1">
      <c r="B76" s="88"/>
      <c r="C76" s="89"/>
      <c r="D76" s="90"/>
      <c r="E76" s="91"/>
      <c r="F76" s="91"/>
      <c r="R76" s="92" t="s">
        <v>19</v>
      </c>
    </row>
    <row r="77" spans="1:18" s="87" customFormat="1" ht="15.95" customHeight="1">
      <c r="B77" s="88"/>
      <c r="C77" s="89"/>
      <c r="D77" s="90"/>
      <c r="E77" s="91"/>
      <c r="F77" s="91"/>
      <c r="R77" s="93" t="s">
        <v>20</v>
      </c>
    </row>
    <row r="78" spans="1:18" ht="15" customHeight="1">
      <c r="B78" s="212"/>
      <c r="C78" s="213"/>
      <c r="D78" s="214"/>
      <c r="E78" s="219"/>
      <c r="F78" s="220"/>
      <c r="G78" s="220"/>
      <c r="H78" s="220"/>
      <c r="I78" s="220"/>
      <c r="J78" s="220"/>
      <c r="K78" s="220"/>
      <c r="L78" s="220"/>
      <c r="M78" s="221"/>
      <c r="N78" s="221"/>
      <c r="O78" s="196"/>
      <c r="P78" s="196"/>
      <c r="Q78" s="196"/>
      <c r="R78" s="220"/>
    </row>
    <row r="79" spans="1:18" ht="15" customHeight="1">
      <c r="D79" s="217"/>
      <c r="E79" s="216"/>
      <c r="F79" s="216"/>
      <c r="G79" s="216"/>
      <c r="H79" s="216"/>
      <c r="L79" s="215"/>
      <c r="M79" s="218"/>
      <c r="N79" s="218"/>
    </row>
    <row r="80" spans="1:18" ht="15" customHeight="1">
      <c r="B80" s="138"/>
      <c r="C80" s="138"/>
      <c r="D80" s="139"/>
      <c r="E80" s="140"/>
      <c r="F80" s="140"/>
      <c r="G80" s="140"/>
      <c r="H80" s="140"/>
      <c r="I80" s="140"/>
      <c r="J80" s="140"/>
      <c r="K80" s="140"/>
      <c r="L80" s="140"/>
      <c r="R80" s="140"/>
    </row>
    <row r="81" spans="2:18" ht="15" customHeight="1">
      <c r="B81" s="138"/>
      <c r="C81" s="138"/>
      <c r="D81" s="139"/>
      <c r="E81" s="140"/>
      <c r="F81" s="140"/>
      <c r="G81" s="140"/>
      <c r="H81" s="140"/>
      <c r="I81" s="140"/>
      <c r="J81" s="140"/>
      <c r="K81" s="140"/>
      <c r="L81" s="140"/>
      <c r="R81" s="140"/>
    </row>
    <row r="82" spans="2:18" ht="15" customHeight="1">
      <c r="B82" s="138"/>
      <c r="C82" s="138"/>
      <c r="D82" s="139"/>
      <c r="E82" s="140"/>
      <c r="F82" s="140"/>
      <c r="G82" s="140"/>
      <c r="H82" s="140"/>
      <c r="I82" s="140"/>
      <c r="J82" s="140"/>
      <c r="K82" s="140"/>
      <c r="L82" s="140"/>
      <c r="R82" s="140"/>
    </row>
    <row r="83" spans="2:18" ht="15" customHeight="1">
      <c r="B83" s="138"/>
      <c r="C83" s="138"/>
      <c r="D83" s="139"/>
      <c r="E83" s="140"/>
      <c r="F83" s="140"/>
      <c r="G83" s="140"/>
      <c r="H83" s="140"/>
      <c r="I83" s="140"/>
      <c r="J83" s="140"/>
      <c r="K83" s="140"/>
      <c r="L83" s="140"/>
      <c r="R83" s="140"/>
    </row>
    <row r="84" spans="2:18" ht="15" customHeight="1">
      <c r="B84" s="138"/>
      <c r="C84" s="138"/>
      <c r="D84" s="139"/>
      <c r="E84" s="140"/>
      <c r="F84" s="140"/>
      <c r="G84" s="140"/>
      <c r="H84" s="140"/>
      <c r="I84" s="140"/>
      <c r="J84" s="140"/>
      <c r="K84" s="140"/>
      <c r="L84" s="140"/>
      <c r="R84" s="140"/>
    </row>
    <row r="85" spans="2:18" ht="15" customHeight="1">
      <c r="B85" s="138"/>
      <c r="C85" s="138"/>
      <c r="D85" s="139"/>
      <c r="E85" s="140"/>
      <c r="F85" s="140"/>
      <c r="G85" s="140"/>
      <c r="H85" s="140"/>
      <c r="I85" s="140"/>
      <c r="J85" s="140"/>
      <c r="K85" s="140"/>
      <c r="L85" s="140"/>
      <c r="R85" s="140"/>
    </row>
    <row r="86" spans="2:18" ht="15" customHeight="1">
      <c r="B86" s="138"/>
      <c r="C86" s="138"/>
      <c r="D86" s="139"/>
      <c r="E86" s="140"/>
      <c r="F86" s="140"/>
      <c r="G86" s="140"/>
      <c r="H86" s="140"/>
      <c r="I86" s="140"/>
      <c r="J86" s="140"/>
      <c r="K86" s="140"/>
      <c r="L86" s="140"/>
      <c r="R86" s="140"/>
    </row>
    <row r="87" spans="2:18" ht="15" customHeight="1">
      <c r="B87" s="138"/>
      <c r="C87" s="138"/>
      <c r="D87" s="139"/>
      <c r="E87" s="140"/>
      <c r="F87" s="140"/>
      <c r="G87" s="140"/>
      <c r="H87" s="140"/>
      <c r="I87" s="140"/>
      <c r="J87" s="140"/>
      <c r="K87" s="140"/>
      <c r="L87" s="140"/>
      <c r="R87" s="140"/>
    </row>
    <row r="88" spans="2:18" ht="15" customHeight="1">
      <c r="B88" s="138"/>
      <c r="C88" s="138"/>
      <c r="D88" s="139"/>
      <c r="E88" s="140"/>
      <c r="F88" s="140"/>
      <c r="G88" s="140"/>
      <c r="H88" s="140"/>
      <c r="I88" s="140"/>
      <c r="J88" s="140"/>
      <c r="K88" s="140"/>
      <c r="L88" s="140"/>
      <c r="R88" s="140"/>
    </row>
    <row r="89" spans="2:18" ht="15" customHeight="1">
      <c r="B89" s="138"/>
      <c r="C89" s="138"/>
      <c r="D89" s="139"/>
      <c r="E89" s="140"/>
      <c r="F89" s="140"/>
      <c r="G89" s="140"/>
      <c r="H89" s="140"/>
      <c r="I89" s="140"/>
      <c r="J89" s="140"/>
      <c r="K89" s="140"/>
      <c r="L89" s="140"/>
      <c r="R89" s="140"/>
    </row>
    <row r="90" spans="2:18" ht="15" customHeight="1">
      <c r="B90" s="138"/>
      <c r="C90" s="138"/>
      <c r="D90" s="139"/>
      <c r="E90" s="140"/>
      <c r="F90" s="140"/>
      <c r="G90" s="140"/>
      <c r="H90" s="140"/>
      <c r="I90" s="140"/>
      <c r="J90" s="140"/>
      <c r="K90" s="140"/>
      <c r="L90" s="140"/>
      <c r="R90" s="140"/>
    </row>
    <row r="91" spans="2:18" ht="15" customHeight="1">
      <c r="B91" s="138"/>
      <c r="C91" s="138"/>
      <c r="D91" s="139"/>
      <c r="E91" s="140"/>
      <c r="F91" s="140"/>
      <c r="G91" s="140"/>
      <c r="H91" s="140"/>
      <c r="I91" s="140"/>
      <c r="J91" s="140"/>
      <c r="K91" s="140"/>
      <c r="L91" s="140"/>
      <c r="R91" s="140"/>
    </row>
    <row r="92" spans="2:18" ht="15" customHeight="1">
      <c r="B92" s="138"/>
      <c r="C92" s="138"/>
      <c r="D92" s="139"/>
      <c r="E92" s="140"/>
      <c r="F92" s="140"/>
      <c r="G92" s="140"/>
      <c r="H92" s="140"/>
      <c r="I92" s="140"/>
      <c r="J92" s="140"/>
      <c r="K92" s="140"/>
      <c r="L92" s="140"/>
      <c r="R92" s="140"/>
    </row>
    <row r="93" spans="2:18" ht="15" customHeight="1">
      <c r="B93" s="138"/>
      <c r="C93" s="138"/>
      <c r="D93" s="139"/>
      <c r="E93" s="140"/>
      <c r="F93" s="140"/>
      <c r="G93" s="140"/>
      <c r="H93" s="140"/>
      <c r="I93" s="140"/>
      <c r="J93" s="140"/>
      <c r="K93" s="140"/>
      <c r="L93" s="140"/>
      <c r="R93" s="140"/>
    </row>
    <row r="94" spans="2:18" ht="15" customHeight="1">
      <c r="B94" s="138"/>
      <c r="C94" s="138"/>
      <c r="D94" s="139"/>
      <c r="E94" s="140"/>
      <c r="F94" s="140"/>
      <c r="G94" s="140"/>
      <c r="H94" s="140"/>
      <c r="I94" s="140"/>
      <c r="J94" s="140"/>
      <c r="K94" s="140"/>
      <c r="L94" s="140"/>
      <c r="R94" s="140"/>
    </row>
    <row r="95" spans="2:18" ht="15" customHeight="1">
      <c r="B95" s="138"/>
      <c r="C95" s="138"/>
      <c r="D95" s="139"/>
      <c r="E95" s="140"/>
      <c r="F95" s="140"/>
      <c r="G95" s="140"/>
      <c r="H95" s="140"/>
      <c r="I95" s="140"/>
      <c r="J95" s="140"/>
      <c r="K95" s="140"/>
      <c r="L95" s="140"/>
      <c r="R95" s="140"/>
    </row>
    <row r="96" spans="2:18" ht="15" customHeight="1">
      <c r="B96" s="138"/>
      <c r="C96" s="138"/>
      <c r="D96" s="139"/>
      <c r="E96" s="140"/>
      <c r="F96" s="140"/>
      <c r="G96" s="140"/>
      <c r="H96" s="140"/>
      <c r="I96" s="140"/>
      <c r="J96" s="140"/>
      <c r="K96" s="140"/>
      <c r="L96" s="140"/>
      <c r="R96" s="140"/>
    </row>
    <row r="97" spans="2:18" ht="15" customHeight="1">
      <c r="B97" s="138"/>
      <c r="C97" s="138"/>
      <c r="D97" s="139"/>
      <c r="E97" s="140"/>
      <c r="F97" s="140"/>
      <c r="G97" s="140"/>
      <c r="H97" s="140"/>
      <c r="I97" s="140"/>
      <c r="J97" s="140"/>
      <c r="K97" s="140"/>
      <c r="L97" s="140"/>
      <c r="R97" s="140"/>
    </row>
    <row r="98" spans="2:18" ht="15" customHeight="1">
      <c r="B98" s="138"/>
      <c r="C98" s="138"/>
      <c r="D98" s="139"/>
      <c r="E98" s="140"/>
      <c r="F98" s="140"/>
      <c r="G98" s="140"/>
      <c r="H98" s="140"/>
      <c r="I98" s="140"/>
      <c r="J98" s="140"/>
      <c r="K98" s="140"/>
      <c r="L98" s="140"/>
      <c r="R98" s="140"/>
    </row>
    <row r="99" spans="2:18" ht="15" customHeight="1">
      <c r="B99" s="138"/>
      <c r="C99" s="138"/>
      <c r="D99" s="139"/>
      <c r="E99" s="140"/>
      <c r="F99" s="140"/>
      <c r="G99" s="140"/>
      <c r="H99" s="140"/>
      <c r="I99" s="140"/>
      <c r="J99" s="140"/>
      <c r="K99" s="140"/>
      <c r="L99" s="140"/>
      <c r="R99" s="140"/>
    </row>
    <row r="100" spans="2:18" ht="15" customHeight="1">
      <c r="B100" s="138"/>
      <c r="C100" s="138"/>
      <c r="D100" s="139"/>
      <c r="E100" s="140"/>
      <c r="F100" s="140"/>
      <c r="G100" s="140"/>
      <c r="H100" s="140"/>
      <c r="I100" s="140"/>
      <c r="J100" s="140"/>
      <c r="K100" s="140"/>
      <c r="L100" s="140"/>
      <c r="R100" s="140"/>
    </row>
    <row r="101" spans="2:18" ht="15" customHeight="1">
      <c r="B101" s="138"/>
      <c r="C101" s="138"/>
      <c r="D101" s="139"/>
      <c r="E101" s="140"/>
      <c r="F101" s="140"/>
      <c r="G101" s="140"/>
      <c r="H101" s="140"/>
      <c r="I101" s="140"/>
      <c r="J101" s="140"/>
      <c r="K101" s="140"/>
      <c r="L101" s="140"/>
      <c r="R101" s="140"/>
    </row>
    <row r="102" spans="2:18" ht="15" customHeight="1">
      <c r="B102" s="138"/>
      <c r="C102" s="138"/>
      <c r="D102" s="139"/>
      <c r="E102" s="140"/>
      <c r="F102" s="140"/>
      <c r="G102" s="140"/>
      <c r="H102" s="140"/>
      <c r="I102" s="140"/>
      <c r="J102" s="140"/>
      <c r="K102" s="140"/>
      <c r="L102" s="140"/>
      <c r="R102" s="140"/>
    </row>
    <row r="103" spans="2:18" ht="15" customHeight="1">
      <c r="B103" s="138"/>
      <c r="C103" s="138"/>
      <c r="D103" s="139"/>
      <c r="E103" s="140"/>
      <c r="F103" s="140"/>
      <c r="G103" s="140"/>
      <c r="H103" s="140"/>
      <c r="I103" s="140"/>
      <c r="J103" s="140"/>
      <c r="K103" s="140"/>
      <c r="L103" s="140"/>
      <c r="R103" s="140"/>
    </row>
    <row r="104" spans="2:18" ht="15" customHeight="1">
      <c r="B104" s="138"/>
      <c r="C104" s="138"/>
      <c r="D104" s="139"/>
      <c r="E104" s="140"/>
      <c r="F104" s="140"/>
      <c r="G104" s="140"/>
      <c r="H104" s="140"/>
      <c r="I104" s="140"/>
      <c r="J104" s="140"/>
      <c r="K104" s="140"/>
      <c r="L104" s="140"/>
      <c r="R104" s="140"/>
    </row>
    <row r="105" spans="2:18" ht="15" customHeight="1">
      <c r="B105" s="138"/>
      <c r="C105" s="138"/>
      <c r="D105" s="139"/>
      <c r="E105" s="140"/>
      <c r="F105" s="140"/>
      <c r="G105" s="140"/>
      <c r="H105" s="140"/>
      <c r="I105" s="140"/>
      <c r="J105" s="140"/>
      <c r="K105" s="140"/>
      <c r="L105" s="140"/>
      <c r="R105" s="140"/>
    </row>
    <row r="106" spans="2:18" ht="15" customHeight="1">
      <c r="B106" s="138"/>
      <c r="C106" s="138"/>
      <c r="D106" s="139"/>
      <c r="E106" s="140"/>
      <c r="F106" s="140"/>
      <c r="G106" s="140"/>
      <c r="H106" s="140"/>
      <c r="I106" s="140"/>
      <c r="J106" s="140"/>
      <c r="K106" s="140"/>
      <c r="L106" s="140"/>
      <c r="R106" s="140"/>
    </row>
    <row r="107" spans="2:18" ht="15" customHeight="1">
      <c r="B107" s="138"/>
      <c r="C107" s="138"/>
      <c r="D107" s="139"/>
      <c r="E107" s="140"/>
      <c r="F107" s="140"/>
      <c r="G107" s="140"/>
      <c r="H107" s="140"/>
      <c r="I107" s="140"/>
      <c r="J107" s="140"/>
      <c r="K107" s="140"/>
      <c r="L107" s="140"/>
      <c r="R107" s="140"/>
    </row>
    <row r="108" spans="2:18" ht="15" customHeight="1">
      <c r="B108" s="138"/>
      <c r="C108" s="138"/>
      <c r="D108" s="139"/>
      <c r="E108" s="140"/>
      <c r="F108" s="140"/>
      <c r="G108" s="140"/>
      <c r="H108" s="140"/>
      <c r="I108" s="140"/>
      <c r="J108" s="140"/>
      <c r="K108" s="140"/>
      <c r="L108" s="140"/>
      <c r="R108" s="140"/>
    </row>
    <row r="109" spans="2:18" ht="15" customHeight="1">
      <c r="B109" s="138"/>
      <c r="C109" s="138"/>
      <c r="D109" s="139"/>
      <c r="E109" s="140"/>
      <c r="F109" s="140"/>
      <c r="G109" s="140"/>
      <c r="H109" s="140"/>
      <c r="I109" s="140"/>
      <c r="J109" s="140"/>
      <c r="K109" s="140"/>
      <c r="L109" s="140"/>
      <c r="R109" s="140"/>
    </row>
    <row r="110" spans="2:18" ht="15" customHeight="1">
      <c r="B110" s="138"/>
      <c r="C110" s="138"/>
      <c r="D110" s="139"/>
      <c r="E110" s="140"/>
      <c r="F110" s="140"/>
      <c r="G110" s="140"/>
      <c r="H110" s="140"/>
      <c r="I110" s="140"/>
      <c r="J110" s="140"/>
      <c r="K110" s="140"/>
      <c r="L110" s="140"/>
      <c r="R110" s="140"/>
    </row>
    <row r="111" spans="2:18" ht="15" customHeight="1">
      <c r="B111" s="138"/>
      <c r="C111" s="138"/>
      <c r="D111" s="139"/>
      <c r="E111" s="140"/>
      <c r="F111" s="140"/>
      <c r="G111" s="140"/>
      <c r="H111" s="140"/>
      <c r="I111" s="140"/>
      <c r="J111" s="140"/>
      <c r="K111" s="140"/>
      <c r="L111" s="140"/>
      <c r="R111" s="140"/>
    </row>
    <row r="112" spans="2:18" ht="15" customHeight="1">
      <c r="B112" s="138"/>
      <c r="C112" s="138"/>
      <c r="D112" s="139"/>
      <c r="E112" s="140"/>
      <c r="F112" s="140"/>
      <c r="G112" s="140"/>
      <c r="H112" s="140"/>
      <c r="I112" s="140"/>
      <c r="J112" s="140"/>
      <c r="K112" s="140"/>
      <c r="L112" s="140"/>
      <c r="R112" s="140"/>
    </row>
    <row r="113" spans="2:18" ht="15" customHeight="1">
      <c r="B113" s="138"/>
      <c r="C113" s="138"/>
      <c r="D113" s="139"/>
      <c r="E113" s="140"/>
      <c r="F113" s="140"/>
      <c r="G113" s="140"/>
      <c r="H113" s="140"/>
      <c r="I113" s="140"/>
      <c r="J113" s="140"/>
      <c r="K113" s="140"/>
      <c r="L113" s="140"/>
      <c r="R113" s="140"/>
    </row>
    <row r="114" spans="2:18" ht="15" customHeight="1">
      <c r="B114" s="138"/>
      <c r="C114" s="138"/>
      <c r="D114" s="139"/>
      <c r="E114" s="140"/>
      <c r="F114" s="140"/>
      <c r="G114" s="140"/>
      <c r="H114" s="140"/>
      <c r="I114" s="140"/>
      <c r="J114" s="140"/>
      <c r="K114" s="140"/>
      <c r="L114" s="140"/>
      <c r="R114" s="140"/>
    </row>
    <row r="115" spans="2:18" ht="15" customHeight="1">
      <c r="B115" s="138"/>
      <c r="C115" s="138"/>
      <c r="D115" s="139"/>
      <c r="E115" s="140"/>
      <c r="F115" s="140"/>
      <c r="G115" s="140"/>
      <c r="H115" s="140"/>
      <c r="I115" s="140"/>
      <c r="J115" s="140"/>
      <c r="K115" s="140"/>
      <c r="L115" s="140"/>
      <c r="R115" s="140"/>
    </row>
    <row r="116" spans="2:18" ht="15" customHeight="1">
      <c r="B116" s="138"/>
      <c r="C116" s="138"/>
      <c r="D116" s="139"/>
      <c r="E116" s="140"/>
      <c r="F116" s="140"/>
      <c r="G116" s="140"/>
      <c r="H116" s="140"/>
      <c r="I116" s="140"/>
      <c r="J116" s="140"/>
      <c r="K116" s="140"/>
      <c r="L116" s="140"/>
      <c r="R116" s="140"/>
    </row>
    <row r="117" spans="2:18" ht="15" customHeight="1">
      <c r="B117" s="138"/>
      <c r="C117" s="138"/>
      <c r="D117" s="139"/>
      <c r="E117" s="140"/>
      <c r="F117" s="140"/>
      <c r="G117" s="140"/>
      <c r="H117" s="140"/>
      <c r="I117" s="140"/>
      <c r="J117" s="140"/>
      <c r="K117" s="140"/>
      <c r="L117" s="140"/>
      <c r="R117" s="140"/>
    </row>
    <row r="118" spans="2:18" ht="15" customHeight="1">
      <c r="B118" s="138"/>
      <c r="C118" s="138"/>
      <c r="D118" s="139"/>
      <c r="E118" s="140"/>
      <c r="F118" s="140"/>
      <c r="G118" s="140"/>
      <c r="H118" s="140"/>
      <c r="I118" s="140"/>
      <c r="J118" s="140"/>
      <c r="K118" s="140"/>
      <c r="L118" s="140"/>
      <c r="R118" s="140"/>
    </row>
    <row r="119" spans="2:18" ht="15" customHeight="1">
      <c r="B119" s="138"/>
      <c r="C119" s="138"/>
      <c r="D119" s="139"/>
      <c r="E119" s="140"/>
      <c r="F119" s="140"/>
      <c r="G119" s="140"/>
      <c r="H119" s="140"/>
      <c r="I119" s="140"/>
      <c r="J119" s="140"/>
      <c r="K119" s="140"/>
      <c r="L119" s="140"/>
      <c r="R119" s="140"/>
    </row>
    <row r="120" spans="2:18" ht="15" customHeight="1">
      <c r="B120" s="138"/>
      <c r="C120" s="138"/>
      <c r="D120" s="139"/>
      <c r="E120" s="140"/>
      <c r="F120" s="140"/>
      <c r="G120" s="140"/>
      <c r="H120" s="140"/>
      <c r="I120" s="140"/>
      <c r="J120" s="140"/>
      <c r="K120" s="140"/>
      <c r="L120" s="140"/>
      <c r="R120" s="140"/>
    </row>
    <row r="121" spans="2:18" ht="15" customHeight="1">
      <c r="B121" s="138"/>
      <c r="C121" s="138"/>
      <c r="D121" s="139"/>
      <c r="E121" s="140"/>
      <c r="F121" s="140"/>
      <c r="G121" s="140"/>
      <c r="H121" s="140"/>
      <c r="I121" s="140"/>
      <c r="J121" s="140"/>
      <c r="K121" s="140"/>
      <c r="L121" s="140"/>
      <c r="R121" s="140"/>
    </row>
    <row r="122" spans="2:18" ht="15" customHeight="1">
      <c r="B122" s="138"/>
      <c r="C122" s="138"/>
      <c r="D122" s="139"/>
      <c r="E122" s="140"/>
      <c r="F122" s="140"/>
      <c r="G122" s="140"/>
      <c r="H122" s="140"/>
      <c r="I122" s="140"/>
      <c r="J122" s="140"/>
      <c r="K122" s="140"/>
      <c r="L122" s="140"/>
      <c r="R122" s="140"/>
    </row>
    <row r="123" spans="2:18" ht="15" customHeight="1">
      <c r="B123" s="138"/>
      <c r="C123" s="138"/>
      <c r="D123" s="139"/>
      <c r="E123" s="140"/>
      <c r="F123" s="140"/>
      <c r="G123" s="140"/>
      <c r="H123" s="140"/>
      <c r="I123" s="140"/>
      <c r="J123" s="140"/>
      <c r="K123" s="140"/>
      <c r="L123" s="140"/>
      <c r="R123" s="140"/>
    </row>
    <row r="124" spans="2:18" ht="15" customHeight="1">
      <c r="B124" s="138"/>
      <c r="C124" s="138"/>
      <c r="D124" s="139"/>
      <c r="E124" s="140"/>
      <c r="F124" s="140"/>
      <c r="G124" s="140"/>
      <c r="H124" s="140"/>
      <c r="I124" s="140"/>
      <c r="J124" s="140"/>
      <c r="K124" s="140"/>
      <c r="L124" s="140"/>
      <c r="R124" s="140"/>
    </row>
    <row r="125" spans="2:18" ht="15" customHeight="1">
      <c r="B125" s="138"/>
      <c r="C125" s="138"/>
      <c r="D125" s="139"/>
      <c r="E125" s="140"/>
      <c r="F125" s="140"/>
      <c r="G125" s="140"/>
      <c r="H125" s="140"/>
      <c r="I125" s="140"/>
      <c r="J125" s="140"/>
      <c r="K125" s="140"/>
      <c r="L125" s="140"/>
      <c r="R125" s="140"/>
    </row>
    <row r="126" spans="2:18" ht="15" customHeight="1">
      <c r="B126" s="138"/>
      <c r="C126" s="138"/>
      <c r="D126" s="139"/>
      <c r="E126" s="140"/>
      <c r="F126" s="140"/>
      <c r="G126" s="140"/>
      <c r="H126" s="140"/>
      <c r="I126" s="140"/>
      <c r="J126" s="140"/>
      <c r="K126" s="140"/>
      <c r="L126" s="140"/>
      <c r="R126" s="140"/>
    </row>
    <row r="127" spans="2:18" ht="15" customHeight="1">
      <c r="B127" s="138"/>
      <c r="C127" s="138"/>
      <c r="D127" s="139"/>
      <c r="E127" s="140"/>
      <c r="F127" s="140"/>
      <c r="G127" s="140"/>
      <c r="H127" s="140"/>
      <c r="I127" s="140"/>
      <c r="J127" s="140"/>
      <c r="K127" s="140"/>
      <c r="L127" s="140"/>
      <c r="R127" s="140"/>
    </row>
    <row r="128" spans="2:18" ht="15" customHeight="1">
      <c r="B128" s="138"/>
      <c r="C128" s="138"/>
      <c r="D128" s="139"/>
      <c r="E128" s="140"/>
      <c r="F128" s="140"/>
      <c r="G128" s="140"/>
      <c r="H128" s="140"/>
      <c r="I128" s="140"/>
      <c r="J128" s="140"/>
      <c r="K128" s="140"/>
      <c r="L128" s="140"/>
      <c r="R128" s="140"/>
    </row>
    <row r="129" spans="2:18" ht="15" customHeight="1">
      <c r="B129" s="138"/>
      <c r="C129" s="138"/>
      <c r="D129" s="139"/>
      <c r="E129" s="140"/>
      <c r="F129" s="140"/>
      <c r="G129" s="140"/>
      <c r="H129" s="140"/>
      <c r="I129" s="140"/>
      <c r="J129" s="140"/>
      <c r="K129" s="140"/>
      <c r="L129" s="140"/>
      <c r="R129" s="140"/>
    </row>
    <row r="130" spans="2:18" ht="15" customHeight="1">
      <c r="B130" s="138"/>
      <c r="C130" s="138"/>
      <c r="D130" s="139"/>
      <c r="E130" s="140"/>
      <c r="F130" s="140"/>
      <c r="G130" s="140"/>
      <c r="H130" s="140"/>
      <c r="I130" s="140"/>
      <c r="J130" s="140"/>
      <c r="K130" s="140"/>
      <c r="L130" s="140"/>
      <c r="R130" s="140"/>
    </row>
    <row r="131" spans="2:18" ht="15" customHeight="1">
      <c r="B131" s="138"/>
      <c r="C131" s="138"/>
      <c r="D131" s="139"/>
      <c r="E131" s="140"/>
      <c r="F131" s="140"/>
      <c r="G131" s="140"/>
      <c r="H131" s="140"/>
      <c r="I131" s="140"/>
      <c r="J131" s="140"/>
      <c r="K131" s="140"/>
      <c r="L131" s="140"/>
      <c r="R131" s="140"/>
    </row>
    <row r="132" spans="2:18" ht="15" customHeight="1">
      <c r="B132" s="138"/>
      <c r="C132" s="138"/>
      <c r="D132" s="139"/>
      <c r="E132" s="140"/>
      <c r="F132" s="140"/>
      <c r="G132" s="140"/>
      <c r="H132" s="140"/>
      <c r="I132" s="140"/>
      <c r="J132" s="140"/>
      <c r="K132" s="140"/>
      <c r="L132" s="140"/>
      <c r="R132" s="140"/>
    </row>
    <row r="133" spans="2:18" ht="15" customHeight="1">
      <c r="B133" s="138"/>
      <c r="C133" s="138"/>
      <c r="D133" s="139"/>
      <c r="E133" s="140"/>
      <c r="F133" s="140"/>
      <c r="G133" s="140"/>
      <c r="H133" s="140"/>
      <c r="I133" s="140"/>
      <c r="J133" s="140"/>
      <c r="K133" s="140"/>
      <c r="L133" s="140"/>
      <c r="R133" s="140"/>
    </row>
    <row r="134" spans="2:18" ht="15" customHeight="1">
      <c r="B134" s="138"/>
      <c r="C134" s="138"/>
      <c r="D134" s="139"/>
      <c r="E134" s="140"/>
      <c r="F134" s="140"/>
      <c r="G134" s="140"/>
      <c r="H134" s="140"/>
      <c r="I134" s="140"/>
      <c r="J134" s="140"/>
      <c r="K134" s="140"/>
      <c r="L134" s="140"/>
      <c r="R134" s="140"/>
    </row>
    <row r="135" spans="2:18" ht="15" customHeight="1">
      <c r="B135" s="138"/>
      <c r="C135" s="138"/>
      <c r="D135" s="139"/>
      <c r="E135" s="140"/>
      <c r="F135" s="140"/>
      <c r="G135" s="140"/>
      <c r="H135" s="140"/>
      <c r="I135" s="140"/>
      <c r="J135" s="140"/>
      <c r="K135" s="140"/>
      <c r="L135" s="140"/>
      <c r="R135" s="140"/>
    </row>
    <row r="136" spans="2:18" ht="15" customHeight="1">
      <c r="B136" s="138"/>
      <c r="C136" s="138"/>
      <c r="D136" s="139"/>
      <c r="E136" s="140"/>
      <c r="F136" s="140"/>
      <c r="G136" s="140"/>
      <c r="H136" s="140"/>
      <c r="I136" s="140"/>
      <c r="J136" s="140"/>
      <c r="K136" s="140"/>
      <c r="L136" s="140"/>
      <c r="R136" s="140"/>
    </row>
    <row r="137" spans="2:18" ht="15" customHeight="1">
      <c r="B137" s="138"/>
      <c r="C137" s="138"/>
      <c r="D137" s="139"/>
      <c r="E137" s="140"/>
      <c r="F137" s="140"/>
      <c r="G137" s="140"/>
      <c r="H137" s="140"/>
      <c r="I137" s="140"/>
      <c r="J137" s="140"/>
      <c r="K137" s="140"/>
      <c r="L137" s="140"/>
      <c r="R137" s="140"/>
    </row>
    <row r="138" spans="2:18" ht="15" customHeight="1">
      <c r="B138" s="138"/>
      <c r="C138" s="138"/>
      <c r="D138" s="139"/>
      <c r="E138" s="140"/>
      <c r="F138" s="140"/>
      <c r="G138" s="140"/>
      <c r="H138" s="140"/>
      <c r="I138" s="140"/>
      <c r="J138" s="140"/>
      <c r="K138" s="140"/>
      <c r="L138" s="140"/>
      <c r="R138" s="140"/>
    </row>
    <row r="139" spans="2:18" ht="15" customHeight="1">
      <c r="B139" s="138"/>
      <c r="C139" s="138"/>
      <c r="D139" s="139"/>
      <c r="E139" s="140"/>
      <c r="F139" s="140"/>
      <c r="G139" s="140"/>
      <c r="H139" s="140"/>
      <c r="I139" s="140"/>
      <c r="J139" s="140"/>
      <c r="K139" s="140"/>
      <c r="L139" s="140"/>
      <c r="R139" s="140"/>
    </row>
    <row r="140" spans="2:18" ht="15" customHeight="1">
      <c r="B140" s="138"/>
      <c r="C140" s="138"/>
      <c r="D140" s="139"/>
      <c r="E140" s="140"/>
      <c r="F140" s="140"/>
      <c r="G140" s="140"/>
      <c r="H140" s="140"/>
      <c r="I140" s="140"/>
      <c r="J140" s="140"/>
      <c r="K140" s="140"/>
      <c r="L140" s="140"/>
      <c r="R140" s="140"/>
    </row>
    <row r="141" spans="2:18" ht="15" customHeight="1">
      <c r="B141" s="138"/>
      <c r="C141" s="138"/>
      <c r="D141" s="139"/>
      <c r="E141" s="140"/>
      <c r="F141" s="140"/>
      <c r="G141" s="140"/>
      <c r="H141" s="140"/>
      <c r="I141" s="140"/>
      <c r="J141" s="140"/>
      <c r="K141" s="140"/>
      <c r="L141" s="140"/>
      <c r="R141" s="140"/>
    </row>
    <row r="142" spans="2:18" ht="15" customHeight="1">
      <c r="B142" s="138"/>
      <c r="C142" s="138"/>
      <c r="D142" s="139"/>
      <c r="E142" s="140"/>
      <c r="F142" s="140"/>
      <c r="G142" s="140"/>
      <c r="H142" s="140"/>
      <c r="I142" s="140"/>
      <c r="J142" s="140"/>
      <c r="K142" s="140"/>
      <c r="L142" s="140"/>
      <c r="R142" s="140"/>
    </row>
    <row r="143" spans="2:18" ht="15" customHeight="1">
      <c r="B143" s="138"/>
      <c r="C143" s="138"/>
      <c r="D143" s="139"/>
      <c r="E143" s="140"/>
      <c r="F143" s="140"/>
      <c r="G143" s="140"/>
      <c r="H143" s="140"/>
      <c r="I143" s="140"/>
      <c r="J143" s="140"/>
      <c r="K143" s="140"/>
      <c r="L143" s="140"/>
      <c r="R143" s="140"/>
    </row>
    <row r="144" spans="2:18" ht="15" customHeight="1">
      <c r="B144" s="138"/>
      <c r="C144" s="138"/>
      <c r="D144" s="139"/>
      <c r="E144" s="140"/>
      <c r="F144" s="140"/>
      <c r="G144" s="140"/>
      <c r="H144" s="140"/>
      <c r="I144" s="140"/>
      <c r="J144" s="140"/>
      <c r="K144" s="140"/>
      <c r="L144" s="140"/>
      <c r="R144" s="140"/>
    </row>
    <row r="145" spans="2:18" ht="15" customHeight="1">
      <c r="B145" s="138"/>
      <c r="C145" s="138"/>
      <c r="D145" s="139"/>
      <c r="E145" s="140"/>
      <c r="F145" s="140"/>
      <c r="G145" s="140"/>
      <c r="H145" s="140"/>
      <c r="I145" s="140"/>
      <c r="J145" s="140"/>
      <c r="K145" s="140"/>
      <c r="L145" s="140"/>
      <c r="R145" s="140"/>
    </row>
    <row r="146" spans="2:18" ht="15" customHeight="1">
      <c r="B146" s="138"/>
      <c r="C146" s="138"/>
      <c r="D146" s="139"/>
      <c r="E146" s="140"/>
      <c r="F146" s="140"/>
      <c r="G146" s="140"/>
      <c r="H146" s="140"/>
      <c r="I146" s="140"/>
      <c r="J146" s="140"/>
      <c r="K146" s="140"/>
      <c r="L146" s="140"/>
      <c r="R146" s="140"/>
    </row>
    <row r="147" spans="2:18" ht="15" customHeight="1">
      <c r="B147" s="138"/>
      <c r="C147" s="138"/>
      <c r="D147" s="139"/>
      <c r="E147" s="140"/>
      <c r="F147" s="140"/>
      <c r="G147" s="140"/>
      <c r="H147" s="140"/>
      <c r="I147" s="140"/>
      <c r="J147" s="140"/>
      <c r="K147" s="140"/>
      <c r="L147" s="140"/>
      <c r="R147" s="140"/>
    </row>
    <row r="148" spans="2:18" ht="15" customHeight="1">
      <c r="B148" s="138"/>
      <c r="C148" s="138"/>
      <c r="D148" s="139"/>
      <c r="E148" s="140"/>
      <c r="F148" s="140"/>
      <c r="G148" s="140"/>
      <c r="H148" s="140"/>
      <c r="I148" s="140"/>
      <c r="J148" s="140"/>
      <c r="K148" s="140"/>
      <c r="L148" s="140"/>
      <c r="R148" s="140"/>
    </row>
    <row r="149" spans="2:18" ht="15" customHeight="1">
      <c r="B149" s="138"/>
      <c r="C149" s="138"/>
      <c r="D149" s="139"/>
      <c r="E149" s="140"/>
      <c r="F149" s="140"/>
      <c r="G149" s="140"/>
      <c r="H149" s="140"/>
      <c r="I149" s="140"/>
      <c r="J149" s="140"/>
      <c r="K149" s="140"/>
      <c r="L149" s="140"/>
      <c r="R149" s="140"/>
    </row>
    <row r="150" spans="2:18" ht="15" customHeight="1">
      <c r="B150" s="138"/>
      <c r="C150" s="138"/>
      <c r="D150" s="139"/>
      <c r="E150" s="140"/>
      <c r="F150" s="140"/>
      <c r="G150" s="140"/>
      <c r="H150" s="140"/>
      <c r="I150" s="140"/>
      <c r="J150" s="140"/>
      <c r="K150" s="140"/>
      <c r="L150" s="140"/>
      <c r="R150" s="140"/>
    </row>
    <row r="151" spans="2:18" ht="15" customHeight="1">
      <c r="B151" s="138"/>
      <c r="C151" s="138"/>
      <c r="D151" s="139"/>
      <c r="E151" s="140"/>
      <c r="F151" s="140"/>
      <c r="G151" s="140"/>
      <c r="H151" s="140"/>
      <c r="I151" s="140"/>
      <c r="J151" s="140"/>
      <c r="K151" s="140"/>
      <c r="L151" s="140"/>
      <c r="R151" s="140"/>
    </row>
    <row r="152" spans="2:18" ht="15" customHeight="1">
      <c r="B152" s="138"/>
      <c r="C152" s="138"/>
      <c r="D152" s="139"/>
      <c r="E152" s="140"/>
      <c r="F152" s="140"/>
      <c r="G152" s="140"/>
      <c r="H152" s="140"/>
      <c r="I152" s="140"/>
      <c r="J152" s="140"/>
      <c r="K152" s="140"/>
      <c r="L152" s="140"/>
      <c r="R152" s="140"/>
    </row>
    <row r="153" spans="2:18" ht="15" customHeight="1">
      <c r="B153" s="138"/>
      <c r="C153" s="138"/>
      <c r="D153" s="139"/>
      <c r="E153" s="140"/>
      <c r="F153" s="140"/>
      <c r="G153" s="140"/>
      <c r="H153" s="140"/>
      <c r="I153" s="140"/>
      <c r="J153" s="140"/>
      <c r="K153" s="140"/>
      <c r="L153" s="140"/>
      <c r="R153" s="140"/>
    </row>
    <row r="154" spans="2:18" ht="15" customHeight="1">
      <c r="B154" s="138"/>
      <c r="C154" s="138"/>
      <c r="D154" s="139"/>
      <c r="E154" s="140"/>
      <c r="F154" s="140"/>
      <c r="G154" s="140"/>
      <c r="H154" s="140"/>
      <c r="I154" s="140"/>
      <c r="J154" s="140"/>
      <c r="K154" s="140"/>
      <c r="L154" s="140"/>
      <c r="R154" s="140"/>
    </row>
    <row r="155" spans="2:18" ht="15" customHeight="1">
      <c r="B155" s="138"/>
      <c r="C155" s="138"/>
      <c r="D155" s="139"/>
      <c r="E155" s="140"/>
      <c r="F155" s="140"/>
      <c r="G155" s="140"/>
      <c r="H155" s="140"/>
      <c r="I155" s="140"/>
      <c r="J155" s="140"/>
      <c r="K155" s="140"/>
      <c r="L155" s="140"/>
      <c r="R155" s="140"/>
    </row>
    <row r="156" spans="2:18" ht="15" customHeight="1">
      <c r="B156" s="138"/>
      <c r="C156" s="138"/>
      <c r="D156" s="139"/>
      <c r="E156" s="140"/>
      <c r="F156" s="140"/>
      <c r="G156" s="140"/>
      <c r="H156" s="140"/>
      <c r="I156" s="140"/>
      <c r="J156" s="140"/>
      <c r="K156" s="140"/>
      <c r="L156" s="140"/>
      <c r="R156" s="140"/>
    </row>
    <row r="157" spans="2:18" ht="15" customHeight="1">
      <c r="B157" s="138"/>
      <c r="C157" s="138"/>
      <c r="D157" s="139"/>
      <c r="E157" s="140"/>
      <c r="F157" s="140"/>
      <c r="G157" s="140"/>
      <c r="H157" s="140"/>
      <c r="I157" s="140"/>
      <c r="J157" s="140"/>
      <c r="K157" s="140"/>
      <c r="L157" s="140"/>
      <c r="R157" s="140"/>
    </row>
    <row r="158" spans="2:18" ht="15" customHeight="1">
      <c r="B158" s="138"/>
      <c r="C158" s="138"/>
      <c r="D158" s="139"/>
      <c r="E158" s="140"/>
      <c r="F158" s="140"/>
      <c r="G158" s="140"/>
      <c r="H158" s="140"/>
      <c r="I158" s="140"/>
      <c r="J158" s="140"/>
      <c r="K158" s="140"/>
      <c r="L158" s="140"/>
      <c r="R158" s="140"/>
    </row>
    <row r="159" spans="2:18" ht="15" customHeight="1">
      <c r="B159" s="138"/>
      <c r="C159" s="138"/>
      <c r="D159" s="139"/>
      <c r="E159" s="140"/>
      <c r="F159" s="140"/>
      <c r="G159" s="140"/>
      <c r="H159" s="140"/>
      <c r="I159" s="140"/>
      <c r="J159" s="140"/>
      <c r="K159" s="140"/>
      <c r="L159" s="140"/>
      <c r="R159" s="140"/>
    </row>
    <row r="160" spans="2:18" ht="15" customHeight="1">
      <c r="B160" s="138"/>
      <c r="C160" s="138"/>
      <c r="D160" s="139"/>
      <c r="E160" s="140"/>
      <c r="F160" s="140"/>
      <c r="G160" s="140"/>
      <c r="H160" s="140"/>
      <c r="I160" s="140"/>
      <c r="J160" s="140"/>
      <c r="K160" s="140"/>
      <c r="L160" s="140"/>
      <c r="R160" s="140"/>
    </row>
    <row r="161" spans="2:18" ht="15" customHeight="1">
      <c r="B161" s="138"/>
      <c r="C161" s="138"/>
      <c r="D161" s="139"/>
      <c r="E161" s="140"/>
      <c r="F161" s="140"/>
      <c r="G161" s="140"/>
      <c r="H161" s="140"/>
      <c r="I161" s="140"/>
      <c r="J161" s="140"/>
      <c r="K161" s="140"/>
      <c r="L161" s="140"/>
      <c r="R161" s="140"/>
    </row>
    <row r="162" spans="2:18" ht="15" customHeight="1">
      <c r="B162" s="138"/>
      <c r="C162" s="138"/>
      <c r="D162" s="139"/>
      <c r="E162" s="140"/>
      <c r="F162" s="140"/>
      <c r="G162" s="140"/>
      <c r="H162" s="140"/>
      <c r="I162" s="140"/>
      <c r="J162" s="140"/>
      <c r="K162" s="140"/>
      <c r="L162" s="140"/>
      <c r="R162" s="140"/>
    </row>
    <row r="163" spans="2:18" ht="15" customHeight="1">
      <c r="B163" s="138"/>
      <c r="C163" s="138"/>
      <c r="D163" s="139"/>
      <c r="E163" s="140"/>
      <c r="F163" s="140"/>
      <c r="G163" s="140"/>
      <c r="H163" s="140"/>
      <c r="I163" s="140"/>
      <c r="J163" s="140"/>
      <c r="K163" s="140"/>
      <c r="L163" s="140"/>
      <c r="R163" s="140"/>
    </row>
    <row r="164" spans="2:18" ht="15" customHeight="1">
      <c r="B164" s="138"/>
      <c r="C164" s="138"/>
      <c r="D164" s="139"/>
      <c r="E164" s="140"/>
      <c r="F164" s="140"/>
      <c r="G164" s="140"/>
      <c r="H164" s="140"/>
      <c r="I164" s="140"/>
      <c r="J164" s="140"/>
      <c r="K164" s="140"/>
      <c r="L164" s="140"/>
      <c r="R164" s="140"/>
    </row>
    <row r="165" spans="2:18" ht="15" customHeight="1">
      <c r="B165" s="138"/>
      <c r="C165" s="138"/>
      <c r="D165" s="139"/>
      <c r="E165" s="140"/>
      <c r="F165" s="140"/>
      <c r="G165" s="140"/>
      <c r="H165" s="140"/>
      <c r="I165" s="140"/>
      <c r="J165" s="140"/>
      <c r="K165" s="140"/>
      <c r="L165" s="140"/>
      <c r="R165" s="140"/>
    </row>
    <row r="166" spans="2:18" ht="15" customHeight="1">
      <c r="B166" s="138"/>
      <c r="C166" s="138"/>
      <c r="D166" s="139"/>
      <c r="E166" s="140"/>
      <c r="F166" s="140"/>
      <c r="G166" s="140"/>
      <c r="H166" s="140"/>
      <c r="I166" s="140"/>
      <c r="J166" s="140"/>
      <c r="K166" s="140"/>
      <c r="L166" s="140"/>
      <c r="R166" s="140"/>
    </row>
    <row r="167" spans="2:18" ht="15" customHeight="1">
      <c r="B167" s="138"/>
      <c r="C167" s="138"/>
      <c r="D167" s="139"/>
      <c r="E167" s="140"/>
      <c r="F167" s="140"/>
      <c r="G167" s="140"/>
      <c r="H167" s="140"/>
      <c r="I167" s="140"/>
      <c r="J167" s="140"/>
      <c r="K167" s="140"/>
      <c r="L167" s="140"/>
      <c r="R167" s="140"/>
    </row>
    <row r="168" spans="2:18" ht="15" customHeight="1">
      <c r="B168" s="138"/>
      <c r="C168" s="138"/>
      <c r="D168" s="139"/>
      <c r="E168" s="140"/>
      <c r="F168" s="140"/>
      <c r="G168" s="140"/>
      <c r="H168" s="140"/>
      <c r="I168" s="140"/>
      <c r="J168" s="140"/>
      <c r="K168" s="140"/>
      <c r="L168" s="140"/>
      <c r="R168" s="140"/>
    </row>
    <row r="169" spans="2:18" ht="15" customHeight="1">
      <c r="B169" s="138"/>
      <c r="C169" s="138"/>
      <c r="D169" s="139"/>
      <c r="E169" s="140"/>
      <c r="F169" s="140"/>
      <c r="G169" s="140"/>
      <c r="H169" s="140"/>
      <c r="I169" s="140"/>
      <c r="J169" s="140"/>
      <c r="K169" s="140"/>
      <c r="L169" s="140"/>
      <c r="R169" s="140"/>
    </row>
    <row r="170" spans="2:18" ht="15" customHeight="1">
      <c r="B170" s="138"/>
      <c r="C170" s="138"/>
      <c r="D170" s="139"/>
      <c r="E170" s="140"/>
      <c r="F170" s="140"/>
      <c r="G170" s="140"/>
      <c r="H170" s="140"/>
      <c r="I170" s="140"/>
      <c r="J170" s="140"/>
      <c r="K170" s="140"/>
      <c r="L170" s="140"/>
      <c r="R170" s="140"/>
    </row>
    <row r="171" spans="2:18" ht="15" customHeight="1">
      <c r="B171" s="138"/>
      <c r="C171" s="138"/>
      <c r="D171" s="139"/>
      <c r="E171" s="140"/>
      <c r="F171" s="140"/>
      <c r="G171" s="140"/>
      <c r="H171" s="140"/>
      <c r="I171" s="140"/>
      <c r="J171" s="140"/>
      <c r="K171" s="140"/>
      <c r="L171" s="140"/>
      <c r="R171" s="140"/>
    </row>
    <row r="172" spans="2:18" ht="15" customHeight="1">
      <c r="B172" s="138"/>
      <c r="C172" s="138"/>
      <c r="D172" s="139"/>
      <c r="E172" s="140"/>
      <c r="F172" s="140"/>
      <c r="G172" s="140"/>
      <c r="H172" s="140"/>
      <c r="I172" s="140"/>
      <c r="J172" s="140"/>
      <c r="K172" s="140"/>
      <c r="L172" s="140"/>
      <c r="R172" s="140"/>
    </row>
    <row r="173" spans="2:18" ht="15" customHeight="1">
      <c r="B173" s="138"/>
      <c r="C173" s="138"/>
      <c r="D173" s="139"/>
      <c r="E173" s="140"/>
      <c r="F173" s="140"/>
      <c r="G173" s="140"/>
      <c r="H173" s="140"/>
      <c r="I173" s="140"/>
      <c r="J173" s="140"/>
      <c r="K173" s="140"/>
      <c r="L173" s="140"/>
      <c r="R173" s="140"/>
    </row>
  </sheetData>
  <mergeCells count="6">
    <mergeCell ref="K1:M1"/>
    <mergeCell ref="L7:M7"/>
    <mergeCell ref="E10:J10"/>
    <mergeCell ref="L10:Q10"/>
    <mergeCell ref="E11:J11"/>
    <mergeCell ref="L11:Q11"/>
  </mergeCells>
  <printOptions horizontalCentered="1"/>
  <pageMargins left="0.39370078740157483" right="0.39370078740157483" top="0.39370078740157483" bottom="0.39370078740157483" header="0.31496062992125984" footer="0.31496062992125984"/>
  <pageSetup paperSize="9" scale="75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173"/>
  <sheetViews>
    <sheetView tabSelected="1" view="pageBreakPreview" zoomScale="95" zoomScaleNormal="84" zoomScaleSheetLayoutView="95" workbookViewId="0">
      <selection activeCell="M12" sqref="M12"/>
    </sheetView>
  </sheetViews>
  <sheetFormatPr defaultColWidth="7.140625" defaultRowHeight="13.5"/>
  <cols>
    <col min="1" max="1" width="1.7109375" style="116" customWidth="1"/>
    <col min="2" max="2" width="13.140625" style="116" customWidth="1"/>
    <col min="3" max="3" width="7.28515625" style="116" customWidth="1"/>
    <col min="4" max="4" width="9.7109375" style="116" customWidth="1"/>
    <col min="5" max="10" width="7.5703125" style="116" customWidth="1"/>
    <col min="11" max="11" width="1.5703125" style="116" customWidth="1"/>
    <col min="12" max="16" width="7.5703125" style="116" customWidth="1"/>
    <col min="17" max="17" width="7.5703125" style="177" customWidth="1"/>
    <col min="18" max="18" width="1.7109375" style="116" customWidth="1"/>
    <col min="19" max="16384" width="7.140625" style="116"/>
  </cols>
  <sheetData>
    <row r="1" spans="1:18" s="1" customFormat="1" ht="15" customHeight="1">
      <c r="B1" s="2"/>
      <c r="C1" s="2"/>
      <c r="D1" s="3"/>
      <c r="E1" s="201"/>
      <c r="F1" s="201"/>
      <c r="G1" s="201"/>
      <c r="H1" s="201"/>
      <c r="I1" s="201"/>
      <c r="J1" s="201"/>
      <c r="K1" s="297"/>
      <c r="L1" s="297"/>
      <c r="M1" s="297"/>
    </row>
    <row r="2" spans="1:18" s="1" customFormat="1">
      <c r="B2" s="2"/>
      <c r="C2" s="2"/>
      <c r="D2" s="3"/>
      <c r="E2" s="201"/>
      <c r="F2" s="201"/>
      <c r="G2" s="201"/>
      <c r="H2" s="201"/>
      <c r="I2" s="201"/>
      <c r="J2" s="201"/>
      <c r="K2" s="201"/>
      <c r="L2" s="201"/>
      <c r="R2" s="200" t="s">
        <v>7</v>
      </c>
    </row>
    <row r="3" spans="1:18" s="1" customFormat="1">
      <c r="B3" s="2"/>
      <c r="C3" s="2"/>
      <c r="D3" s="3"/>
      <c r="E3" s="201"/>
      <c r="F3" s="201"/>
      <c r="G3" s="201"/>
      <c r="H3" s="201"/>
      <c r="I3" s="201"/>
      <c r="J3" s="201"/>
      <c r="K3" s="201"/>
      <c r="L3" s="201"/>
      <c r="R3" s="5" t="s">
        <v>55</v>
      </c>
    </row>
    <row r="4" spans="1:18" s="1" customFormat="1">
      <c r="B4" s="7"/>
      <c r="C4" s="7"/>
      <c r="D4" s="3"/>
    </row>
    <row r="5" spans="1:18" ht="15" customHeight="1">
      <c r="B5" s="8" t="s">
        <v>88</v>
      </c>
      <c r="C5" s="9" t="s">
        <v>139</v>
      </c>
      <c r="D5" s="117"/>
      <c r="E5" s="118"/>
      <c r="F5" s="118"/>
      <c r="G5" s="118"/>
      <c r="H5" s="118"/>
      <c r="I5" s="118"/>
      <c r="J5" s="118"/>
      <c r="K5" s="118"/>
      <c r="L5" s="118"/>
      <c r="R5" s="118"/>
    </row>
    <row r="6" spans="1:18" ht="15" customHeight="1">
      <c r="B6" s="12" t="s">
        <v>89</v>
      </c>
      <c r="C6" s="13" t="s">
        <v>146</v>
      </c>
      <c r="D6" s="114"/>
      <c r="E6" s="115"/>
      <c r="F6" s="115"/>
      <c r="G6" s="115"/>
      <c r="H6" s="115"/>
      <c r="I6" s="115"/>
      <c r="J6" s="115"/>
      <c r="K6" s="115"/>
      <c r="L6" s="115"/>
      <c r="R6" s="115"/>
    </row>
    <row r="7" spans="1:18" ht="8.1" customHeight="1">
      <c r="B7" s="112"/>
      <c r="C7" s="113"/>
      <c r="D7" s="114"/>
      <c r="E7" s="115"/>
      <c r="F7" s="115"/>
      <c r="G7" s="115"/>
      <c r="H7" s="115"/>
      <c r="I7" s="115"/>
      <c r="J7" s="115"/>
      <c r="K7" s="115"/>
      <c r="L7" s="298"/>
      <c r="M7" s="298"/>
      <c r="R7" s="115"/>
    </row>
    <row r="8" spans="1:18" ht="15.95" customHeight="1" thickBot="1">
      <c r="D8" s="117"/>
      <c r="E8" s="118"/>
      <c r="F8" s="118"/>
      <c r="G8" s="118"/>
      <c r="H8" s="118"/>
      <c r="I8" s="118"/>
      <c r="J8" s="118"/>
      <c r="K8" s="118"/>
      <c r="L8" s="118"/>
      <c r="N8" s="118"/>
      <c r="O8" s="118"/>
      <c r="P8" s="118"/>
      <c r="Q8" s="116"/>
      <c r="R8" s="118"/>
    </row>
    <row r="9" spans="1:18" ht="8.1" customHeight="1" thickTop="1">
      <c r="A9" s="119"/>
      <c r="B9" s="120"/>
      <c r="C9" s="121"/>
      <c r="D9" s="122"/>
      <c r="E9" s="123"/>
      <c r="F9" s="123"/>
      <c r="G9" s="123"/>
      <c r="H9" s="123"/>
      <c r="I9" s="123"/>
      <c r="J9" s="123"/>
      <c r="K9" s="123"/>
      <c r="L9" s="123"/>
      <c r="M9" s="119"/>
      <c r="N9" s="123"/>
      <c r="O9" s="123"/>
      <c r="P9" s="123"/>
      <c r="Q9" s="119"/>
      <c r="R9" s="123"/>
    </row>
    <row r="10" spans="1:18" ht="15" customHeight="1">
      <c r="A10" s="124"/>
      <c r="B10" s="125" t="s">
        <v>90</v>
      </c>
      <c r="C10" s="126"/>
      <c r="D10" s="189" t="s">
        <v>91</v>
      </c>
      <c r="E10" s="299" t="s">
        <v>127</v>
      </c>
      <c r="F10" s="299"/>
      <c r="G10" s="299"/>
      <c r="H10" s="299"/>
      <c r="I10" s="299"/>
      <c r="J10" s="299"/>
      <c r="K10" s="189"/>
      <c r="L10" s="299" t="s">
        <v>128</v>
      </c>
      <c r="M10" s="299"/>
      <c r="N10" s="299"/>
      <c r="O10" s="299"/>
      <c r="P10" s="299"/>
      <c r="Q10" s="299"/>
      <c r="R10" s="189"/>
    </row>
    <row r="11" spans="1:18" ht="15" customHeight="1">
      <c r="A11" s="124"/>
      <c r="B11" s="129" t="s">
        <v>92</v>
      </c>
      <c r="C11" s="126"/>
      <c r="D11" s="130" t="s">
        <v>93</v>
      </c>
      <c r="E11" s="294" t="s">
        <v>136</v>
      </c>
      <c r="F11" s="294"/>
      <c r="G11" s="294"/>
      <c r="H11" s="294"/>
      <c r="I11" s="294"/>
      <c r="J11" s="294"/>
      <c r="K11" s="191"/>
      <c r="L11" s="296" t="s">
        <v>137</v>
      </c>
      <c r="M11" s="296"/>
      <c r="N11" s="296"/>
      <c r="O11" s="296"/>
      <c r="P11" s="296"/>
      <c r="Q11" s="296"/>
      <c r="R11" s="191"/>
    </row>
    <row r="12" spans="1:18" ht="15" customHeight="1">
      <c r="A12" s="124"/>
      <c r="B12" s="125"/>
      <c r="C12" s="126"/>
      <c r="D12" s="189"/>
      <c r="E12" s="172"/>
      <c r="F12" s="172"/>
      <c r="G12" s="192"/>
      <c r="H12" s="192"/>
      <c r="I12" s="192"/>
      <c r="J12" s="192"/>
      <c r="K12" s="192"/>
      <c r="L12" s="192"/>
      <c r="M12" s="192"/>
      <c r="N12" s="192"/>
      <c r="O12" s="192"/>
      <c r="P12" s="192"/>
      <c r="Q12" s="192"/>
      <c r="R12" s="192"/>
    </row>
    <row r="13" spans="1:18" ht="15" customHeight="1">
      <c r="A13" s="124"/>
      <c r="B13" s="125"/>
      <c r="C13" s="126"/>
      <c r="D13" s="189"/>
      <c r="E13" s="278" t="s">
        <v>112</v>
      </c>
      <c r="F13" s="278" t="s">
        <v>113</v>
      </c>
      <c r="G13" s="278" t="s">
        <v>114</v>
      </c>
      <c r="H13" s="278" t="s">
        <v>115</v>
      </c>
      <c r="I13" s="278" t="s">
        <v>116</v>
      </c>
      <c r="J13" s="278" t="s">
        <v>132</v>
      </c>
      <c r="K13" s="278"/>
      <c r="L13" s="278" t="s">
        <v>112</v>
      </c>
      <c r="M13" s="278" t="s">
        <v>113</v>
      </c>
      <c r="N13" s="278" t="s">
        <v>114</v>
      </c>
      <c r="O13" s="278" t="s">
        <v>115</v>
      </c>
      <c r="P13" s="278" t="s">
        <v>116</v>
      </c>
      <c r="Q13" s="278" t="s">
        <v>132</v>
      </c>
      <c r="R13" s="230"/>
    </row>
    <row r="14" spans="1:18" ht="8.1" customHeight="1">
      <c r="A14" s="135"/>
      <c r="B14" s="136"/>
      <c r="C14" s="135"/>
      <c r="D14" s="135"/>
      <c r="E14" s="137"/>
      <c r="F14" s="137"/>
      <c r="G14" s="137"/>
      <c r="H14" s="137"/>
      <c r="I14" s="137"/>
      <c r="J14" s="137"/>
      <c r="K14" s="137"/>
      <c r="L14" s="137"/>
      <c r="M14" s="137"/>
      <c r="N14" s="137"/>
      <c r="O14" s="279"/>
      <c r="P14" s="279"/>
      <c r="Q14" s="279"/>
      <c r="R14" s="137"/>
    </row>
    <row r="15" spans="1:18" ht="8.1" customHeight="1">
      <c r="A15" s="138"/>
      <c r="B15" s="138"/>
      <c r="C15" s="138"/>
      <c r="D15" s="146"/>
      <c r="E15" s="140"/>
      <c r="F15" s="140"/>
      <c r="G15" s="140"/>
      <c r="H15" s="141"/>
      <c r="I15" s="142"/>
      <c r="J15" s="142"/>
      <c r="K15" s="142"/>
      <c r="L15" s="143"/>
      <c r="M15" s="142"/>
      <c r="N15" s="142"/>
      <c r="R15" s="142"/>
    </row>
    <row r="16" spans="1:18" ht="15" customHeight="1">
      <c r="B16" s="144" t="s">
        <v>107</v>
      </c>
      <c r="C16" s="145"/>
      <c r="D16" s="147">
        <v>2021</v>
      </c>
      <c r="E16" s="211">
        <f>SUM('7.4 (L) (3)'!E16,'7.4 (P) (3)'!E16)</f>
        <v>325</v>
      </c>
      <c r="F16" s="211">
        <f>SUM('7.4 (L) (3)'!F16,'7.4 (P) (3)'!F16)</f>
        <v>1939</v>
      </c>
      <c r="G16" s="211">
        <f>SUM('7.4 (L) (3)'!G16,'7.4 (P) (3)'!G16)</f>
        <v>1330</v>
      </c>
      <c r="H16" s="211">
        <f>SUM('7.4 (L) (3)'!H16,'7.4 (P) (3)'!H16)</f>
        <v>721</v>
      </c>
      <c r="I16" s="211">
        <f>SUM('7.4 (L) (3)'!I16,'7.4 (P) (3)'!I16)</f>
        <v>326</v>
      </c>
      <c r="J16" s="211">
        <f>SUM('7.4 (L) (3)'!J16,'7.4 (P) (3)'!J16)</f>
        <v>143</v>
      </c>
      <c r="K16" s="211"/>
      <c r="L16" s="211">
        <f>SUM('7.4 (L) (3)'!L16,'7.4 (P) (3)'!L16)</f>
        <v>139</v>
      </c>
      <c r="M16" s="211">
        <f>SUM('7.4 (L) (3)'!M16,'7.4 (P) (3)'!M16)</f>
        <v>940</v>
      </c>
      <c r="N16" s="211">
        <f>SUM('7.4 (L) (3)'!N16,'7.4 (P) (3)'!N16)</f>
        <v>834</v>
      </c>
      <c r="O16" s="211">
        <f>SUM('7.4 (L) (3)'!O16,'7.4 (P) (3)'!O16)</f>
        <v>645</v>
      </c>
      <c r="P16" s="211">
        <f>SUM('7.4 (L) (3)'!P16,'7.4 (P) (3)'!P16)</f>
        <v>463</v>
      </c>
      <c r="Q16" s="211">
        <f>SUM('7.4 (L) (3)'!Q16,'7.4 (P) (3)'!Q16)</f>
        <v>174</v>
      </c>
      <c r="R16" s="211"/>
    </row>
    <row r="17" spans="2:18" ht="15" customHeight="1">
      <c r="B17" s="145"/>
      <c r="C17" s="145"/>
      <c r="D17" s="146">
        <v>2022</v>
      </c>
      <c r="E17" s="211">
        <f>SUM('7.4 (L) (3)'!E17,'7.4 (P) (3)'!E17)</f>
        <v>139</v>
      </c>
      <c r="F17" s="211">
        <f>SUM('7.4 (L) (3)'!F17,'7.4 (P) (3)'!F17)</f>
        <v>1324</v>
      </c>
      <c r="G17" s="211">
        <f>SUM('7.4 (L) (3)'!G17,'7.4 (P) (3)'!G17)</f>
        <v>975</v>
      </c>
      <c r="H17" s="211">
        <f>SUM('7.4 (L) (3)'!H17,'7.4 (P) (3)'!H17)</f>
        <v>462</v>
      </c>
      <c r="I17" s="211">
        <f>SUM('7.4 (L) (3)'!I17,'7.4 (P) (3)'!I17)</f>
        <v>174</v>
      </c>
      <c r="J17" s="211">
        <f>SUM('7.4 (L) (3)'!J17,'7.4 (P) (3)'!J17)</f>
        <v>100</v>
      </c>
      <c r="K17" s="211"/>
      <c r="L17" s="211">
        <f>SUM('7.4 (L) (3)'!L17,'7.4 (P) (3)'!L17)</f>
        <v>117</v>
      </c>
      <c r="M17" s="211">
        <f>SUM('7.4 (L) (3)'!M17,'7.4 (P) (3)'!M17)</f>
        <v>762</v>
      </c>
      <c r="N17" s="211">
        <f>SUM('7.4 (L) (3)'!N17,'7.4 (P) (3)'!N17)</f>
        <v>965</v>
      </c>
      <c r="O17" s="211">
        <f>SUM('7.4 (L) (3)'!O17,'7.4 (P) (3)'!O17)</f>
        <v>718</v>
      </c>
      <c r="P17" s="211">
        <f>SUM('7.4 (L) (3)'!P17,'7.4 (P) (3)'!P17)</f>
        <v>467</v>
      </c>
      <c r="Q17" s="211">
        <f>SUM('7.4 (L) (3)'!Q17,'7.4 (P) (3)'!Q17)</f>
        <v>237</v>
      </c>
      <c r="R17" s="211"/>
    </row>
    <row r="18" spans="2:18" ht="15" customHeight="1">
      <c r="B18" s="145"/>
      <c r="C18" s="145"/>
      <c r="D18" s="146">
        <v>2023</v>
      </c>
      <c r="E18" s="211">
        <f>SUM('7.4 (L) (3)'!E18,'7.4 (P) (3)'!E18)</f>
        <v>136</v>
      </c>
      <c r="F18" s="211">
        <f>SUM('7.4 (L) (3)'!F18,'7.4 (P) (3)'!F18)</f>
        <v>1534</v>
      </c>
      <c r="G18" s="211">
        <f>SUM('7.4 (L) (3)'!G18,'7.4 (P) (3)'!G18)</f>
        <v>1369</v>
      </c>
      <c r="H18" s="211">
        <f>SUM('7.4 (L) (3)'!H18,'7.4 (P) (3)'!H18)</f>
        <v>741</v>
      </c>
      <c r="I18" s="211">
        <f>SUM('7.4 (L) (3)'!I18,'7.4 (P) (3)'!I18)</f>
        <v>333</v>
      </c>
      <c r="J18" s="211">
        <f>SUM('7.4 (L) (3)'!J18,'7.4 (P) (3)'!J18)</f>
        <v>150</v>
      </c>
      <c r="K18" s="211"/>
      <c r="L18" s="211">
        <f>SUM('7.4 (L) (3)'!L18,'7.4 (P) (3)'!L18)</f>
        <v>159</v>
      </c>
      <c r="M18" s="211">
        <f>SUM('7.4 (L) (3)'!M18,'7.4 (P) (3)'!M18)</f>
        <v>993</v>
      </c>
      <c r="N18" s="211">
        <f>SUM('7.4 (L) (3)'!N18,'7.4 (P) (3)'!N18)</f>
        <v>1362</v>
      </c>
      <c r="O18" s="211">
        <f>SUM('7.4 (L) (3)'!O18,'7.4 (P) (3)'!O18)</f>
        <v>1150</v>
      </c>
      <c r="P18" s="211">
        <f>SUM('7.4 (L) (3)'!P18,'7.4 (P) (3)'!P18)</f>
        <v>1002</v>
      </c>
      <c r="Q18" s="211">
        <f>SUM('7.4 (L) (3)'!Q18,'7.4 (P) (3)'!Q18)</f>
        <v>720</v>
      </c>
      <c r="R18" s="211"/>
    </row>
    <row r="19" spans="2:18" ht="8.1" customHeight="1">
      <c r="B19" s="145"/>
      <c r="C19" s="148"/>
      <c r="D19" s="149"/>
      <c r="E19" s="179"/>
      <c r="F19" s="184"/>
      <c r="G19" s="184"/>
      <c r="H19" s="184"/>
      <c r="I19" s="184"/>
      <c r="J19" s="184"/>
      <c r="K19" s="184"/>
      <c r="L19" s="179"/>
      <c r="M19" s="184"/>
      <c r="N19" s="184"/>
      <c r="O19" s="184"/>
      <c r="P19" s="184"/>
      <c r="Q19" s="184"/>
      <c r="R19" s="184"/>
    </row>
    <row r="20" spans="2:18" ht="15" customHeight="1">
      <c r="B20" s="151" t="s">
        <v>94</v>
      </c>
      <c r="C20" s="152"/>
      <c r="D20" s="149">
        <v>2021</v>
      </c>
      <c r="E20" s="231">
        <f>SUM('7.4 (L) (3)'!E20,'7.4 (P) (3)'!E20)</f>
        <v>34</v>
      </c>
      <c r="F20" s="223">
        <f>SUM('7.4 (L) (3)'!F20,'7.4 (P) (3)'!F20)</f>
        <v>200</v>
      </c>
      <c r="G20" s="223">
        <f>SUM('7.4 (L) (3)'!G20,'7.4 (P) (3)'!G20)</f>
        <v>145</v>
      </c>
      <c r="H20" s="223">
        <f>SUM('7.4 (L) (3)'!H20,'7.4 (P) (3)'!H20)</f>
        <v>87</v>
      </c>
      <c r="I20" s="223">
        <f>SUM('7.4 (L) (3)'!I20,'7.4 (P) (3)'!I20)</f>
        <v>38</v>
      </c>
      <c r="J20" s="223">
        <f>SUM('7.4 (L) (3)'!J20,'7.4 (P) (3)'!J20)</f>
        <v>11</v>
      </c>
      <c r="K20" s="223"/>
      <c r="L20" s="231">
        <f>SUM('7.4 (L) (3)'!L20,'7.4 (P) (3)'!L20)</f>
        <v>19</v>
      </c>
      <c r="M20" s="223">
        <f>SUM('7.4 (L) (3)'!M20,'7.4 (P) (3)'!M20)</f>
        <v>120</v>
      </c>
      <c r="N20" s="223">
        <f>SUM('7.4 (L) (3)'!N20,'7.4 (P) (3)'!N20)</f>
        <v>101</v>
      </c>
      <c r="O20" s="223">
        <f>SUM('7.4 (L) (3)'!O20,'7.4 (P) (3)'!O20)</f>
        <v>76</v>
      </c>
      <c r="P20" s="223">
        <f>SUM('7.4 (L) (3)'!P20,'7.4 (P) (3)'!P20)</f>
        <v>50</v>
      </c>
      <c r="Q20" s="223">
        <f>SUM('7.4 (L) (3)'!Q20,'7.4 (P) (3)'!Q20)</f>
        <v>17</v>
      </c>
      <c r="R20" s="222"/>
    </row>
    <row r="21" spans="2:18" ht="15" customHeight="1">
      <c r="B21" s="153"/>
      <c r="C21" s="152"/>
      <c r="D21" s="149">
        <v>2022</v>
      </c>
      <c r="E21" s="231">
        <f>SUM('7.4 (L) (3)'!E21,'7.4 (P) (3)'!E21)</f>
        <v>18</v>
      </c>
      <c r="F21" s="223">
        <f>SUM('7.4 (L) (3)'!F21,'7.4 (P) (3)'!F21)</f>
        <v>138</v>
      </c>
      <c r="G21" s="223">
        <f>SUM('7.4 (L) (3)'!G21,'7.4 (P) (3)'!G21)</f>
        <v>75</v>
      </c>
      <c r="H21" s="223">
        <f>SUM('7.4 (L) (3)'!H21,'7.4 (P) (3)'!H21)</f>
        <v>48</v>
      </c>
      <c r="I21" s="223">
        <f>SUM('7.4 (L) (3)'!I21,'7.4 (P) (3)'!I21)</f>
        <v>13</v>
      </c>
      <c r="J21" s="223">
        <f>SUM('7.4 (L) (3)'!J21,'7.4 (P) (3)'!J21)</f>
        <v>7</v>
      </c>
      <c r="K21" s="223"/>
      <c r="L21" s="231">
        <f>SUM('7.4 (L) (3)'!L21,'7.4 (P) (3)'!L21)</f>
        <v>8</v>
      </c>
      <c r="M21" s="223">
        <f>SUM('7.4 (L) (3)'!M21,'7.4 (P) (3)'!M21)</f>
        <v>76</v>
      </c>
      <c r="N21" s="223">
        <f>SUM('7.4 (L) (3)'!N21,'7.4 (P) (3)'!N21)</f>
        <v>69</v>
      </c>
      <c r="O21" s="223">
        <f>SUM('7.4 (L) (3)'!O21,'7.4 (P) (3)'!O21)</f>
        <v>81</v>
      </c>
      <c r="P21" s="223">
        <f>SUM('7.4 (L) (3)'!P21,'7.4 (P) (3)'!P21)</f>
        <v>47</v>
      </c>
      <c r="Q21" s="223">
        <f>SUM('7.4 (L) (3)'!Q21,'7.4 (P) (3)'!Q21)</f>
        <v>25</v>
      </c>
      <c r="R21" s="222"/>
    </row>
    <row r="22" spans="2:18" ht="15" customHeight="1">
      <c r="B22" s="153"/>
      <c r="C22" s="152"/>
      <c r="D22" s="149">
        <v>2023</v>
      </c>
      <c r="E22" s="231">
        <f>SUM('7.4 (L) (3)'!E22,'7.4 (P) (3)'!E22)</f>
        <v>18</v>
      </c>
      <c r="F22" s="223">
        <f>SUM('7.4 (L) (3)'!F22,'7.4 (P) (3)'!F22)</f>
        <v>205</v>
      </c>
      <c r="G22" s="223">
        <f>SUM('7.4 (L) (3)'!G22,'7.4 (P) (3)'!G22)</f>
        <v>149</v>
      </c>
      <c r="H22" s="223">
        <f>SUM('7.4 (L) (3)'!H22,'7.4 (P) (3)'!H22)</f>
        <v>89</v>
      </c>
      <c r="I22" s="223">
        <f>SUM('7.4 (L) (3)'!I22,'7.4 (P) (3)'!I22)</f>
        <v>38</v>
      </c>
      <c r="J22" s="223">
        <f>SUM('7.4 (L) (3)'!J22,'7.4 (P) (3)'!J22)</f>
        <v>12</v>
      </c>
      <c r="K22" s="223"/>
      <c r="L22" s="231">
        <f>SUM('7.4 (L) (3)'!L22,'7.4 (P) (3)'!L22)</f>
        <v>20</v>
      </c>
      <c r="M22" s="223">
        <f>SUM('7.4 (L) (3)'!M22,'7.4 (P) (3)'!M22)</f>
        <v>122</v>
      </c>
      <c r="N22" s="223">
        <f>SUM('7.4 (L) (3)'!N22,'7.4 (P) (3)'!N22)</f>
        <v>156</v>
      </c>
      <c r="O22" s="223">
        <f>SUM('7.4 (L) (3)'!O22,'7.4 (P) (3)'!O22)</f>
        <v>133</v>
      </c>
      <c r="P22" s="223">
        <f>SUM('7.4 (L) (3)'!P22,'7.4 (P) (3)'!P22)</f>
        <v>115</v>
      </c>
      <c r="Q22" s="223">
        <f>SUM('7.4 (L) (3)'!Q22,'7.4 (P) (3)'!Q22)</f>
        <v>70</v>
      </c>
      <c r="R22" s="222"/>
    </row>
    <row r="23" spans="2:18" ht="8.1" customHeight="1">
      <c r="B23" s="153"/>
      <c r="C23" s="154"/>
      <c r="D23" s="149"/>
      <c r="E23" s="150"/>
      <c r="F23" s="203"/>
      <c r="G23" s="203"/>
      <c r="H23" s="203"/>
      <c r="I23" s="203"/>
      <c r="J23" s="203"/>
      <c r="K23" s="203"/>
      <c r="L23" s="150"/>
      <c r="M23" s="203"/>
      <c r="N23" s="203"/>
      <c r="O23" s="203"/>
      <c r="P23" s="203"/>
      <c r="Q23" s="203"/>
      <c r="R23" s="203"/>
    </row>
    <row r="24" spans="2:18" ht="15" customHeight="1">
      <c r="B24" s="151" t="s">
        <v>95</v>
      </c>
      <c r="C24" s="152"/>
      <c r="D24" s="149">
        <v>2021</v>
      </c>
      <c r="E24" s="231">
        <f>SUM('7.4 (L) (3)'!E24,'7.4 (P) (3)'!E24)</f>
        <v>27</v>
      </c>
      <c r="F24" s="223">
        <f>SUM('7.4 (L) (3)'!F24,'7.4 (P) (3)'!F24)</f>
        <v>123</v>
      </c>
      <c r="G24" s="223">
        <f>SUM('7.4 (L) (3)'!G24,'7.4 (P) (3)'!G24)</f>
        <v>87</v>
      </c>
      <c r="H24" s="223">
        <f>SUM('7.4 (L) (3)'!H24,'7.4 (P) (3)'!H24)</f>
        <v>32</v>
      </c>
      <c r="I24" s="223">
        <f>SUM('7.4 (L) (3)'!I24,'7.4 (P) (3)'!I24)</f>
        <v>23</v>
      </c>
      <c r="J24" s="223">
        <f>SUM('7.4 (L) (3)'!J24,'7.4 (P) (3)'!J24)</f>
        <v>7</v>
      </c>
      <c r="K24" s="223"/>
      <c r="L24" s="231">
        <f>SUM('7.4 (L) (3)'!L24,'7.4 (P) (3)'!L24)</f>
        <v>11</v>
      </c>
      <c r="M24" s="223">
        <f>SUM('7.4 (L) (3)'!M24,'7.4 (P) (3)'!M24)</f>
        <v>61</v>
      </c>
      <c r="N24" s="223">
        <f>SUM('7.4 (L) (3)'!N24,'7.4 (P) (3)'!N24)</f>
        <v>66</v>
      </c>
      <c r="O24" s="223">
        <f>SUM('7.4 (L) (3)'!O24,'7.4 (P) (3)'!O24)</f>
        <v>46</v>
      </c>
      <c r="P24" s="223">
        <f>SUM('7.4 (L) (3)'!P24,'7.4 (P) (3)'!P24)</f>
        <v>23</v>
      </c>
      <c r="Q24" s="223">
        <f>SUM('7.4 (L) (3)'!Q24,'7.4 (P) (3)'!Q24)</f>
        <v>13</v>
      </c>
      <c r="R24" s="222"/>
    </row>
    <row r="25" spans="2:18" ht="15" customHeight="1">
      <c r="B25" s="151"/>
      <c r="C25" s="152"/>
      <c r="D25" s="149">
        <v>2022</v>
      </c>
      <c r="E25" s="231">
        <f>SUM('7.4 (L) (3)'!E25,'7.4 (P) (3)'!E25)</f>
        <v>16</v>
      </c>
      <c r="F25" s="223">
        <f>SUM('7.4 (L) (3)'!F25,'7.4 (P) (3)'!F25)</f>
        <v>97</v>
      </c>
      <c r="G25" s="223">
        <f>SUM('7.4 (L) (3)'!G25,'7.4 (P) (3)'!G25)</f>
        <v>58</v>
      </c>
      <c r="H25" s="223">
        <f>SUM('7.4 (L) (3)'!H25,'7.4 (P) (3)'!H25)</f>
        <v>28</v>
      </c>
      <c r="I25" s="223">
        <f>SUM('7.4 (L) (3)'!I25,'7.4 (P) (3)'!I25)</f>
        <v>13</v>
      </c>
      <c r="J25" s="223">
        <f>SUM('7.4 (L) (3)'!J25,'7.4 (P) (3)'!J25)</f>
        <v>4</v>
      </c>
      <c r="K25" s="223"/>
      <c r="L25" s="231">
        <f>SUM('7.4 (L) (3)'!L25,'7.4 (P) (3)'!L25)</f>
        <v>7</v>
      </c>
      <c r="M25" s="223">
        <f>SUM('7.4 (L) (3)'!M25,'7.4 (P) (3)'!M25)</f>
        <v>57</v>
      </c>
      <c r="N25" s="223">
        <f>SUM('7.4 (L) (3)'!N25,'7.4 (P) (3)'!N25)</f>
        <v>66</v>
      </c>
      <c r="O25" s="223">
        <f>SUM('7.4 (L) (3)'!O25,'7.4 (P) (3)'!O25)</f>
        <v>51</v>
      </c>
      <c r="P25" s="223">
        <f>SUM('7.4 (L) (3)'!P25,'7.4 (P) (3)'!P25)</f>
        <v>33</v>
      </c>
      <c r="Q25" s="223">
        <f>SUM('7.4 (L) (3)'!Q25,'7.4 (P) (3)'!Q25)</f>
        <v>16</v>
      </c>
      <c r="R25" s="222"/>
    </row>
    <row r="26" spans="2:18" ht="15" customHeight="1">
      <c r="B26" s="151"/>
      <c r="C26" s="152"/>
      <c r="D26" s="149">
        <v>2023</v>
      </c>
      <c r="E26" s="231">
        <f>SUM('7.4 (L) (3)'!E26,'7.4 (P) (3)'!E26)</f>
        <v>13</v>
      </c>
      <c r="F26" s="231">
        <f>SUM('7.4 (L) (3)'!F26,'7.4 (P) (3)'!F26)</f>
        <v>116</v>
      </c>
      <c r="G26" s="231">
        <f>SUM('7.4 (L) (3)'!G26,'7.4 (P) (3)'!G26)</f>
        <v>74</v>
      </c>
      <c r="H26" s="231">
        <f>SUM('7.4 (L) (3)'!H26,'7.4 (P) (3)'!H26)</f>
        <v>48</v>
      </c>
      <c r="I26" s="231">
        <f>SUM('7.4 (L) (3)'!I26,'7.4 (P) (3)'!I26)</f>
        <v>21</v>
      </c>
      <c r="J26" s="231">
        <f>SUM('7.4 (L) (3)'!J26,'7.4 (P) (3)'!J26)</f>
        <v>9</v>
      </c>
      <c r="K26" s="223"/>
      <c r="L26" s="231">
        <f>SUM('7.4 (L) (3)'!L26,'7.4 (P) (3)'!L26)</f>
        <v>12</v>
      </c>
      <c r="M26" s="231">
        <f>SUM('7.4 (L) (3)'!M26,'7.4 (P) (3)'!M26)</f>
        <v>57</v>
      </c>
      <c r="N26" s="231">
        <f>SUM('7.4 (L) (3)'!N26,'7.4 (P) (3)'!N26)</f>
        <v>76</v>
      </c>
      <c r="O26" s="231">
        <f>SUM('7.4 (L) (3)'!O26,'7.4 (P) (3)'!O26)</f>
        <v>72</v>
      </c>
      <c r="P26" s="231">
        <f>SUM('7.4 (L) (3)'!P26,'7.4 (P) (3)'!P26)</f>
        <v>63</v>
      </c>
      <c r="Q26" s="231">
        <f>SUM('7.4 (L) (3)'!Q26,'7.4 (P) (3)'!Q26)</f>
        <v>46</v>
      </c>
      <c r="R26" s="222"/>
    </row>
    <row r="27" spans="2:18" ht="8.1" customHeight="1">
      <c r="B27" s="151"/>
      <c r="C27" s="154"/>
      <c r="D27" s="149"/>
      <c r="E27" s="150"/>
      <c r="F27" s="203"/>
      <c r="G27" s="203"/>
      <c r="H27" s="203"/>
      <c r="I27" s="203"/>
      <c r="J27" s="203"/>
      <c r="K27" s="203"/>
      <c r="L27" s="150"/>
      <c r="M27" s="203"/>
      <c r="N27" s="203"/>
      <c r="O27" s="203"/>
      <c r="P27" s="203"/>
      <c r="Q27" s="203"/>
      <c r="R27" s="203"/>
    </row>
    <row r="28" spans="2:18" ht="15" customHeight="1">
      <c r="B28" s="151" t="s">
        <v>96</v>
      </c>
      <c r="C28" s="152"/>
      <c r="D28" s="149">
        <v>2021</v>
      </c>
      <c r="E28" s="223">
        <f>SUM('7.4 (L) (3)'!E28,'7.4 (P) (3)'!E28)</f>
        <v>6</v>
      </c>
      <c r="F28" s="223">
        <f>SUM('7.4 (L) (3)'!F28,'7.4 (P) (3)'!F28)</f>
        <v>46</v>
      </c>
      <c r="G28" s="223">
        <f>SUM('7.4 (L) (3)'!G28,'7.4 (P) (3)'!G28)</f>
        <v>32</v>
      </c>
      <c r="H28" s="223">
        <f>SUM('7.4 (L) (3)'!H28,'7.4 (P) (3)'!H28)</f>
        <v>28</v>
      </c>
      <c r="I28" s="223">
        <f>SUM('7.4 (L) (3)'!I28,'7.4 (P) (3)'!I28)</f>
        <v>13</v>
      </c>
      <c r="J28" s="231">
        <f>SUM('7.4 (L) (3)'!J28,'7.4 (P) (3)'!J28)</f>
        <v>5</v>
      </c>
      <c r="K28" s="223"/>
      <c r="L28" s="223">
        <f>SUM('7.4 (L) (3)'!L28,'7.4 (P) (3)'!L28)</f>
        <v>3</v>
      </c>
      <c r="M28" s="223">
        <f>SUM('7.4 (L) (3)'!M28,'7.4 (P) (3)'!M28)</f>
        <v>19</v>
      </c>
      <c r="N28" s="223">
        <f>SUM('7.4 (L) (3)'!N28,'7.4 (P) (3)'!N28)</f>
        <v>27</v>
      </c>
      <c r="O28" s="223">
        <f>SUM('7.4 (L) (3)'!O28,'7.4 (P) (3)'!O28)</f>
        <v>21</v>
      </c>
      <c r="P28" s="223">
        <f>SUM('7.4 (L) (3)'!P28,'7.4 (P) (3)'!P28)</f>
        <v>16</v>
      </c>
      <c r="Q28" s="231">
        <f>SUM('7.4 (L) (3)'!Q28,'7.4 (P) (3)'!Q28)</f>
        <v>4</v>
      </c>
      <c r="R28" s="222"/>
    </row>
    <row r="29" spans="2:18" ht="15" customHeight="1">
      <c r="B29" s="153"/>
      <c r="C29" s="152"/>
      <c r="D29" s="149">
        <v>2022</v>
      </c>
      <c r="E29" s="223">
        <f>SUM('7.4 (L) (3)'!E29,'7.4 (P) (3)'!E29)</f>
        <v>10</v>
      </c>
      <c r="F29" s="231">
        <f>SUM('7.4 (L) (3)'!F29,'7.4 (P) (3)'!F29)</f>
        <v>44</v>
      </c>
      <c r="G29" s="223">
        <f>SUM('7.4 (L) (3)'!G29,'7.4 (P) (3)'!G29)</f>
        <v>36</v>
      </c>
      <c r="H29" s="223">
        <f>SUM('7.4 (L) (3)'!H29,'7.4 (P) (3)'!H29)</f>
        <v>10</v>
      </c>
      <c r="I29" s="223">
        <f>SUM('7.4 (L) (3)'!I29,'7.4 (P) (3)'!I29)</f>
        <v>5</v>
      </c>
      <c r="J29" s="231">
        <f>SUM('7.4 (L) (3)'!J29,'7.4 (P) (3)'!J29)</f>
        <v>4</v>
      </c>
      <c r="K29" s="223"/>
      <c r="L29" s="223">
        <f>SUM('7.4 (L) (3)'!L29,'7.4 (P) (3)'!L29)</f>
        <v>8</v>
      </c>
      <c r="M29" s="231">
        <f>SUM('7.4 (L) (3)'!M29,'7.4 (P) (3)'!M29)</f>
        <v>35</v>
      </c>
      <c r="N29" s="223">
        <f>SUM('7.4 (L) (3)'!N29,'7.4 (P) (3)'!N29)</f>
        <v>32</v>
      </c>
      <c r="O29" s="223">
        <f>SUM('7.4 (L) (3)'!O29,'7.4 (P) (3)'!O29)</f>
        <v>26</v>
      </c>
      <c r="P29" s="223">
        <f>SUM('7.4 (L) (3)'!P29,'7.4 (P) (3)'!P29)</f>
        <v>22</v>
      </c>
      <c r="Q29" s="231">
        <f>SUM('7.4 (L) (3)'!Q29,'7.4 (P) (3)'!Q29)</f>
        <v>12</v>
      </c>
      <c r="R29" s="222"/>
    </row>
    <row r="30" spans="2:18" ht="15" customHeight="1">
      <c r="B30" s="153"/>
      <c r="C30" s="152"/>
      <c r="D30" s="149">
        <v>2023</v>
      </c>
      <c r="E30" s="231">
        <f>SUM('7.4 (L) (3)'!E30,'7.4 (P) (3)'!E30)</f>
        <v>4</v>
      </c>
      <c r="F30" s="231">
        <f>SUM('7.4 (L) (3)'!F30,'7.4 (P) (3)'!F30)</f>
        <v>40</v>
      </c>
      <c r="G30" s="231">
        <f>SUM('7.4 (L) (3)'!G30,'7.4 (P) (3)'!G30)</f>
        <v>22</v>
      </c>
      <c r="H30" s="223">
        <f>SUM('7.4 (L) (3)'!H30,'7.4 (P) (3)'!H30)</f>
        <v>12</v>
      </c>
      <c r="I30" s="223">
        <f>SUM('7.4 (L) (3)'!I30,'7.4 (P) (3)'!I30)</f>
        <v>8</v>
      </c>
      <c r="J30" s="231">
        <f>SUM('7.4 (L) (3)'!J30,'7.4 (P) (3)'!J30)</f>
        <v>9</v>
      </c>
      <c r="K30" s="223"/>
      <c r="L30" s="231">
        <f>SUM('7.4 (L) (3)'!L30,'7.4 (P) (3)'!L30)</f>
        <v>6</v>
      </c>
      <c r="M30" s="231">
        <f>SUM('7.4 (L) (3)'!M30,'7.4 (P) (3)'!M30)</f>
        <v>21</v>
      </c>
      <c r="N30" s="231">
        <f>SUM('7.4 (L) (3)'!N30,'7.4 (P) (3)'!N30)</f>
        <v>39</v>
      </c>
      <c r="O30" s="223">
        <f>SUM('7.4 (L) (3)'!O30,'7.4 (P) (3)'!O30)</f>
        <v>34</v>
      </c>
      <c r="P30" s="223">
        <f>SUM('7.4 (L) (3)'!P30,'7.4 (P) (3)'!P30)</f>
        <v>26</v>
      </c>
      <c r="Q30" s="231">
        <f>SUM('7.4 (L) (3)'!Q30,'7.4 (P) (3)'!Q30)</f>
        <v>22</v>
      </c>
      <c r="R30" s="222"/>
    </row>
    <row r="31" spans="2:18" ht="8.1" customHeight="1">
      <c r="B31" s="153"/>
      <c r="C31" s="148"/>
      <c r="D31" s="149"/>
      <c r="E31" s="150"/>
      <c r="F31" s="203"/>
      <c r="G31" s="203"/>
      <c r="H31" s="203"/>
      <c r="I31" s="203"/>
      <c r="J31" s="203"/>
      <c r="K31" s="203"/>
      <c r="L31" s="150"/>
      <c r="M31" s="203"/>
      <c r="N31" s="203"/>
      <c r="O31" s="203"/>
      <c r="P31" s="203"/>
      <c r="Q31" s="203"/>
      <c r="R31" s="203"/>
    </row>
    <row r="32" spans="2:18" ht="15" customHeight="1">
      <c r="B32" s="151" t="s">
        <v>97</v>
      </c>
      <c r="C32" s="152"/>
      <c r="D32" s="149">
        <v>2021</v>
      </c>
      <c r="E32" s="231">
        <f>SUM('7.4 (L) (3)'!E32,'7.4 (P) (3)'!E32)</f>
        <v>20</v>
      </c>
      <c r="F32" s="223">
        <f>SUM('7.4 (L) (3)'!F32,'7.4 (P) (3)'!F32)</f>
        <v>100</v>
      </c>
      <c r="G32" s="223">
        <f>SUM('7.4 (L) (3)'!G32,'7.4 (P) (3)'!G32)</f>
        <v>55</v>
      </c>
      <c r="H32" s="223">
        <f>SUM('7.4 (L) (3)'!H32,'7.4 (P) (3)'!H32)</f>
        <v>24</v>
      </c>
      <c r="I32" s="223">
        <f>SUM('7.4 (L) (3)'!I32,'7.4 (P) (3)'!I32)</f>
        <v>10</v>
      </c>
      <c r="J32" s="223">
        <f>SUM('7.4 (L) (3)'!J32,'7.4 (P) (3)'!J32)</f>
        <v>3</v>
      </c>
      <c r="K32" s="223"/>
      <c r="L32" s="231">
        <f>SUM('7.4 (L) (3)'!L32,'7.4 (P) (3)'!L32)</f>
        <v>5</v>
      </c>
      <c r="M32" s="223">
        <f>SUM('7.4 (L) (3)'!M32,'7.4 (P) (3)'!M32)</f>
        <v>40</v>
      </c>
      <c r="N32" s="223">
        <f>SUM('7.4 (L) (3)'!N32,'7.4 (P) (3)'!N32)</f>
        <v>47</v>
      </c>
      <c r="O32" s="223">
        <f>SUM('7.4 (L) (3)'!O32,'7.4 (P) (3)'!O32)</f>
        <v>34</v>
      </c>
      <c r="P32" s="223">
        <f>SUM('7.4 (L) (3)'!P32,'7.4 (P) (3)'!P32)</f>
        <v>24</v>
      </c>
      <c r="Q32" s="223">
        <f>SUM('7.4 (L) (3)'!Q32,'7.4 (P) (3)'!Q32)</f>
        <v>13</v>
      </c>
      <c r="R32" s="222"/>
    </row>
    <row r="33" spans="2:18" ht="15" customHeight="1">
      <c r="B33" s="153"/>
      <c r="C33" s="152"/>
      <c r="D33" s="149">
        <v>2022</v>
      </c>
      <c r="E33" s="231">
        <f>SUM('7.4 (L) (3)'!E33,'7.4 (P) (3)'!E33)</f>
        <v>6</v>
      </c>
      <c r="F33" s="223">
        <f>SUM('7.4 (L) (3)'!F33,'7.4 (P) (3)'!F33)</f>
        <v>81</v>
      </c>
      <c r="G33" s="223">
        <f>SUM('7.4 (L) (3)'!G33,'7.4 (P) (3)'!G33)</f>
        <v>58</v>
      </c>
      <c r="H33" s="223">
        <f>SUM('7.4 (L) (3)'!H33,'7.4 (P) (3)'!H33)</f>
        <v>23</v>
      </c>
      <c r="I33" s="223">
        <f>SUM('7.4 (L) (3)'!I33,'7.4 (P) (3)'!I33)</f>
        <v>8</v>
      </c>
      <c r="J33" s="223">
        <f>SUM('7.4 (L) (3)'!J33,'7.4 (P) (3)'!J33)</f>
        <v>4</v>
      </c>
      <c r="K33" s="223"/>
      <c r="L33" s="231">
        <f>SUM('7.4 (L) (3)'!L33,'7.4 (P) (3)'!L33)</f>
        <v>9</v>
      </c>
      <c r="M33" s="223">
        <f>SUM('7.4 (L) (3)'!M33,'7.4 (P) (3)'!M33)</f>
        <v>46</v>
      </c>
      <c r="N33" s="223">
        <f>SUM('7.4 (L) (3)'!N33,'7.4 (P) (3)'!N33)</f>
        <v>50</v>
      </c>
      <c r="O33" s="223">
        <f>SUM('7.4 (L) (3)'!O33,'7.4 (P) (3)'!O33)</f>
        <v>33</v>
      </c>
      <c r="P33" s="223">
        <f>SUM('7.4 (L) (3)'!P33,'7.4 (P) (3)'!P33)</f>
        <v>28</v>
      </c>
      <c r="Q33" s="223">
        <f>SUM('7.4 (L) (3)'!Q33,'7.4 (P) (3)'!Q33)</f>
        <v>14</v>
      </c>
      <c r="R33" s="222"/>
    </row>
    <row r="34" spans="2:18" ht="15" customHeight="1">
      <c r="B34" s="153"/>
      <c r="C34" s="152"/>
      <c r="D34" s="149">
        <v>2023</v>
      </c>
      <c r="E34" s="231">
        <f>SUM('7.4 (L) (3)'!E34,'7.4 (P) (3)'!E34)</f>
        <v>3</v>
      </c>
      <c r="F34" s="223">
        <f>SUM('7.4 (L) (3)'!F34,'7.4 (P) (3)'!F34)</f>
        <v>111</v>
      </c>
      <c r="G34" s="231">
        <f>SUM('7.4 (L) (3)'!G34,'7.4 (P) (3)'!G34)</f>
        <v>85</v>
      </c>
      <c r="H34" s="223">
        <f>SUM('7.4 (L) (3)'!H34,'7.4 (P) (3)'!H34)</f>
        <v>33</v>
      </c>
      <c r="I34" s="223">
        <f>SUM('7.4 (L) (3)'!I34,'7.4 (P) (3)'!I34)</f>
        <v>19</v>
      </c>
      <c r="J34" s="223">
        <f>SUM('7.4 (L) (3)'!J34,'7.4 (P) (3)'!J34)</f>
        <v>8</v>
      </c>
      <c r="K34" s="223"/>
      <c r="L34" s="231">
        <f>SUM('7.4 (L) (3)'!L34,'7.4 (P) (3)'!L34)</f>
        <v>8</v>
      </c>
      <c r="M34" s="223">
        <f>SUM('7.4 (L) (3)'!M34,'7.4 (P) (3)'!M34)</f>
        <v>57</v>
      </c>
      <c r="N34" s="231">
        <f>SUM('7.4 (L) (3)'!N34,'7.4 (P) (3)'!N34)</f>
        <v>87</v>
      </c>
      <c r="O34" s="223">
        <f>SUM('7.4 (L) (3)'!O34,'7.4 (P) (3)'!O34)</f>
        <v>51</v>
      </c>
      <c r="P34" s="223">
        <f>SUM('7.4 (L) (3)'!P34,'7.4 (P) (3)'!P34)</f>
        <v>59</v>
      </c>
      <c r="Q34" s="223">
        <f>SUM('7.4 (L) (3)'!Q34,'7.4 (P) (3)'!Q34)</f>
        <v>34</v>
      </c>
      <c r="R34" s="222"/>
    </row>
    <row r="35" spans="2:18" ht="8.1" customHeight="1">
      <c r="B35" s="153"/>
      <c r="C35" s="154"/>
      <c r="D35" s="149"/>
      <c r="E35" s="150"/>
      <c r="F35" s="203"/>
      <c r="G35" s="203"/>
      <c r="H35" s="203"/>
      <c r="I35" s="203"/>
      <c r="J35" s="203"/>
      <c r="K35" s="203"/>
      <c r="L35" s="150"/>
      <c r="M35" s="203"/>
      <c r="N35" s="203"/>
      <c r="O35" s="203"/>
      <c r="P35" s="203"/>
      <c r="Q35" s="203"/>
      <c r="R35" s="203"/>
    </row>
    <row r="36" spans="2:18" ht="15" customHeight="1">
      <c r="B36" s="151" t="s">
        <v>98</v>
      </c>
      <c r="C36" s="152"/>
      <c r="D36" s="149">
        <v>2021</v>
      </c>
      <c r="E36" s="231">
        <f>SUM('7.4 (L) (3)'!E36,'7.4 (P) (3)'!E36)</f>
        <v>30</v>
      </c>
      <c r="F36" s="223">
        <f>SUM('7.4 (L) (3)'!F36,'7.4 (P) (3)'!F36)</f>
        <v>184</v>
      </c>
      <c r="G36" s="223">
        <f>SUM('7.4 (L) (3)'!G36,'7.4 (P) (3)'!G36)</f>
        <v>112</v>
      </c>
      <c r="H36" s="223">
        <f>SUM('7.4 (L) (3)'!H36,'7.4 (P) (3)'!H36)</f>
        <v>69</v>
      </c>
      <c r="I36" s="223">
        <f>SUM('7.4 (L) (3)'!I36,'7.4 (P) (3)'!I36)</f>
        <v>36</v>
      </c>
      <c r="J36" s="223">
        <f>SUM('7.4 (L) (3)'!J36,'7.4 (P) (3)'!J36)</f>
        <v>10</v>
      </c>
      <c r="K36" s="223"/>
      <c r="L36" s="231">
        <f>SUM('7.4 (L) (3)'!L36,'7.4 (P) (3)'!L36)</f>
        <v>13</v>
      </c>
      <c r="M36" s="223">
        <f>SUM('7.4 (L) (3)'!M36,'7.4 (P) (3)'!M36)</f>
        <v>66</v>
      </c>
      <c r="N36" s="223">
        <f>SUM('7.4 (L) (3)'!N36,'7.4 (P) (3)'!N36)</f>
        <v>60</v>
      </c>
      <c r="O36" s="223">
        <f>SUM('7.4 (L) (3)'!O36,'7.4 (P) (3)'!O36)</f>
        <v>45</v>
      </c>
      <c r="P36" s="223">
        <f>SUM('7.4 (L) (3)'!P36,'7.4 (P) (3)'!P36)</f>
        <v>30</v>
      </c>
      <c r="Q36" s="223">
        <f>SUM('7.4 (L) (3)'!Q36,'7.4 (P) (3)'!Q36)</f>
        <v>17</v>
      </c>
      <c r="R36" s="222"/>
    </row>
    <row r="37" spans="2:18" ht="15" customHeight="1">
      <c r="B37" s="153"/>
      <c r="C37" s="152"/>
      <c r="D37" s="149">
        <v>2022</v>
      </c>
      <c r="E37" s="231">
        <f>SUM('7.4 (L) (3)'!E37,'7.4 (P) (3)'!E37)</f>
        <v>17</v>
      </c>
      <c r="F37" s="223">
        <f>SUM('7.4 (L) (3)'!F37,'7.4 (P) (3)'!F37)</f>
        <v>140</v>
      </c>
      <c r="G37" s="223">
        <f>SUM('7.4 (L) (3)'!G37,'7.4 (P) (3)'!G37)</f>
        <v>90</v>
      </c>
      <c r="H37" s="223">
        <f>SUM('7.4 (L) (3)'!H37,'7.4 (P) (3)'!H37)</f>
        <v>49</v>
      </c>
      <c r="I37" s="223">
        <f>SUM('7.4 (L) (3)'!I37,'7.4 (P) (3)'!I37)</f>
        <v>28</v>
      </c>
      <c r="J37" s="223">
        <f>SUM('7.4 (L) (3)'!J37,'7.4 (P) (3)'!J37)</f>
        <v>12</v>
      </c>
      <c r="K37" s="223"/>
      <c r="L37" s="231">
        <f>SUM('7.4 (L) (3)'!L37,'7.4 (P) (3)'!L37)</f>
        <v>13</v>
      </c>
      <c r="M37" s="223">
        <f>SUM('7.4 (L) (3)'!M37,'7.4 (P) (3)'!M37)</f>
        <v>80</v>
      </c>
      <c r="N37" s="223">
        <f>SUM('7.4 (L) (3)'!N37,'7.4 (P) (3)'!N37)</f>
        <v>94</v>
      </c>
      <c r="O37" s="223">
        <f>SUM('7.4 (L) (3)'!O37,'7.4 (P) (3)'!O37)</f>
        <v>60</v>
      </c>
      <c r="P37" s="223">
        <f>SUM('7.4 (L) (3)'!P37,'7.4 (P) (3)'!P37)</f>
        <v>49</v>
      </c>
      <c r="Q37" s="223">
        <f>SUM('7.4 (L) (3)'!Q37,'7.4 (P) (3)'!Q37)</f>
        <v>28</v>
      </c>
      <c r="R37" s="222"/>
    </row>
    <row r="38" spans="2:18" ht="15" customHeight="1">
      <c r="B38" s="153"/>
      <c r="C38" s="152"/>
      <c r="D38" s="149">
        <v>2023</v>
      </c>
      <c r="E38" s="231">
        <f>SUM('7.4 (L) (3)'!E38,'7.4 (P) (3)'!E38)</f>
        <v>9</v>
      </c>
      <c r="F38" s="223">
        <f>SUM('7.4 (L) (3)'!F38,'7.4 (P) (3)'!F38)</f>
        <v>124</v>
      </c>
      <c r="G38" s="231">
        <f>SUM('7.4 (L) (3)'!G38,'7.4 (P) (3)'!G38)</f>
        <v>117</v>
      </c>
      <c r="H38" s="223">
        <f>SUM('7.4 (L) (3)'!H38,'7.4 (P) (3)'!H38)</f>
        <v>77</v>
      </c>
      <c r="I38" s="223">
        <f>SUM('7.4 (L) (3)'!I38,'7.4 (P) (3)'!I38)</f>
        <v>39</v>
      </c>
      <c r="J38" s="223">
        <f>SUM('7.4 (L) (3)'!J38,'7.4 (P) (3)'!J38)</f>
        <v>23</v>
      </c>
      <c r="K38" s="223"/>
      <c r="L38" s="231">
        <f>SUM('7.4 (L) (3)'!L38,'7.4 (P) (3)'!L38)</f>
        <v>9</v>
      </c>
      <c r="M38" s="223">
        <f>SUM('7.4 (L) (3)'!M38,'7.4 (P) (3)'!M38)</f>
        <v>71</v>
      </c>
      <c r="N38" s="231">
        <f>SUM('7.4 (L) (3)'!N38,'7.4 (P) (3)'!N38)</f>
        <v>104</v>
      </c>
      <c r="O38" s="223">
        <f>SUM('7.4 (L) (3)'!O38,'7.4 (P) (3)'!O38)</f>
        <v>80</v>
      </c>
      <c r="P38" s="223">
        <f>SUM('7.4 (L) (3)'!P38,'7.4 (P) (3)'!P38)</f>
        <v>70</v>
      </c>
      <c r="Q38" s="223">
        <f>SUM('7.4 (L) (3)'!Q38,'7.4 (P) (3)'!Q38)</f>
        <v>65</v>
      </c>
      <c r="R38" s="222"/>
    </row>
    <row r="39" spans="2:18" ht="8.1" customHeight="1">
      <c r="B39" s="153"/>
      <c r="C39" s="154"/>
      <c r="D39" s="149"/>
      <c r="E39" s="150"/>
      <c r="F39" s="203"/>
      <c r="G39" s="203"/>
      <c r="H39" s="203"/>
      <c r="I39" s="203"/>
      <c r="J39" s="203"/>
      <c r="K39" s="203"/>
      <c r="L39" s="150"/>
      <c r="M39" s="203"/>
      <c r="N39" s="203"/>
      <c r="O39" s="203"/>
      <c r="P39" s="203"/>
      <c r="Q39" s="203"/>
      <c r="R39" s="203"/>
    </row>
    <row r="40" spans="2:18" ht="15" customHeight="1">
      <c r="B40" s="151" t="s">
        <v>99</v>
      </c>
      <c r="C40" s="152"/>
      <c r="D40" s="149">
        <v>2021</v>
      </c>
      <c r="E40" s="231">
        <f>SUM('7.4 (L) (3)'!E40,'7.4 (P) (3)'!E40)</f>
        <v>30</v>
      </c>
      <c r="F40" s="223">
        <f>SUM('7.4 (L) (3)'!F40,'7.4 (P) (3)'!F40)</f>
        <v>132</v>
      </c>
      <c r="G40" s="223">
        <f>SUM('7.4 (L) (3)'!G40,'7.4 (P) (3)'!G40)</f>
        <v>86</v>
      </c>
      <c r="H40" s="223">
        <f>SUM('7.4 (L) (3)'!H40,'7.4 (P) (3)'!H40)</f>
        <v>44</v>
      </c>
      <c r="I40" s="223">
        <f>SUM('7.4 (L) (3)'!I40,'7.4 (P) (3)'!I40)</f>
        <v>23</v>
      </c>
      <c r="J40" s="223">
        <f>SUM('7.4 (L) (3)'!J40,'7.4 (P) (3)'!J40)</f>
        <v>15</v>
      </c>
      <c r="K40" s="223"/>
      <c r="L40" s="231">
        <f>SUM('7.4 (L) (3)'!L40,'7.4 (P) (3)'!L40)</f>
        <v>11</v>
      </c>
      <c r="M40" s="223">
        <f>SUM('7.4 (L) (3)'!M40,'7.4 (P) (3)'!M40)</f>
        <v>44</v>
      </c>
      <c r="N40" s="223">
        <f>SUM('7.4 (L) (3)'!N40,'7.4 (P) (3)'!N40)</f>
        <v>39</v>
      </c>
      <c r="O40" s="223">
        <f>SUM('7.4 (L) (3)'!O40,'7.4 (P) (3)'!O40)</f>
        <v>28</v>
      </c>
      <c r="P40" s="223">
        <f>SUM('7.4 (L) (3)'!P40,'7.4 (P) (3)'!P40)</f>
        <v>27</v>
      </c>
      <c r="Q40" s="223">
        <f>SUM('7.4 (L) (3)'!Q40,'7.4 (P) (3)'!Q40)</f>
        <v>12</v>
      </c>
      <c r="R40" s="222"/>
    </row>
    <row r="41" spans="2:18" ht="15" customHeight="1">
      <c r="B41" s="153"/>
      <c r="C41" s="152"/>
      <c r="D41" s="149">
        <v>2022</v>
      </c>
      <c r="E41" s="231">
        <f>SUM('7.4 (L) (3)'!E41,'7.4 (P) (3)'!E41)</f>
        <v>9</v>
      </c>
      <c r="F41" s="223">
        <f>SUM('7.4 (L) (3)'!F41,'7.4 (P) (3)'!F41)</f>
        <v>108</v>
      </c>
      <c r="G41" s="223">
        <f>SUM('7.4 (L) (3)'!G41,'7.4 (P) (3)'!G41)</f>
        <v>75</v>
      </c>
      <c r="H41" s="223">
        <f>SUM('7.4 (L) (3)'!H41,'7.4 (P) (3)'!H41)</f>
        <v>41</v>
      </c>
      <c r="I41" s="223">
        <f>SUM('7.4 (L) (3)'!I41,'7.4 (P) (3)'!I41)</f>
        <v>12</v>
      </c>
      <c r="J41" s="223">
        <f>SUM('7.4 (L) (3)'!J41,'7.4 (P) (3)'!J41)</f>
        <v>8</v>
      </c>
      <c r="K41" s="223"/>
      <c r="L41" s="231">
        <f>SUM('7.4 (L) (3)'!L41,'7.4 (P) (3)'!L41)</f>
        <v>8</v>
      </c>
      <c r="M41" s="223">
        <f>SUM('7.4 (L) (3)'!M41,'7.4 (P) (3)'!M41)</f>
        <v>59</v>
      </c>
      <c r="N41" s="223">
        <f>SUM('7.4 (L) (3)'!N41,'7.4 (P) (3)'!N41)</f>
        <v>76</v>
      </c>
      <c r="O41" s="223">
        <f>SUM('7.4 (L) (3)'!O41,'7.4 (P) (3)'!O41)</f>
        <v>58</v>
      </c>
      <c r="P41" s="223">
        <f>SUM('7.4 (L) (3)'!P41,'7.4 (P) (3)'!P41)</f>
        <v>27</v>
      </c>
      <c r="Q41" s="223">
        <f>SUM('7.4 (L) (3)'!Q41,'7.4 (P) (3)'!Q41)</f>
        <v>15</v>
      </c>
      <c r="R41" s="222"/>
    </row>
    <row r="42" spans="2:18" ht="15" customHeight="1">
      <c r="B42" s="153"/>
      <c r="C42" s="152"/>
      <c r="D42" s="149">
        <v>2023</v>
      </c>
      <c r="E42" s="231">
        <f>SUM('7.4 (L) (3)'!E42,'7.4 (P) (3)'!E42)</f>
        <v>21</v>
      </c>
      <c r="F42" s="223">
        <f>SUM('7.4 (L) (3)'!F42,'7.4 (P) (3)'!F42)</f>
        <v>111</v>
      </c>
      <c r="G42" s="231">
        <f>SUM('7.4 (L) (3)'!G42,'7.4 (P) (3)'!G42)</f>
        <v>111</v>
      </c>
      <c r="H42" s="223">
        <f>SUM('7.4 (L) (3)'!H42,'7.4 (P) (3)'!H42)</f>
        <v>49</v>
      </c>
      <c r="I42" s="223">
        <f>SUM('7.4 (L) (3)'!I42,'7.4 (P) (3)'!I42)</f>
        <v>24</v>
      </c>
      <c r="J42" s="223">
        <f>SUM('7.4 (L) (3)'!J42,'7.4 (P) (3)'!J42)</f>
        <v>6</v>
      </c>
      <c r="K42" s="223"/>
      <c r="L42" s="231">
        <f>SUM('7.4 (L) (3)'!L42,'7.4 (P) (3)'!L42)</f>
        <v>19</v>
      </c>
      <c r="M42" s="223">
        <f>SUM('7.4 (L) (3)'!M42,'7.4 (P) (3)'!M42)</f>
        <v>74</v>
      </c>
      <c r="N42" s="231">
        <f>SUM('7.4 (L) (3)'!N42,'7.4 (P) (3)'!N42)</f>
        <v>105</v>
      </c>
      <c r="O42" s="223">
        <f>SUM('7.4 (L) (3)'!O42,'7.4 (P) (3)'!O42)</f>
        <v>53</v>
      </c>
      <c r="P42" s="223">
        <f>SUM('7.4 (L) (3)'!P42,'7.4 (P) (3)'!P42)</f>
        <v>61</v>
      </c>
      <c r="Q42" s="223">
        <f>SUM('7.4 (L) (3)'!Q42,'7.4 (P) (3)'!Q42)</f>
        <v>49</v>
      </c>
      <c r="R42" s="222"/>
    </row>
    <row r="43" spans="2:18" ht="8.1" customHeight="1">
      <c r="B43" s="153"/>
      <c r="C43" s="148"/>
      <c r="D43" s="149"/>
      <c r="E43" s="150"/>
      <c r="F43" s="203"/>
      <c r="G43" s="203"/>
      <c r="H43" s="203"/>
      <c r="I43" s="203"/>
      <c r="J43" s="203"/>
      <c r="K43" s="203"/>
      <c r="L43" s="150"/>
      <c r="M43" s="203"/>
      <c r="N43" s="203"/>
      <c r="O43" s="203"/>
      <c r="P43" s="203"/>
      <c r="Q43" s="203"/>
      <c r="R43" s="203"/>
    </row>
    <row r="44" spans="2:18" ht="15" customHeight="1">
      <c r="B44" s="151" t="s">
        <v>100</v>
      </c>
      <c r="C44" s="152"/>
      <c r="D44" s="149">
        <v>2021</v>
      </c>
      <c r="E44" s="231">
        <f>SUM('7.4 (L) (3)'!E44,'7.4 (P) (3)'!E44)</f>
        <v>20</v>
      </c>
      <c r="F44" s="223">
        <f>SUM('7.4 (L) (3)'!F44,'7.4 (P) (3)'!F44)</f>
        <v>180</v>
      </c>
      <c r="G44" s="223">
        <f>SUM('7.4 (L) (3)'!G44,'7.4 (P) (3)'!G44)</f>
        <v>107</v>
      </c>
      <c r="H44" s="223">
        <f>SUM('7.4 (L) (3)'!H44,'7.4 (P) (3)'!H44)</f>
        <v>65</v>
      </c>
      <c r="I44" s="223">
        <f>SUM('7.4 (L) (3)'!I44,'7.4 (P) (3)'!I44)</f>
        <v>24</v>
      </c>
      <c r="J44" s="223">
        <f>SUM('7.4 (L) (3)'!J44,'7.4 (P) (3)'!J44)</f>
        <v>9</v>
      </c>
      <c r="K44" s="223"/>
      <c r="L44" s="231">
        <f>SUM('7.4 (L) (3)'!L44,'7.4 (P) (3)'!L44)</f>
        <v>17</v>
      </c>
      <c r="M44" s="223">
        <f>SUM('7.4 (L) (3)'!M44,'7.4 (P) (3)'!M44)</f>
        <v>134</v>
      </c>
      <c r="N44" s="223">
        <f>SUM('7.4 (L) (3)'!N44,'7.4 (P) (3)'!N44)</f>
        <v>96</v>
      </c>
      <c r="O44" s="223">
        <f>SUM('7.4 (L) (3)'!O44,'7.4 (P) (3)'!O44)</f>
        <v>77</v>
      </c>
      <c r="P44" s="223">
        <f>SUM('7.4 (L) (3)'!P44,'7.4 (P) (3)'!P44)</f>
        <v>56</v>
      </c>
      <c r="Q44" s="223">
        <f>SUM('7.4 (L) (3)'!Q44,'7.4 (P) (3)'!Q44)</f>
        <v>22</v>
      </c>
      <c r="R44" s="222"/>
    </row>
    <row r="45" spans="2:18" ht="15" customHeight="1">
      <c r="B45" s="151"/>
      <c r="C45" s="152"/>
      <c r="D45" s="149">
        <v>2022</v>
      </c>
      <c r="E45" s="231">
        <f>SUM('7.4 (L) (3)'!E45,'7.4 (P) (3)'!E45)</f>
        <v>8</v>
      </c>
      <c r="F45" s="223">
        <f>SUM('7.4 (L) (3)'!F45,'7.4 (P) (3)'!F45)</f>
        <v>130</v>
      </c>
      <c r="G45" s="223">
        <f>SUM('7.4 (L) (3)'!G45,'7.4 (P) (3)'!G45)</f>
        <v>65</v>
      </c>
      <c r="H45" s="223">
        <f>SUM('7.4 (L) (3)'!H45,'7.4 (P) (3)'!H45)</f>
        <v>35</v>
      </c>
      <c r="I45" s="223">
        <f>SUM('7.4 (L) (3)'!I45,'7.4 (P) (3)'!I45)</f>
        <v>15</v>
      </c>
      <c r="J45" s="223">
        <f>SUM('7.4 (L) (3)'!J45,'7.4 (P) (3)'!J45)</f>
        <v>8</v>
      </c>
      <c r="K45" s="223"/>
      <c r="L45" s="231">
        <f>SUM('7.4 (L) (3)'!L45,'7.4 (P) (3)'!L45)</f>
        <v>13</v>
      </c>
      <c r="M45" s="223">
        <f>SUM('7.4 (L) (3)'!M45,'7.4 (P) (3)'!M45)</f>
        <v>84</v>
      </c>
      <c r="N45" s="223">
        <f>SUM('7.4 (L) (3)'!N45,'7.4 (P) (3)'!N45)</f>
        <v>82</v>
      </c>
      <c r="O45" s="223">
        <f>SUM('7.4 (L) (3)'!O45,'7.4 (P) (3)'!O45)</f>
        <v>57</v>
      </c>
      <c r="P45" s="223">
        <f>SUM('7.4 (L) (3)'!P45,'7.4 (P) (3)'!P45)</f>
        <v>27</v>
      </c>
      <c r="Q45" s="223">
        <f>SUM('7.4 (L) (3)'!Q45,'7.4 (P) (3)'!Q45)</f>
        <v>14</v>
      </c>
      <c r="R45" s="222"/>
    </row>
    <row r="46" spans="2:18" ht="15" customHeight="1">
      <c r="B46" s="151"/>
      <c r="C46" s="152"/>
      <c r="D46" s="149">
        <v>2023</v>
      </c>
      <c r="E46" s="231">
        <f>SUM('7.4 (L) (3)'!E46,'7.4 (P) (3)'!E46)</f>
        <v>9</v>
      </c>
      <c r="F46" s="223">
        <f>SUM('7.4 (L) (3)'!F46,'7.4 (P) (3)'!F46)</f>
        <v>154</v>
      </c>
      <c r="G46" s="231">
        <f>SUM('7.4 (L) (3)'!G46,'7.4 (P) (3)'!G46)</f>
        <v>112</v>
      </c>
      <c r="H46" s="223">
        <f>SUM('7.4 (L) (3)'!H46,'7.4 (P) (3)'!H46)</f>
        <v>64</v>
      </c>
      <c r="I46" s="223">
        <f>SUM('7.4 (L) (3)'!I46,'7.4 (P) (3)'!I46)</f>
        <v>31</v>
      </c>
      <c r="J46" s="223">
        <f>SUM('7.4 (L) (3)'!J46,'7.4 (P) (3)'!J46)</f>
        <v>6</v>
      </c>
      <c r="K46" s="223"/>
      <c r="L46" s="231">
        <f>SUM('7.4 (L) (3)'!L46,'7.4 (P) (3)'!L46)</f>
        <v>13</v>
      </c>
      <c r="M46" s="223">
        <f>SUM('7.4 (L) (3)'!M46,'7.4 (P) (3)'!M46)</f>
        <v>116</v>
      </c>
      <c r="N46" s="231">
        <f>SUM('7.4 (L) (3)'!N46,'7.4 (P) (3)'!N46)</f>
        <v>104</v>
      </c>
      <c r="O46" s="223">
        <f>SUM('7.4 (L) (3)'!O46,'7.4 (P) (3)'!O46)</f>
        <v>109</v>
      </c>
      <c r="P46" s="223">
        <f>SUM('7.4 (L) (3)'!P46,'7.4 (P) (3)'!P46)</f>
        <v>76</v>
      </c>
      <c r="Q46" s="223">
        <f>SUM('7.4 (L) (3)'!Q46,'7.4 (P) (3)'!Q46)</f>
        <v>44</v>
      </c>
      <c r="R46" s="222"/>
    </row>
    <row r="47" spans="2:18" ht="8.1" customHeight="1">
      <c r="B47" s="151"/>
      <c r="C47" s="154"/>
      <c r="D47" s="149"/>
      <c r="E47" s="150"/>
      <c r="F47" s="203"/>
      <c r="G47" s="203"/>
      <c r="H47" s="203"/>
      <c r="I47" s="203"/>
      <c r="J47" s="203"/>
      <c r="K47" s="203"/>
      <c r="L47" s="150"/>
      <c r="M47" s="203"/>
      <c r="N47" s="203"/>
      <c r="O47" s="203"/>
      <c r="P47" s="203"/>
      <c r="Q47" s="203"/>
      <c r="R47" s="203"/>
    </row>
    <row r="48" spans="2:18" ht="15" customHeight="1">
      <c r="B48" s="151" t="s">
        <v>101</v>
      </c>
      <c r="C48" s="152"/>
      <c r="D48" s="149">
        <v>2021</v>
      </c>
      <c r="E48" s="231">
        <f>SUM('7.4 (L) (3)'!E48,'7.4 (P) (3)'!E48)</f>
        <v>24</v>
      </c>
      <c r="F48" s="223">
        <f>SUM('7.4 (L) (3)'!F48,'7.4 (P) (3)'!F48)</f>
        <v>112</v>
      </c>
      <c r="G48" s="223">
        <f>SUM('7.4 (L) (3)'!G48,'7.4 (P) (3)'!G48)</f>
        <v>66</v>
      </c>
      <c r="H48" s="223">
        <f>SUM('7.4 (L) (3)'!H48,'7.4 (P) (3)'!H48)</f>
        <v>51</v>
      </c>
      <c r="I48" s="223">
        <f>SUM('7.4 (L) (3)'!I48,'7.4 (P) (3)'!I48)</f>
        <v>22</v>
      </c>
      <c r="J48" s="223">
        <f>SUM('7.4 (L) (3)'!J48,'7.4 (P) (3)'!J48)</f>
        <v>12</v>
      </c>
      <c r="K48" s="223"/>
      <c r="L48" s="231">
        <f>SUM('7.4 (L) (3)'!L48,'7.4 (P) (3)'!L48)</f>
        <v>10</v>
      </c>
      <c r="M48" s="223">
        <f>SUM('7.4 (L) (3)'!M48,'7.4 (P) (3)'!M48)</f>
        <v>66</v>
      </c>
      <c r="N48" s="223">
        <f>SUM('7.4 (L) (3)'!N48,'7.4 (P) (3)'!N48)</f>
        <v>49</v>
      </c>
      <c r="O48" s="223">
        <f>SUM('7.4 (L) (3)'!O48,'7.4 (P) (3)'!O48)</f>
        <v>33</v>
      </c>
      <c r="P48" s="223">
        <f>SUM('7.4 (L) (3)'!P48,'7.4 (P) (3)'!P48)</f>
        <v>30</v>
      </c>
      <c r="Q48" s="223">
        <f>SUM('7.4 (L) (3)'!Q48,'7.4 (P) (3)'!Q48)</f>
        <v>11</v>
      </c>
      <c r="R48" s="222"/>
    </row>
    <row r="49" spans="2:18" ht="15" customHeight="1">
      <c r="B49" s="153"/>
      <c r="C49" s="152"/>
      <c r="D49" s="149">
        <v>2022</v>
      </c>
      <c r="E49" s="231">
        <f>SUM('7.4 (L) (3)'!E49,'7.4 (P) (3)'!E49)</f>
        <v>8</v>
      </c>
      <c r="F49" s="223">
        <f>SUM('7.4 (L) (3)'!F49,'7.4 (P) (3)'!F49)</f>
        <v>79</v>
      </c>
      <c r="G49" s="223">
        <f>SUM('7.4 (L) (3)'!G49,'7.4 (P) (3)'!G49)</f>
        <v>77</v>
      </c>
      <c r="H49" s="223">
        <f>SUM('7.4 (L) (3)'!H49,'7.4 (P) (3)'!H49)</f>
        <v>22</v>
      </c>
      <c r="I49" s="223">
        <f>SUM('7.4 (L) (3)'!I49,'7.4 (P) (3)'!I49)</f>
        <v>7</v>
      </c>
      <c r="J49" s="223">
        <f>SUM('7.4 (L) (3)'!J49,'7.4 (P) (3)'!J49)</f>
        <v>7</v>
      </c>
      <c r="K49" s="223"/>
      <c r="L49" s="231">
        <f>SUM('7.4 (L) (3)'!L49,'7.4 (P) (3)'!L49)</f>
        <v>8</v>
      </c>
      <c r="M49" s="223">
        <f>SUM('7.4 (L) (3)'!M49,'7.4 (P) (3)'!M49)</f>
        <v>42</v>
      </c>
      <c r="N49" s="223">
        <f>SUM('7.4 (L) (3)'!N49,'7.4 (P) (3)'!N49)</f>
        <v>55</v>
      </c>
      <c r="O49" s="223">
        <f>SUM('7.4 (L) (3)'!O49,'7.4 (P) (3)'!O49)</f>
        <v>40</v>
      </c>
      <c r="P49" s="223">
        <f>SUM('7.4 (L) (3)'!P49,'7.4 (P) (3)'!P49)</f>
        <v>33</v>
      </c>
      <c r="Q49" s="223">
        <f>SUM('7.4 (L) (3)'!Q49,'7.4 (P) (3)'!Q49)</f>
        <v>21</v>
      </c>
      <c r="R49" s="222"/>
    </row>
    <row r="50" spans="2:18" ht="15" customHeight="1">
      <c r="B50" s="153"/>
      <c r="C50" s="152"/>
      <c r="D50" s="149">
        <v>2023</v>
      </c>
      <c r="E50" s="231">
        <f>SUM('7.4 (L) (3)'!E50,'7.4 (P) (3)'!E50)</f>
        <v>14</v>
      </c>
      <c r="F50" s="223">
        <f>SUM('7.4 (L) (3)'!F50,'7.4 (P) (3)'!F50)</f>
        <v>116</v>
      </c>
      <c r="G50" s="231">
        <f>SUM('7.4 (L) (3)'!G50,'7.4 (P) (3)'!G50)</f>
        <v>84</v>
      </c>
      <c r="H50" s="223">
        <f>SUM('7.4 (L) (3)'!H50,'7.4 (P) (3)'!H50)</f>
        <v>60</v>
      </c>
      <c r="I50" s="223">
        <f>SUM('7.4 (L) (3)'!I50,'7.4 (P) (3)'!I50)</f>
        <v>27</v>
      </c>
      <c r="J50" s="223">
        <f>SUM('7.4 (L) (3)'!J50,'7.4 (P) (3)'!J50)</f>
        <v>19</v>
      </c>
      <c r="K50" s="223"/>
      <c r="L50" s="231">
        <f>SUM('7.4 (L) (3)'!L50,'7.4 (P) (3)'!L50)</f>
        <v>17</v>
      </c>
      <c r="M50" s="223">
        <f>SUM('7.4 (L) (3)'!M50,'7.4 (P) (3)'!M50)</f>
        <v>73</v>
      </c>
      <c r="N50" s="231">
        <f>SUM('7.4 (L) (3)'!N50,'7.4 (P) (3)'!N50)</f>
        <v>64</v>
      </c>
      <c r="O50" s="223">
        <f>SUM('7.4 (L) (3)'!O50,'7.4 (P) (3)'!O50)</f>
        <v>77</v>
      </c>
      <c r="P50" s="223">
        <f>SUM('7.4 (L) (3)'!P50,'7.4 (P) (3)'!P50)</f>
        <v>94</v>
      </c>
      <c r="Q50" s="223">
        <f>SUM('7.4 (L) (3)'!Q50,'7.4 (P) (3)'!Q50)</f>
        <v>61</v>
      </c>
      <c r="R50" s="222"/>
    </row>
    <row r="51" spans="2:18" ht="8.1" customHeight="1">
      <c r="B51" s="153"/>
      <c r="C51" s="138"/>
      <c r="D51" s="149"/>
      <c r="E51" s="150"/>
      <c r="F51" s="203"/>
      <c r="G51" s="203"/>
      <c r="H51" s="203"/>
      <c r="I51" s="203"/>
      <c r="J51" s="203"/>
      <c r="K51" s="203"/>
      <c r="L51" s="150"/>
      <c r="M51" s="203"/>
      <c r="N51" s="203"/>
      <c r="O51" s="203"/>
      <c r="P51" s="203"/>
      <c r="Q51" s="203"/>
      <c r="R51" s="203"/>
    </row>
    <row r="52" spans="2:18" ht="15" customHeight="1">
      <c r="B52" s="151" t="s">
        <v>102</v>
      </c>
      <c r="C52" s="152"/>
      <c r="D52" s="149">
        <v>2021</v>
      </c>
      <c r="E52" s="231">
        <f>SUM('7.4 (L) (3)'!E52,'7.4 (P) (3)'!E52)</f>
        <v>6</v>
      </c>
      <c r="F52" s="223">
        <f>SUM('7.4 (L) (3)'!F52,'7.4 (P) (3)'!F52)</f>
        <v>23</v>
      </c>
      <c r="G52" s="223">
        <f>SUM('7.4 (L) (3)'!G52,'7.4 (P) (3)'!G52)</f>
        <v>8</v>
      </c>
      <c r="H52" s="223">
        <f>SUM('7.4 (L) (3)'!H52,'7.4 (P) (3)'!H52)</f>
        <v>10</v>
      </c>
      <c r="I52" s="223">
        <f>SUM('7.4 (L) (3)'!I52,'7.4 (P) (3)'!I52)</f>
        <v>1</v>
      </c>
      <c r="J52" s="223">
        <f>SUM('7.4 (L) (3)'!J52,'7.4 (P) (3)'!J52)</f>
        <v>2</v>
      </c>
      <c r="K52" s="223"/>
      <c r="L52" s="231">
        <f>SUM('7.4 (L) (3)'!L52,'7.4 (P) (3)'!L52)</f>
        <v>1</v>
      </c>
      <c r="M52" s="223">
        <f>SUM('7.4 (L) (3)'!M52,'7.4 (P) (3)'!M52)</f>
        <v>13</v>
      </c>
      <c r="N52" s="223">
        <f>SUM('7.4 (L) (3)'!N52,'7.4 (P) (3)'!N52)</f>
        <v>11</v>
      </c>
      <c r="O52" s="223">
        <f>SUM('7.4 (L) (3)'!O52,'7.4 (P) (3)'!O52)</f>
        <v>4</v>
      </c>
      <c r="P52" s="223">
        <f>SUM('7.4 (L) (3)'!P52,'7.4 (P) (3)'!P52)</f>
        <v>10</v>
      </c>
      <c r="Q52" s="223">
        <f>SUM('7.4 (L) (3)'!Q52,'7.4 (P) (3)'!Q52)</f>
        <v>1</v>
      </c>
      <c r="R52" s="222"/>
    </row>
    <row r="53" spans="2:18" ht="15" customHeight="1">
      <c r="B53" s="153"/>
      <c r="C53" s="152"/>
      <c r="D53" s="149">
        <v>2022</v>
      </c>
      <c r="E53" s="231">
        <f>SUM('7.4 (L) (3)'!E53,'7.4 (P) (3)'!E53)</f>
        <v>1</v>
      </c>
      <c r="F53" s="223">
        <f>SUM('7.4 (L) (3)'!F53,'7.4 (P) (3)'!F53)</f>
        <v>22</v>
      </c>
      <c r="G53" s="223">
        <f>SUM('7.4 (L) (3)'!G53,'7.4 (P) (3)'!G53)</f>
        <v>17</v>
      </c>
      <c r="H53" s="223">
        <f>SUM('7.4 (L) (3)'!H53,'7.4 (P) (3)'!H53)</f>
        <v>7</v>
      </c>
      <c r="I53" s="223">
        <f>SUM('7.4 (L) (3)'!I53,'7.4 (P) (3)'!I53)</f>
        <v>4</v>
      </c>
      <c r="J53" s="223">
        <f>SUM('7.4 (L) (3)'!J53,'7.4 (P) (3)'!J53)</f>
        <v>2</v>
      </c>
      <c r="K53" s="223"/>
      <c r="L53" s="231">
        <f>SUM('7.4 (L) (3)'!L53,'7.4 (P) (3)'!L53)</f>
        <v>2</v>
      </c>
      <c r="M53" s="223">
        <f>SUM('7.4 (L) (3)'!M53,'7.4 (P) (3)'!M53)</f>
        <v>5</v>
      </c>
      <c r="N53" s="223">
        <f>SUM('7.4 (L) (3)'!N53,'7.4 (P) (3)'!N53)</f>
        <v>20</v>
      </c>
      <c r="O53" s="223">
        <f>SUM('7.4 (L) (3)'!O53,'7.4 (P) (3)'!O53)</f>
        <v>9</v>
      </c>
      <c r="P53" s="223">
        <f>SUM('7.4 (L) (3)'!P53,'7.4 (P) (3)'!P53)</f>
        <v>11</v>
      </c>
      <c r="Q53" s="223">
        <f>SUM('7.4 (L) (3)'!Q53,'7.4 (P) (3)'!Q53)</f>
        <v>1</v>
      </c>
      <c r="R53" s="222"/>
    </row>
    <row r="54" spans="2:18" ht="15" customHeight="1">
      <c r="B54" s="153"/>
      <c r="C54" s="152"/>
      <c r="D54" s="149">
        <v>2023</v>
      </c>
      <c r="E54" s="231">
        <f>SUM('7.4 (L) (3)'!E54,'7.4 (P) (3)'!E54)</f>
        <v>4</v>
      </c>
      <c r="F54" s="223">
        <f>SUM('7.4 (L) (3)'!F54,'7.4 (P) (3)'!F54)</f>
        <v>22</v>
      </c>
      <c r="G54" s="231">
        <f>SUM('7.4 (L) (3)'!G54,'7.4 (P) (3)'!G54)</f>
        <v>18</v>
      </c>
      <c r="H54" s="223">
        <f>SUM('7.4 (L) (3)'!H54,'7.4 (P) (3)'!H54)</f>
        <v>11</v>
      </c>
      <c r="I54" s="223">
        <f>SUM('7.4 (L) (3)'!I54,'7.4 (P) (3)'!I54)</f>
        <v>7</v>
      </c>
      <c r="J54" s="223">
        <f>SUM('7.4 (L) (3)'!J54,'7.4 (P) (3)'!J54)</f>
        <v>0</v>
      </c>
      <c r="K54" s="223"/>
      <c r="L54" s="231">
        <f>SUM('7.4 (L) (3)'!L54,'7.4 (P) (3)'!L54)</f>
        <v>6</v>
      </c>
      <c r="M54" s="223">
        <f>SUM('7.4 (L) (3)'!M54,'7.4 (P) (3)'!M54)</f>
        <v>10</v>
      </c>
      <c r="N54" s="231">
        <f>SUM('7.4 (L) (3)'!N54,'7.4 (P) (3)'!N54)</f>
        <v>18</v>
      </c>
      <c r="O54" s="223">
        <f>SUM('7.4 (L) (3)'!O54,'7.4 (P) (3)'!O54)</f>
        <v>11</v>
      </c>
      <c r="P54" s="223">
        <f>SUM('7.4 (L) (3)'!P54,'7.4 (P) (3)'!P54)</f>
        <v>8</v>
      </c>
      <c r="Q54" s="223">
        <f>SUM('7.4 (L) (3)'!Q54,'7.4 (P) (3)'!Q54)</f>
        <v>9</v>
      </c>
      <c r="R54" s="222"/>
    </row>
    <row r="55" spans="2:18" ht="8.1" customHeight="1">
      <c r="B55" s="153"/>
      <c r="C55" s="154"/>
      <c r="D55" s="149"/>
      <c r="E55" s="150"/>
      <c r="F55" s="203"/>
      <c r="G55" s="203"/>
      <c r="H55" s="203"/>
      <c r="I55" s="203"/>
      <c r="J55" s="203"/>
      <c r="K55" s="203"/>
      <c r="L55" s="150"/>
      <c r="M55" s="203"/>
      <c r="N55" s="203"/>
      <c r="O55" s="203"/>
      <c r="P55" s="203"/>
      <c r="Q55" s="203"/>
      <c r="R55" s="203"/>
    </row>
    <row r="56" spans="2:18" ht="15" customHeight="1">
      <c r="B56" s="151" t="s">
        <v>103</v>
      </c>
      <c r="C56" s="152"/>
      <c r="D56" s="149">
        <v>2021</v>
      </c>
      <c r="E56" s="231">
        <f>SUM('7.4 (L) (3)'!E56,'7.4 (P) (3)'!E56)</f>
        <v>31</v>
      </c>
      <c r="F56" s="223">
        <f>SUM('7.4 (L) (3)'!F56,'7.4 (P) (3)'!F56)</f>
        <v>249</v>
      </c>
      <c r="G56" s="223">
        <f>SUM('7.4 (L) (3)'!G56,'7.4 (P) (3)'!G56)</f>
        <v>185</v>
      </c>
      <c r="H56" s="223">
        <f>SUM('7.4 (L) (3)'!H56,'7.4 (P) (3)'!H56)</f>
        <v>115</v>
      </c>
      <c r="I56" s="223">
        <f>SUM('7.4 (L) (3)'!I56,'7.4 (P) (3)'!I56)</f>
        <v>41</v>
      </c>
      <c r="J56" s="223">
        <f>SUM('7.4 (L) (3)'!J56,'7.4 (P) (3)'!J56)</f>
        <v>26</v>
      </c>
      <c r="K56" s="223"/>
      <c r="L56" s="231">
        <f>SUM('7.4 (L) (3)'!L56,'7.4 (P) (3)'!L56)</f>
        <v>9</v>
      </c>
      <c r="M56" s="223">
        <f>SUM('7.4 (L) (3)'!M56,'7.4 (P) (3)'!M56)</f>
        <v>125</v>
      </c>
      <c r="N56" s="223">
        <f>SUM('7.4 (L) (3)'!N56,'7.4 (P) (3)'!N56)</f>
        <v>126</v>
      </c>
      <c r="O56" s="223">
        <f>SUM('7.4 (L) (3)'!O56,'7.4 (P) (3)'!O56)</f>
        <v>110</v>
      </c>
      <c r="P56" s="223">
        <f>SUM('7.4 (L) (3)'!P56,'7.4 (P) (3)'!P56)</f>
        <v>81</v>
      </c>
      <c r="Q56" s="223">
        <f>SUM('7.4 (L) (3)'!Q56,'7.4 (P) (3)'!Q56)</f>
        <v>24</v>
      </c>
      <c r="R56" s="222"/>
    </row>
    <row r="57" spans="2:18" ht="15" customHeight="1">
      <c r="B57" s="153"/>
      <c r="C57" s="152"/>
      <c r="D57" s="149">
        <v>2022</v>
      </c>
      <c r="E57" s="231">
        <f>SUM('7.4 (L) (3)'!E57,'7.4 (P) (3)'!E57)</f>
        <v>8</v>
      </c>
      <c r="F57" s="223">
        <f>SUM('7.4 (L) (3)'!F57,'7.4 (P) (3)'!F57)</f>
        <v>112</v>
      </c>
      <c r="G57" s="223">
        <f>SUM('7.4 (L) (3)'!G57,'7.4 (P) (3)'!G57)</f>
        <v>99</v>
      </c>
      <c r="H57" s="223">
        <f>SUM('7.4 (L) (3)'!H57,'7.4 (P) (3)'!H57)</f>
        <v>52</v>
      </c>
      <c r="I57" s="223">
        <f>SUM('7.4 (L) (3)'!I57,'7.4 (P) (3)'!I57)</f>
        <v>24</v>
      </c>
      <c r="J57" s="223">
        <f>SUM('7.4 (L) (3)'!J57,'7.4 (P) (3)'!J57)</f>
        <v>9</v>
      </c>
      <c r="K57" s="223"/>
      <c r="L57" s="231">
        <f>SUM('7.4 (L) (3)'!L57,'7.4 (P) (3)'!L57)</f>
        <v>8</v>
      </c>
      <c r="M57" s="223">
        <f>SUM('7.4 (L) (3)'!M57,'7.4 (P) (3)'!M57)</f>
        <v>77</v>
      </c>
      <c r="N57" s="223">
        <f>SUM('7.4 (L) (3)'!N57,'7.4 (P) (3)'!N57)</f>
        <v>116</v>
      </c>
      <c r="O57" s="223">
        <f>SUM('7.4 (L) (3)'!O57,'7.4 (P) (3)'!O57)</f>
        <v>97</v>
      </c>
      <c r="P57" s="223">
        <f>SUM('7.4 (L) (3)'!P57,'7.4 (P) (3)'!P57)</f>
        <v>74</v>
      </c>
      <c r="Q57" s="223">
        <f>SUM('7.4 (L) (3)'!Q57,'7.4 (P) (3)'!Q57)</f>
        <v>36</v>
      </c>
      <c r="R57" s="222"/>
    </row>
    <row r="58" spans="2:18" ht="15" customHeight="1">
      <c r="B58" s="153"/>
      <c r="C58" s="152"/>
      <c r="D58" s="149">
        <v>2023</v>
      </c>
      <c r="E58" s="231">
        <f>SUM('7.4 (L) (3)'!E58,'7.4 (P) (3)'!E58)</f>
        <v>9</v>
      </c>
      <c r="F58" s="223">
        <f>SUM('7.4 (L) (3)'!F58,'7.4 (P) (3)'!F58)</f>
        <v>188</v>
      </c>
      <c r="G58" s="231">
        <f>SUM('7.4 (L) (3)'!G58,'7.4 (P) (3)'!G58)</f>
        <v>199</v>
      </c>
      <c r="H58" s="223">
        <f>SUM('7.4 (L) (3)'!H58,'7.4 (P) (3)'!H58)</f>
        <v>120</v>
      </c>
      <c r="I58" s="223">
        <f>SUM('7.4 (L) (3)'!I58,'7.4 (P) (3)'!I58)</f>
        <v>42</v>
      </c>
      <c r="J58" s="223">
        <f>SUM('7.4 (L) (3)'!J58,'7.4 (P) (3)'!J58)</f>
        <v>19</v>
      </c>
      <c r="K58" s="223"/>
      <c r="L58" s="231">
        <f>SUM('7.4 (L) (3)'!L58,'7.4 (P) (3)'!L58)</f>
        <v>22</v>
      </c>
      <c r="M58" s="223">
        <f>SUM('7.4 (L) (3)'!M58,'7.4 (P) (3)'!M58)</f>
        <v>143</v>
      </c>
      <c r="N58" s="231">
        <f>SUM('7.4 (L) (3)'!N58,'7.4 (P) (3)'!N58)</f>
        <v>237</v>
      </c>
      <c r="O58" s="223">
        <f>SUM('7.4 (L) (3)'!O58,'7.4 (P) (3)'!O58)</f>
        <v>218</v>
      </c>
      <c r="P58" s="223">
        <f>SUM('7.4 (L) (3)'!P58,'7.4 (P) (3)'!P58)</f>
        <v>217</v>
      </c>
      <c r="Q58" s="223">
        <f>SUM('7.4 (L) (3)'!Q58,'7.4 (P) (3)'!Q58)</f>
        <v>176</v>
      </c>
      <c r="R58" s="222"/>
    </row>
    <row r="59" spans="2:18" ht="8.1" customHeight="1">
      <c r="B59" s="153"/>
      <c r="C59" s="148"/>
      <c r="D59" s="149"/>
      <c r="E59" s="150"/>
      <c r="F59" s="203"/>
      <c r="G59" s="203"/>
      <c r="H59" s="203"/>
      <c r="I59" s="203"/>
      <c r="J59" s="203"/>
      <c r="K59" s="203"/>
      <c r="L59" s="150"/>
      <c r="M59" s="203"/>
      <c r="N59" s="203"/>
      <c r="O59" s="203"/>
      <c r="P59" s="203"/>
      <c r="Q59" s="203"/>
      <c r="R59" s="203"/>
    </row>
    <row r="60" spans="2:18" ht="15" customHeight="1">
      <c r="B60" s="151" t="s">
        <v>104</v>
      </c>
      <c r="C60" s="152"/>
      <c r="D60" s="149">
        <v>2021</v>
      </c>
      <c r="E60" s="231">
        <f>SUM('7.4 (L) (3)'!E60,'7.4 (P) (3)'!E60)</f>
        <v>15</v>
      </c>
      <c r="F60" s="223">
        <f>SUM('7.4 (L) (3)'!F60,'7.4 (P) (3)'!F60)</f>
        <v>78</v>
      </c>
      <c r="G60" s="223">
        <f>SUM('7.4 (L) (3)'!G60,'7.4 (P) (3)'!G60)</f>
        <v>50</v>
      </c>
      <c r="H60" s="223">
        <f>SUM('7.4 (L) (3)'!H60,'7.4 (P) (3)'!H60)</f>
        <v>26</v>
      </c>
      <c r="I60" s="223">
        <f>SUM('7.4 (L) (3)'!I60,'7.4 (P) (3)'!I60)</f>
        <v>12</v>
      </c>
      <c r="J60" s="223">
        <f>SUM('7.4 (L) (3)'!J60,'7.4 (P) (3)'!J60)</f>
        <v>5</v>
      </c>
      <c r="K60" s="223"/>
      <c r="L60" s="231">
        <f>SUM('7.4 (L) (3)'!L60,'7.4 (P) (3)'!L60)</f>
        <v>7</v>
      </c>
      <c r="M60" s="223">
        <f>SUM('7.4 (L) (3)'!M60,'7.4 (P) (3)'!M60)</f>
        <v>26</v>
      </c>
      <c r="N60" s="223">
        <f>SUM('7.4 (L) (3)'!N60,'7.4 (P) (3)'!N60)</f>
        <v>28</v>
      </c>
      <c r="O60" s="223">
        <f>SUM('7.4 (L) (3)'!O60,'7.4 (P) (3)'!O60)</f>
        <v>19</v>
      </c>
      <c r="P60" s="223">
        <f>SUM('7.4 (L) (3)'!P60,'7.4 (P) (3)'!P60)</f>
        <v>25</v>
      </c>
      <c r="Q60" s="223">
        <f>SUM('7.4 (L) (3)'!Q60,'7.4 (P) (3)'!Q60)</f>
        <v>1</v>
      </c>
      <c r="R60" s="222"/>
    </row>
    <row r="61" spans="2:18" ht="15" customHeight="1">
      <c r="B61" s="153"/>
      <c r="C61" s="152"/>
      <c r="D61" s="149">
        <v>2022</v>
      </c>
      <c r="E61" s="231">
        <f>SUM('7.4 (L) (3)'!E61,'7.4 (P) (3)'!E61)</f>
        <v>10</v>
      </c>
      <c r="F61" s="223">
        <f>SUM('7.4 (L) (3)'!F61,'7.4 (P) (3)'!F61)</f>
        <v>57</v>
      </c>
      <c r="G61" s="223">
        <f>SUM('7.4 (L) (3)'!G61,'7.4 (P) (3)'!G61)</f>
        <v>57</v>
      </c>
      <c r="H61" s="223">
        <f>SUM('7.4 (L) (3)'!H61,'7.4 (P) (3)'!H61)</f>
        <v>22</v>
      </c>
      <c r="I61" s="223">
        <f>SUM('7.4 (L) (3)'!I61,'7.4 (P) (3)'!I61)</f>
        <v>5</v>
      </c>
      <c r="J61" s="223">
        <f>SUM('7.4 (L) (3)'!J61,'7.4 (P) (3)'!J61)</f>
        <v>3</v>
      </c>
      <c r="K61" s="223"/>
      <c r="L61" s="231">
        <f>SUM('7.4 (L) (3)'!L61,'7.4 (P) (3)'!L61)</f>
        <v>10</v>
      </c>
      <c r="M61" s="223">
        <f>SUM('7.4 (L) (3)'!M61,'7.4 (P) (3)'!M61)</f>
        <v>41</v>
      </c>
      <c r="N61" s="223">
        <f>SUM('7.4 (L) (3)'!N61,'7.4 (P) (3)'!N61)</f>
        <v>59</v>
      </c>
      <c r="O61" s="223">
        <f>SUM('7.4 (L) (3)'!O61,'7.4 (P) (3)'!O61)</f>
        <v>37</v>
      </c>
      <c r="P61" s="223">
        <f>SUM('7.4 (L) (3)'!P61,'7.4 (P) (3)'!P61)</f>
        <v>20</v>
      </c>
      <c r="Q61" s="223">
        <f>SUM('7.4 (L) (3)'!Q61,'7.4 (P) (3)'!Q61)</f>
        <v>11</v>
      </c>
      <c r="R61" s="222"/>
    </row>
    <row r="62" spans="2:18" ht="15" customHeight="1">
      <c r="B62" s="153"/>
      <c r="C62" s="152"/>
      <c r="D62" s="149">
        <v>2023</v>
      </c>
      <c r="E62" s="231">
        <f>SUM('7.4 (L) (3)'!E62,'7.4 (P) (3)'!E62)</f>
        <v>4</v>
      </c>
      <c r="F62" s="223">
        <f>SUM('7.4 (L) (3)'!F62,'7.4 (P) (3)'!F62)</f>
        <v>32</v>
      </c>
      <c r="G62" s="231">
        <f>SUM('7.4 (L) (3)'!G62,'7.4 (P) (3)'!G62)</f>
        <v>30</v>
      </c>
      <c r="H62" s="223">
        <f>SUM('7.4 (L) (3)'!H62,'7.4 (P) (3)'!H62)</f>
        <v>16</v>
      </c>
      <c r="I62" s="223">
        <f>SUM('7.4 (L) (3)'!I62,'7.4 (P) (3)'!I62)</f>
        <v>11</v>
      </c>
      <c r="J62" s="223">
        <f>SUM('7.4 (L) (3)'!J62,'7.4 (P) (3)'!J62)</f>
        <v>6</v>
      </c>
      <c r="K62" s="223"/>
      <c r="L62" s="231">
        <f>SUM('7.4 (L) (3)'!L62,'7.4 (P) (3)'!L62)</f>
        <v>2</v>
      </c>
      <c r="M62" s="223">
        <f>SUM('7.4 (L) (3)'!M62,'7.4 (P) (3)'!M62)</f>
        <v>33</v>
      </c>
      <c r="N62" s="231">
        <f>SUM('7.4 (L) (3)'!N62,'7.4 (P) (3)'!N62)</f>
        <v>53</v>
      </c>
      <c r="O62" s="223">
        <f>SUM('7.4 (L) (3)'!O62,'7.4 (P) (3)'!O62)</f>
        <v>33</v>
      </c>
      <c r="P62" s="223">
        <f>SUM('7.4 (L) (3)'!P62,'7.4 (P) (3)'!P62)</f>
        <v>39</v>
      </c>
      <c r="Q62" s="223">
        <f>SUM('7.4 (L) (3)'!Q62,'7.4 (P) (3)'!Q62)</f>
        <v>23</v>
      </c>
      <c r="R62" s="222"/>
    </row>
    <row r="63" spans="2:18" ht="8.1" customHeight="1">
      <c r="B63" s="153"/>
      <c r="C63" s="154"/>
      <c r="D63" s="149"/>
      <c r="E63" s="150"/>
      <c r="F63" s="203"/>
      <c r="G63" s="203"/>
      <c r="H63" s="203"/>
      <c r="I63" s="203"/>
      <c r="J63" s="203"/>
      <c r="K63" s="203"/>
      <c r="L63" s="150"/>
      <c r="M63" s="203"/>
      <c r="N63" s="203"/>
      <c r="O63" s="203"/>
      <c r="P63" s="203"/>
      <c r="Q63" s="203"/>
      <c r="R63" s="203"/>
    </row>
    <row r="64" spans="2:18" ht="15" customHeight="1">
      <c r="B64" s="151" t="s">
        <v>108</v>
      </c>
      <c r="C64" s="152"/>
      <c r="D64" s="149">
        <v>2021</v>
      </c>
      <c r="E64" s="231">
        <f>SUM('7.4 (L) (3)'!E64,'7.4 (P) (3)'!E64)</f>
        <v>14</v>
      </c>
      <c r="F64" s="223">
        <f>SUM('7.4 (L) (3)'!F64,'7.4 (P) (3)'!F64)</f>
        <v>85</v>
      </c>
      <c r="G64" s="223">
        <f>SUM('7.4 (L) (3)'!G64,'7.4 (P) (3)'!G64)</f>
        <v>73</v>
      </c>
      <c r="H64" s="223">
        <f>SUM('7.4 (L) (3)'!H64,'7.4 (P) (3)'!H64)</f>
        <v>23</v>
      </c>
      <c r="I64" s="223">
        <f>SUM('7.4 (L) (3)'!I64,'7.4 (P) (3)'!I64)</f>
        <v>17</v>
      </c>
      <c r="J64" s="223">
        <f>SUM('7.4 (L) (3)'!J64,'7.4 (P) (3)'!J64)</f>
        <v>8</v>
      </c>
      <c r="K64" s="223"/>
      <c r="L64" s="231">
        <f>SUM('7.4 (L) (3)'!L64,'7.4 (P) (3)'!L64)</f>
        <v>3</v>
      </c>
      <c r="M64" s="223">
        <f>SUM('7.4 (L) (3)'!M64,'7.4 (P) (3)'!M64)</f>
        <v>26</v>
      </c>
      <c r="N64" s="223">
        <f>SUM('7.4 (L) (3)'!N64,'7.4 (P) (3)'!N64)</f>
        <v>19</v>
      </c>
      <c r="O64" s="223">
        <f>SUM('7.4 (L) (3)'!O64,'7.4 (P) (3)'!O64)</f>
        <v>26</v>
      </c>
      <c r="P64" s="223">
        <f>SUM('7.4 (L) (3)'!P64,'7.4 (P) (3)'!P64)</f>
        <v>24</v>
      </c>
      <c r="Q64" s="223">
        <f>SUM('7.4 (L) (3)'!Q64,'7.4 (P) (3)'!Q64)</f>
        <v>8</v>
      </c>
      <c r="R64" s="222"/>
    </row>
    <row r="65" spans="1:18" ht="15" customHeight="1">
      <c r="B65" s="153"/>
      <c r="C65" s="152"/>
      <c r="D65" s="149">
        <v>2022</v>
      </c>
      <c r="E65" s="231">
        <f>SUM('7.4 (L) (3)'!E65,'7.4 (P) (3)'!E65)</f>
        <v>4</v>
      </c>
      <c r="F65" s="223">
        <f>SUM('7.4 (L) (3)'!F65,'7.4 (P) (3)'!F65)</f>
        <v>52</v>
      </c>
      <c r="G65" s="223">
        <f>SUM('7.4 (L) (3)'!G65,'7.4 (P) (3)'!G65)</f>
        <v>48</v>
      </c>
      <c r="H65" s="223">
        <f>SUM('7.4 (L) (3)'!H65,'7.4 (P) (3)'!H65)</f>
        <v>18</v>
      </c>
      <c r="I65" s="223">
        <f>SUM('7.4 (L) (3)'!I65,'7.4 (P) (3)'!I65)</f>
        <v>6</v>
      </c>
      <c r="J65" s="223">
        <f>SUM('7.4 (L) (3)'!J65,'7.4 (P) (3)'!J65)</f>
        <v>8</v>
      </c>
      <c r="K65" s="223"/>
      <c r="L65" s="231">
        <f>SUM('7.4 (L) (3)'!L65,'7.4 (P) (3)'!L65)</f>
        <v>7</v>
      </c>
      <c r="M65" s="223">
        <f>SUM('7.4 (L) (3)'!M65,'7.4 (P) (3)'!M65)</f>
        <v>37</v>
      </c>
      <c r="N65" s="223">
        <f>SUM('7.4 (L) (3)'!N65,'7.4 (P) (3)'!N65)</f>
        <v>61</v>
      </c>
      <c r="O65" s="223">
        <f>SUM('7.4 (L) (3)'!O65,'7.4 (P) (3)'!O65)</f>
        <v>32</v>
      </c>
      <c r="P65" s="223">
        <f>SUM('7.4 (L) (3)'!P65,'7.4 (P) (3)'!P65)</f>
        <v>25</v>
      </c>
      <c r="Q65" s="223">
        <f>SUM('7.4 (L) (3)'!Q65,'7.4 (P) (3)'!Q65)</f>
        <v>5</v>
      </c>
      <c r="R65" s="222"/>
    </row>
    <row r="66" spans="1:18" ht="15" customHeight="1">
      <c r="B66" s="153"/>
      <c r="C66" s="152"/>
      <c r="D66" s="149">
        <v>2023</v>
      </c>
      <c r="E66" s="231">
        <f>SUM('7.4 (L) (3)'!E66,'7.4 (P) (3)'!E66)</f>
        <v>7</v>
      </c>
      <c r="F66" s="223">
        <f>SUM('7.4 (L) (3)'!F66,'7.4 (P) (3)'!F66)</f>
        <v>60</v>
      </c>
      <c r="G66" s="231">
        <f>SUM('7.4 (L) (3)'!G66,'7.4 (P) (3)'!G66)</f>
        <v>76</v>
      </c>
      <c r="H66" s="223">
        <f>SUM('7.4 (L) (3)'!H66,'7.4 (P) (3)'!H66)</f>
        <v>34</v>
      </c>
      <c r="I66" s="223">
        <f>SUM('7.4 (L) (3)'!I66,'7.4 (P) (3)'!I66)</f>
        <v>16</v>
      </c>
      <c r="J66" s="223">
        <f>SUM('7.4 (L) (3)'!J66,'7.4 (P) (3)'!J66)</f>
        <v>6</v>
      </c>
      <c r="K66" s="223"/>
      <c r="L66" s="231">
        <f>SUM('7.4 (L) (3)'!L66,'7.4 (P) (3)'!L66)</f>
        <v>5</v>
      </c>
      <c r="M66" s="223">
        <f>SUM('7.4 (L) (3)'!M66,'7.4 (P) (3)'!M66)</f>
        <v>46</v>
      </c>
      <c r="N66" s="231">
        <f>SUM('7.4 (L) (3)'!N66,'7.4 (P) (3)'!N66)</f>
        <v>75</v>
      </c>
      <c r="O66" s="223">
        <f>SUM('7.4 (L) (3)'!O66,'7.4 (P) (3)'!O66)</f>
        <v>62</v>
      </c>
      <c r="P66" s="223">
        <f>SUM('7.4 (L) (3)'!P66,'7.4 (P) (3)'!P66)</f>
        <v>39</v>
      </c>
      <c r="Q66" s="223">
        <f>SUM('7.4 (L) (3)'!Q66,'7.4 (P) (3)'!Q66)</f>
        <v>19</v>
      </c>
      <c r="R66" s="222"/>
    </row>
    <row r="67" spans="1:18" ht="8.1" customHeight="1">
      <c r="B67" s="155"/>
      <c r="C67" s="145"/>
      <c r="D67" s="149"/>
      <c r="E67" s="150"/>
      <c r="F67" s="203"/>
      <c r="G67" s="203"/>
      <c r="H67" s="203"/>
      <c r="I67" s="203"/>
      <c r="J67" s="203"/>
      <c r="K67" s="203"/>
      <c r="L67" s="150"/>
      <c r="M67" s="203"/>
      <c r="N67" s="203"/>
      <c r="O67" s="203"/>
      <c r="P67" s="203"/>
      <c r="Q67" s="203"/>
      <c r="R67" s="203"/>
    </row>
    <row r="68" spans="1:18" ht="15" customHeight="1">
      <c r="B68" s="151" t="s">
        <v>105</v>
      </c>
      <c r="C68" s="152"/>
      <c r="D68" s="149">
        <v>2021</v>
      </c>
      <c r="E68" s="231">
        <f>SUM('7.4 (L) (3)'!E68,'7.4 (P) (3)'!E68)</f>
        <v>39</v>
      </c>
      <c r="F68" s="223">
        <f>SUM('7.4 (L) (3)'!F68,'7.4 (P) (3)'!F68)</f>
        <v>181</v>
      </c>
      <c r="G68" s="223">
        <f>SUM('7.4 (L) (3)'!G68,'7.4 (P) (3)'!G68)</f>
        <v>119</v>
      </c>
      <c r="H68" s="223">
        <f>SUM('7.4 (L) (3)'!H68,'7.4 (P) (3)'!H68)</f>
        <v>59</v>
      </c>
      <c r="I68" s="223">
        <f>SUM('7.4 (L) (3)'!I68,'7.4 (P) (3)'!I68)</f>
        <v>27</v>
      </c>
      <c r="J68" s="223">
        <f>SUM('7.4 (L) (3)'!J68,'7.4 (P) (3)'!J68)</f>
        <v>12</v>
      </c>
      <c r="K68" s="223"/>
      <c r="L68" s="231">
        <f>SUM('7.4 (L) (3)'!L68,'7.4 (P) (3)'!L68)</f>
        <v>14</v>
      </c>
      <c r="M68" s="223">
        <f>SUM('7.4 (L) (3)'!M68,'7.4 (P) (3)'!M68)</f>
        <v>45</v>
      </c>
      <c r="N68" s="223">
        <f>SUM('7.4 (L) (3)'!N68,'7.4 (P) (3)'!N68)</f>
        <v>33</v>
      </c>
      <c r="O68" s="223">
        <f>SUM('7.4 (L) (3)'!O68,'7.4 (P) (3)'!O68)</f>
        <v>30</v>
      </c>
      <c r="P68" s="223">
        <f>SUM('7.4 (L) (3)'!P68,'7.4 (P) (3)'!P68)</f>
        <v>8</v>
      </c>
      <c r="Q68" s="223">
        <f>SUM('7.4 (L) (3)'!Q68,'7.4 (P) (3)'!Q68)</f>
        <v>6</v>
      </c>
      <c r="R68" s="222"/>
    </row>
    <row r="69" spans="1:18" ht="15" customHeight="1">
      <c r="B69" s="153"/>
      <c r="C69" s="152"/>
      <c r="D69" s="149">
        <v>2022</v>
      </c>
      <c r="E69" s="231">
        <f>SUM('7.4 (L) (3)'!E69,'7.4 (P) (3)'!E69)</f>
        <v>13</v>
      </c>
      <c r="F69" s="223">
        <f>SUM('7.4 (L) (3)'!F69,'7.4 (P) (3)'!F69)</f>
        <v>96</v>
      </c>
      <c r="G69" s="223">
        <f>SUM('7.4 (L) (3)'!G69,'7.4 (P) (3)'!G69)</f>
        <v>70</v>
      </c>
      <c r="H69" s="223">
        <f>SUM('7.4 (L) (3)'!H69,'7.4 (P) (3)'!H69)</f>
        <v>31</v>
      </c>
      <c r="I69" s="223">
        <f>SUM('7.4 (L) (3)'!I69,'7.4 (P) (3)'!I69)</f>
        <v>12</v>
      </c>
      <c r="J69" s="223">
        <f>SUM('7.4 (L) (3)'!J69,'7.4 (P) (3)'!J69)</f>
        <v>10</v>
      </c>
      <c r="K69" s="223"/>
      <c r="L69" s="231">
        <f>SUM('7.4 (L) (3)'!L69,'7.4 (P) (3)'!L69)</f>
        <v>5</v>
      </c>
      <c r="M69" s="223">
        <f>SUM('7.4 (L) (3)'!M69,'7.4 (P) (3)'!M69)</f>
        <v>34</v>
      </c>
      <c r="N69" s="223">
        <f>SUM('7.4 (L) (3)'!N69,'7.4 (P) (3)'!N69)</f>
        <v>44</v>
      </c>
      <c r="O69" s="223">
        <f>SUM('7.4 (L) (3)'!O69,'7.4 (P) (3)'!O69)</f>
        <v>34</v>
      </c>
      <c r="P69" s="223">
        <f>SUM('7.4 (L) (3)'!P69,'7.4 (P) (3)'!P69)</f>
        <v>17</v>
      </c>
      <c r="Q69" s="223">
        <f>SUM('7.4 (L) (3)'!Q69,'7.4 (P) (3)'!Q69)</f>
        <v>10</v>
      </c>
      <c r="R69" s="222"/>
    </row>
    <row r="70" spans="1:18" ht="15" customHeight="1">
      <c r="B70" s="153"/>
      <c r="C70" s="152"/>
      <c r="D70" s="149">
        <v>2023</v>
      </c>
      <c r="E70" s="231">
        <f>SUM('7.4 (L) (3)'!E70,'7.4 (P) (3)'!E70)</f>
        <v>10</v>
      </c>
      <c r="F70" s="223">
        <f>SUM('7.4 (L) (3)'!F70,'7.4 (P) (3)'!F70)</f>
        <v>119</v>
      </c>
      <c r="G70" s="231">
        <f>SUM('7.4 (L) (3)'!G70,'7.4 (P) (3)'!G70)</f>
        <v>105</v>
      </c>
      <c r="H70" s="223">
        <f>SUM('7.4 (L) (3)'!H70,'7.4 (P) (3)'!H70)</f>
        <v>55</v>
      </c>
      <c r="I70" s="223">
        <f>SUM('7.4 (L) (3)'!I70,'7.4 (P) (3)'!I70)</f>
        <v>17</v>
      </c>
      <c r="J70" s="223">
        <f>SUM('7.4 (L) (3)'!J70,'7.4 (P) (3)'!J70)</f>
        <v>3</v>
      </c>
      <c r="K70" s="223"/>
      <c r="L70" s="231">
        <f>SUM('7.4 (L) (3)'!L70,'7.4 (P) (3)'!L70)</f>
        <v>13</v>
      </c>
      <c r="M70" s="223">
        <f>SUM('7.4 (L) (3)'!M70,'7.4 (P) (3)'!M70)</f>
        <v>49</v>
      </c>
      <c r="N70" s="231">
        <f>SUM('7.4 (L) (3)'!N70,'7.4 (P) (3)'!N70)</f>
        <v>60</v>
      </c>
      <c r="O70" s="223">
        <f>SUM('7.4 (L) (3)'!O70,'7.4 (P) (3)'!O70)</f>
        <v>66</v>
      </c>
      <c r="P70" s="223">
        <f>SUM('7.4 (L) (3)'!P70,'7.4 (P) (3)'!P70)</f>
        <v>39</v>
      </c>
      <c r="Q70" s="223">
        <f>SUM('7.4 (L) (3)'!Q70,'7.4 (P) (3)'!Q70)</f>
        <v>26</v>
      </c>
      <c r="R70" s="222"/>
    </row>
    <row r="71" spans="1:18" ht="8.1" customHeight="1">
      <c r="B71" s="153"/>
      <c r="C71" s="151"/>
      <c r="D71" s="149"/>
      <c r="E71" s="150"/>
      <c r="F71" s="203"/>
      <c r="G71" s="203"/>
      <c r="H71" s="203"/>
      <c r="I71" s="203"/>
      <c r="J71" s="203"/>
      <c r="K71" s="203"/>
      <c r="L71" s="150"/>
      <c r="M71" s="203"/>
      <c r="N71" s="203"/>
      <c r="O71" s="203"/>
      <c r="P71" s="203"/>
      <c r="Q71" s="203"/>
      <c r="R71" s="203"/>
    </row>
    <row r="72" spans="1:18" ht="15" customHeight="1">
      <c r="B72" s="151" t="s">
        <v>109</v>
      </c>
      <c r="C72" s="152"/>
      <c r="D72" s="149">
        <v>2021</v>
      </c>
      <c r="E72" s="231">
        <f>SUM('7.4 (L) (3)'!E72,'7.4 (P) (3)'!E72)</f>
        <v>29</v>
      </c>
      <c r="F72" s="223">
        <f>SUM('7.4 (L) (3)'!F72,'7.4 (P) (3)'!F72)</f>
        <v>246</v>
      </c>
      <c r="G72" s="223">
        <f>SUM('7.4 (L) (3)'!G72,'7.4 (P) (3)'!G72)</f>
        <v>205</v>
      </c>
      <c r="H72" s="223">
        <f>SUM('7.4 (L) (3)'!H72,'7.4 (P) (3)'!H72)</f>
        <v>88</v>
      </c>
      <c r="I72" s="223">
        <f>SUM('7.4 (L) (3)'!I72,'7.4 (P) (3)'!I72)</f>
        <v>39</v>
      </c>
      <c r="J72" s="223">
        <f>SUM('7.4 (L) (3)'!J72,'7.4 (P) (3)'!J72)</f>
        <v>18</v>
      </c>
      <c r="K72" s="223"/>
      <c r="L72" s="231">
        <f>SUM('7.4 (L) (3)'!L72,'7.4 (P) (3)'!L72)</f>
        <v>16</v>
      </c>
      <c r="M72" s="223">
        <f>SUM('7.4 (L) (3)'!M72,'7.4 (P) (3)'!M72)</f>
        <v>155</v>
      </c>
      <c r="N72" s="223">
        <f>SUM('7.4 (L) (3)'!N72,'7.4 (P) (3)'!N72)</f>
        <v>132</v>
      </c>
      <c r="O72" s="223">
        <f>SUM('7.4 (L) (3)'!O72,'7.4 (P) (3)'!O72)</f>
        <v>96</v>
      </c>
      <c r="P72" s="223">
        <f>SUM('7.4 (L) (3)'!P72,'7.4 (P) (3)'!P72)</f>
        <v>59</v>
      </c>
      <c r="Q72" s="223">
        <f>SUM('7.4 (L) (3)'!Q72,'7.4 (P) (3)'!Q72)</f>
        <v>25</v>
      </c>
      <c r="R72" s="222"/>
    </row>
    <row r="73" spans="1:18" ht="15" customHeight="1">
      <c r="B73" s="153"/>
      <c r="C73" s="152"/>
      <c r="D73" s="149">
        <v>2022</v>
      </c>
      <c r="E73" s="231">
        <f>SUM('7.4 (L) (3)'!E73,'7.4 (P) (3)'!E73)</f>
        <v>11</v>
      </c>
      <c r="F73" s="223">
        <f>SUM('7.4 (L) (3)'!F73,'7.4 (P) (3)'!F73)</f>
        <v>168</v>
      </c>
      <c r="G73" s="223">
        <f>SUM('7.4 (L) (3)'!G73,'7.4 (P) (3)'!G73)</f>
        <v>150</v>
      </c>
      <c r="H73" s="223">
        <f>SUM('7.4 (L) (3)'!H73,'7.4 (P) (3)'!H73)</f>
        <v>76</v>
      </c>
      <c r="I73" s="223">
        <f>SUM('7.4 (L) (3)'!I73,'7.4 (P) (3)'!I73)</f>
        <v>22</v>
      </c>
      <c r="J73" s="223">
        <f>SUM('7.4 (L) (3)'!J73,'7.4 (P) (3)'!J73)</f>
        <v>14</v>
      </c>
      <c r="K73" s="223"/>
      <c r="L73" s="231">
        <f>SUM('7.4 (L) (3)'!L73,'7.4 (P) (3)'!L73)</f>
        <v>11</v>
      </c>
      <c r="M73" s="223">
        <f>SUM('7.4 (L) (3)'!M73,'7.4 (P) (3)'!M73)</f>
        <v>89</v>
      </c>
      <c r="N73" s="223">
        <f>SUM('7.4 (L) (3)'!N73,'7.4 (P) (3)'!N73)</f>
        <v>141</v>
      </c>
      <c r="O73" s="223">
        <f>SUM('7.4 (L) (3)'!O73,'7.4 (P) (3)'!O73)</f>
        <v>103</v>
      </c>
      <c r="P73" s="223">
        <f>SUM('7.4 (L) (3)'!P73,'7.4 (P) (3)'!P73)</f>
        <v>54</v>
      </c>
      <c r="Q73" s="223">
        <f>SUM('7.4 (L) (3)'!Q73,'7.4 (P) (3)'!Q73)</f>
        <v>29</v>
      </c>
      <c r="R73" s="222"/>
    </row>
    <row r="74" spans="1:18" ht="15" customHeight="1">
      <c r="A74" s="177"/>
      <c r="B74" s="225"/>
      <c r="C74" s="226"/>
      <c r="D74" s="227">
        <v>2023</v>
      </c>
      <c r="E74" s="231">
        <f>SUM('7.4 (L) (3)'!E74,'7.4 (P) (3)'!E74)</f>
        <v>11</v>
      </c>
      <c r="F74" s="223">
        <f>SUM('7.4 (L) (3)'!F74,'7.4 (P) (3)'!F74)</f>
        <v>136</v>
      </c>
      <c r="G74" s="231">
        <f>SUM('7.4 (L) (3)'!G74,'7.4 (P) (3)'!G74)</f>
        <v>187</v>
      </c>
      <c r="H74" s="223">
        <f>SUM('7.4 (L) (3)'!H74,'7.4 (P) (3)'!H74)</f>
        <v>73</v>
      </c>
      <c r="I74" s="223">
        <f>SUM('7.4 (L) (3)'!I74,'7.4 (P) (3)'!I74)</f>
        <v>33</v>
      </c>
      <c r="J74" s="223">
        <f>SUM('7.4 (L) (3)'!J74,'7.4 (P) (3)'!J74)</f>
        <v>24</v>
      </c>
      <c r="K74" s="223"/>
      <c r="L74" s="231">
        <f>SUM('7.4 (L) (3)'!L74,'7.4 (P) (3)'!L74)</f>
        <v>7</v>
      </c>
      <c r="M74" s="223">
        <f>SUM('7.4 (L) (3)'!M74,'7.4 (P) (3)'!M74)</f>
        <v>121</v>
      </c>
      <c r="N74" s="231">
        <f>SUM('7.4 (L) (3)'!N74,'7.4 (P) (3)'!N74)</f>
        <v>184</v>
      </c>
      <c r="O74" s="223">
        <f>SUM('7.4 (L) (3)'!O74,'7.4 (P) (3)'!O74)</f>
        <v>151</v>
      </c>
      <c r="P74" s="223">
        <f>SUM('7.4 (L) (3)'!P74,'7.4 (P) (3)'!P74)</f>
        <v>96</v>
      </c>
      <c r="Q74" s="223">
        <f>SUM('7.4 (L) (3)'!Q74,'7.4 (P) (3)'!Q74)</f>
        <v>76</v>
      </c>
      <c r="R74" s="222"/>
    </row>
    <row r="75" spans="1:18" ht="8.1" customHeight="1" thickBot="1">
      <c r="A75" s="156"/>
      <c r="B75" s="156"/>
      <c r="C75" s="156"/>
      <c r="D75" s="157"/>
      <c r="E75" s="158"/>
      <c r="F75" s="158"/>
      <c r="G75" s="158"/>
      <c r="H75" s="158"/>
      <c r="I75" s="158"/>
      <c r="J75" s="158"/>
      <c r="K75" s="158"/>
      <c r="L75" s="158"/>
      <c r="M75" s="228"/>
      <c r="N75" s="228"/>
      <c r="O75" s="229"/>
      <c r="P75" s="229"/>
      <c r="Q75" s="229"/>
      <c r="R75" s="158"/>
    </row>
    <row r="76" spans="1:18" s="87" customFormat="1" ht="15.95" customHeight="1">
      <c r="B76" s="88"/>
      <c r="C76" s="89"/>
      <c r="D76" s="90"/>
      <c r="E76" s="91"/>
      <c r="F76" s="91"/>
      <c r="R76" s="92" t="s">
        <v>19</v>
      </c>
    </row>
    <row r="77" spans="1:18" s="87" customFormat="1" ht="15.95" customHeight="1">
      <c r="B77" s="88"/>
      <c r="C77" s="89"/>
      <c r="D77" s="90"/>
      <c r="E77" s="91"/>
      <c r="F77" s="91"/>
      <c r="R77" s="93" t="s">
        <v>20</v>
      </c>
    </row>
    <row r="78" spans="1:18" ht="15" customHeight="1">
      <c r="B78" s="212"/>
      <c r="C78" s="213"/>
      <c r="D78" s="214"/>
      <c r="E78" s="219"/>
      <c r="F78" s="220"/>
      <c r="G78" s="220"/>
      <c r="H78" s="220"/>
      <c r="I78" s="220"/>
      <c r="J78" s="220"/>
      <c r="K78" s="220"/>
      <c r="L78" s="220"/>
      <c r="M78" s="221"/>
      <c r="N78" s="221"/>
      <c r="O78" s="196"/>
      <c r="P78" s="196"/>
      <c r="Q78" s="196"/>
      <c r="R78" s="220"/>
    </row>
    <row r="79" spans="1:18" ht="15" customHeight="1">
      <c r="D79" s="217"/>
      <c r="E79" s="216"/>
      <c r="F79" s="216"/>
      <c r="G79" s="216"/>
      <c r="H79" s="216"/>
      <c r="L79" s="215"/>
      <c r="M79" s="218"/>
      <c r="N79" s="218"/>
    </row>
    <row r="80" spans="1:18" ht="15" customHeight="1">
      <c r="B80" s="138"/>
      <c r="C80" s="138"/>
      <c r="D80" s="139"/>
      <c r="E80" s="140"/>
      <c r="F80" s="140"/>
      <c r="G80" s="140"/>
      <c r="H80" s="140"/>
      <c r="I80" s="140"/>
      <c r="J80" s="140"/>
      <c r="K80" s="140"/>
      <c r="L80" s="140"/>
      <c r="R80" s="140"/>
    </row>
    <row r="81" spans="2:18" ht="15" customHeight="1">
      <c r="B81" s="138"/>
      <c r="C81" s="138"/>
      <c r="D81" s="139"/>
      <c r="E81" s="140"/>
      <c r="F81" s="140"/>
      <c r="G81" s="140"/>
      <c r="H81" s="140"/>
      <c r="I81" s="140"/>
      <c r="J81" s="140"/>
      <c r="K81" s="140"/>
      <c r="L81" s="140"/>
      <c r="R81" s="140"/>
    </row>
    <row r="82" spans="2:18" ht="15" customHeight="1">
      <c r="B82" s="138"/>
      <c r="C82" s="138"/>
      <c r="D82" s="139"/>
      <c r="E82" s="140"/>
      <c r="F82" s="140"/>
      <c r="G82" s="140"/>
      <c r="H82" s="140"/>
      <c r="I82" s="140"/>
      <c r="J82" s="140"/>
      <c r="K82" s="140"/>
      <c r="L82" s="140"/>
      <c r="R82" s="140"/>
    </row>
    <row r="83" spans="2:18" ht="15" customHeight="1">
      <c r="B83" s="138"/>
      <c r="C83" s="138"/>
      <c r="D83" s="139"/>
      <c r="E83" s="140"/>
      <c r="F83" s="140"/>
      <c r="G83" s="140"/>
      <c r="H83" s="140"/>
      <c r="I83" s="140"/>
      <c r="J83" s="140"/>
      <c r="K83" s="140"/>
      <c r="L83" s="140"/>
      <c r="R83" s="140"/>
    </row>
    <row r="84" spans="2:18" ht="15" customHeight="1">
      <c r="B84" s="138"/>
      <c r="C84" s="138"/>
      <c r="D84" s="139"/>
      <c r="E84" s="140"/>
      <c r="F84" s="140"/>
      <c r="G84" s="140"/>
      <c r="H84" s="140"/>
      <c r="I84" s="140"/>
      <c r="J84" s="140"/>
      <c r="K84" s="140"/>
      <c r="L84" s="140"/>
      <c r="R84" s="140"/>
    </row>
    <row r="85" spans="2:18" ht="15" customHeight="1">
      <c r="B85" s="138"/>
      <c r="C85" s="138"/>
      <c r="D85" s="139"/>
      <c r="E85" s="140"/>
      <c r="F85" s="140"/>
      <c r="G85" s="140"/>
      <c r="H85" s="140"/>
      <c r="I85" s="140"/>
      <c r="J85" s="140"/>
      <c r="K85" s="140"/>
      <c r="L85" s="140"/>
      <c r="R85" s="140"/>
    </row>
    <row r="86" spans="2:18" ht="15" customHeight="1">
      <c r="B86" s="138"/>
      <c r="C86" s="138"/>
      <c r="D86" s="139"/>
      <c r="E86" s="140"/>
      <c r="F86" s="140"/>
      <c r="G86" s="140"/>
      <c r="H86" s="140"/>
      <c r="I86" s="140"/>
      <c r="J86" s="140"/>
      <c r="K86" s="140"/>
      <c r="L86" s="140"/>
      <c r="R86" s="140"/>
    </row>
    <row r="87" spans="2:18" ht="15" customHeight="1">
      <c r="B87" s="138"/>
      <c r="C87" s="138"/>
      <c r="D87" s="139"/>
      <c r="E87" s="140"/>
      <c r="F87" s="140"/>
      <c r="G87" s="140"/>
      <c r="H87" s="140"/>
      <c r="I87" s="140"/>
      <c r="J87" s="140"/>
      <c r="K87" s="140"/>
      <c r="L87" s="140"/>
      <c r="R87" s="140"/>
    </row>
    <row r="88" spans="2:18" ht="15" customHeight="1">
      <c r="B88" s="138"/>
      <c r="C88" s="138"/>
      <c r="D88" s="139"/>
      <c r="E88" s="140"/>
      <c r="F88" s="140"/>
      <c r="G88" s="140"/>
      <c r="H88" s="140"/>
      <c r="I88" s="140"/>
      <c r="J88" s="140"/>
      <c r="K88" s="140"/>
      <c r="L88" s="140"/>
      <c r="R88" s="140"/>
    </row>
    <row r="89" spans="2:18" ht="15" customHeight="1">
      <c r="B89" s="138"/>
      <c r="C89" s="138"/>
      <c r="D89" s="139"/>
      <c r="E89" s="140"/>
      <c r="F89" s="140"/>
      <c r="G89" s="140"/>
      <c r="H89" s="140"/>
      <c r="I89" s="140"/>
      <c r="J89" s="140"/>
      <c r="K89" s="140"/>
      <c r="L89" s="140"/>
      <c r="R89" s="140"/>
    </row>
    <row r="90" spans="2:18" ht="15" customHeight="1">
      <c r="B90" s="138"/>
      <c r="C90" s="138"/>
      <c r="D90" s="139"/>
      <c r="E90" s="140"/>
      <c r="F90" s="140"/>
      <c r="G90" s="140"/>
      <c r="H90" s="140"/>
      <c r="I90" s="140"/>
      <c r="J90" s="140"/>
      <c r="K90" s="140"/>
      <c r="L90" s="140"/>
      <c r="R90" s="140"/>
    </row>
    <row r="91" spans="2:18" ht="15" customHeight="1">
      <c r="B91" s="138"/>
      <c r="C91" s="138"/>
      <c r="D91" s="139"/>
      <c r="E91" s="140"/>
      <c r="F91" s="140"/>
      <c r="G91" s="140"/>
      <c r="H91" s="140"/>
      <c r="I91" s="140"/>
      <c r="J91" s="140"/>
      <c r="K91" s="140"/>
      <c r="L91" s="140"/>
      <c r="R91" s="140"/>
    </row>
    <row r="92" spans="2:18" ht="15" customHeight="1">
      <c r="B92" s="138"/>
      <c r="C92" s="138"/>
      <c r="D92" s="139"/>
      <c r="E92" s="140"/>
      <c r="F92" s="140"/>
      <c r="G92" s="140"/>
      <c r="H92" s="140"/>
      <c r="I92" s="140"/>
      <c r="J92" s="140"/>
      <c r="K92" s="140"/>
      <c r="L92" s="140"/>
      <c r="R92" s="140"/>
    </row>
    <row r="93" spans="2:18" ht="15" customHeight="1">
      <c r="B93" s="138"/>
      <c r="C93" s="138"/>
      <c r="D93" s="139"/>
      <c r="E93" s="140"/>
      <c r="F93" s="140"/>
      <c r="G93" s="140"/>
      <c r="H93" s="140"/>
      <c r="I93" s="140"/>
      <c r="J93" s="140"/>
      <c r="K93" s="140"/>
      <c r="L93" s="140"/>
      <c r="R93" s="140"/>
    </row>
    <row r="94" spans="2:18" ht="15" customHeight="1">
      <c r="B94" s="138"/>
      <c r="C94" s="138"/>
      <c r="D94" s="139"/>
      <c r="E94" s="140"/>
      <c r="F94" s="140"/>
      <c r="G94" s="140"/>
      <c r="H94" s="140"/>
      <c r="I94" s="140"/>
      <c r="J94" s="140"/>
      <c r="K94" s="140"/>
      <c r="L94" s="140"/>
      <c r="R94" s="140"/>
    </row>
    <row r="95" spans="2:18" ht="15" customHeight="1">
      <c r="B95" s="138"/>
      <c r="C95" s="138"/>
      <c r="D95" s="139"/>
      <c r="E95" s="140"/>
      <c r="F95" s="140"/>
      <c r="G95" s="140"/>
      <c r="H95" s="140"/>
      <c r="I95" s="140"/>
      <c r="J95" s="140"/>
      <c r="K95" s="140"/>
      <c r="L95" s="140"/>
      <c r="R95" s="140"/>
    </row>
    <row r="96" spans="2:18" ht="15" customHeight="1">
      <c r="B96" s="138"/>
      <c r="C96" s="138"/>
      <c r="D96" s="139"/>
      <c r="E96" s="140"/>
      <c r="F96" s="140"/>
      <c r="G96" s="140"/>
      <c r="H96" s="140"/>
      <c r="I96" s="140"/>
      <c r="J96" s="140"/>
      <c r="K96" s="140"/>
      <c r="L96" s="140"/>
      <c r="R96" s="140"/>
    </row>
    <row r="97" spans="2:18" ht="15" customHeight="1">
      <c r="B97" s="138"/>
      <c r="C97" s="138"/>
      <c r="D97" s="139"/>
      <c r="E97" s="140"/>
      <c r="F97" s="140"/>
      <c r="G97" s="140"/>
      <c r="H97" s="140"/>
      <c r="I97" s="140"/>
      <c r="J97" s="140"/>
      <c r="K97" s="140"/>
      <c r="L97" s="140"/>
      <c r="R97" s="140"/>
    </row>
    <row r="98" spans="2:18" ht="15" customHeight="1">
      <c r="B98" s="138"/>
      <c r="C98" s="138"/>
      <c r="D98" s="139"/>
      <c r="E98" s="140"/>
      <c r="F98" s="140"/>
      <c r="G98" s="140"/>
      <c r="H98" s="140"/>
      <c r="I98" s="140"/>
      <c r="J98" s="140"/>
      <c r="K98" s="140"/>
      <c r="L98" s="140"/>
      <c r="R98" s="140"/>
    </row>
    <row r="99" spans="2:18" ht="15" customHeight="1">
      <c r="B99" s="138"/>
      <c r="C99" s="138"/>
      <c r="D99" s="139"/>
      <c r="E99" s="140"/>
      <c r="F99" s="140"/>
      <c r="G99" s="140"/>
      <c r="H99" s="140"/>
      <c r="I99" s="140"/>
      <c r="J99" s="140"/>
      <c r="K99" s="140"/>
      <c r="L99" s="140"/>
      <c r="R99" s="140"/>
    </row>
    <row r="100" spans="2:18" ht="15" customHeight="1">
      <c r="B100" s="138"/>
      <c r="C100" s="138"/>
      <c r="D100" s="139"/>
      <c r="E100" s="140"/>
      <c r="F100" s="140"/>
      <c r="G100" s="140"/>
      <c r="H100" s="140"/>
      <c r="I100" s="140"/>
      <c r="J100" s="140"/>
      <c r="K100" s="140"/>
      <c r="L100" s="140"/>
      <c r="R100" s="140"/>
    </row>
    <row r="101" spans="2:18" ht="15" customHeight="1">
      <c r="B101" s="138"/>
      <c r="C101" s="138"/>
      <c r="D101" s="139"/>
      <c r="E101" s="140"/>
      <c r="F101" s="140"/>
      <c r="G101" s="140"/>
      <c r="H101" s="140"/>
      <c r="I101" s="140"/>
      <c r="J101" s="140"/>
      <c r="K101" s="140"/>
      <c r="L101" s="140"/>
      <c r="R101" s="140"/>
    </row>
    <row r="102" spans="2:18" ht="15" customHeight="1">
      <c r="B102" s="138"/>
      <c r="C102" s="138"/>
      <c r="D102" s="139"/>
      <c r="E102" s="140"/>
      <c r="F102" s="140"/>
      <c r="G102" s="140"/>
      <c r="H102" s="140"/>
      <c r="I102" s="140"/>
      <c r="J102" s="140"/>
      <c r="K102" s="140"/>
      <c r="L102" s="140"/>
      <c r="R102" s="140"/>
    </row>
    <row r="103" spans="2:18" ht="15" customHeight="1">
      <c r="B103" s="138"/>
      <c r="C103" s="138"/>
      <c r="D103" s="139"/>
      <c r="E103" s="140"/>
      <c r="F103" s="140"/>
      <c r="G103" s="140"/>
      <c r="H103" s="140"/>
      <c r="I103" s="140"/>
      <c r="J103" s="140"/>
      <c r="K103" s="140"/>
      <c r="L103" s="140"/>
      <c r="R103" s="140"/>
    </row>
    <row r="104" spans="2:18" ht="15" customHeight="1">
      <c r="B104" s="138"/>
      <c r="C104" s="138"/>
      <c r="D104" s="139"/>
      <c r="E104" s="140"/>
      <c r="F104" s="140"/>
      <c r="G104" s="140"/>
      <c r="H104" s="140"/>
      <c r="I104" s="140"/>
      <c r="J104" s="140"/>
      <c r="K104" s="140"/>
      <c r="L104" s="140"/>
      <c r="R104" s="140"/>
    </row>
    <row r="105" spans="2:18" ht="15" customHeight="1">
      <c r="B105" s="138"/>
      <c r="C105" s="138"/>
      <c r="D105" s="139"/>
      <c r="E105" s="140"/>
      <c r="F105" s="140"/>
      <c r="G105" s="140"/>
      <c r="H105" s="140"/>
      <c r="I105" s="140"/>
      <c r="J105" s="140"/>
      <c r="K105" s="140"/>
      <c r="L105" s="140"/>
      <c r="R105" s="140"/>
    </row>
    <row r="106" spans="2:18" ht="15" customHeight="1">
      <c r="B106" s="138"/>
      <c r="C106" s="138"/>
      <c r="D106" s="139"/>
      <c r="E106" s="140"/>
      <c r="F106" s="140"/>
      <c r="G106" s="140"/>
      <c r="H106" s="140"/>
      <c r="I106" s="140"/>
      <c r="J106" s="140"/>
      <c r="K106" s="140"/>
      <c r="L106" s="140"/>
      <c r="R106" s="140"/>
    </row>
    <row r="107" spans="2:18" ht="15" customHeight="1">
      <c r="B107" s="138"/>
      <c r="C107" s="138"/>
      <c r="D107" s="139"/>
      <c r="E107" s="140"/>
      <c r="F107" s="140"/>
      <c r="G107" s="140"/>
      <c r="H107" s="140"/>
      <c r="I107" s="140"/>
      <c r="J107" s="140"/>
      <c r="K107" s="140"/>
      <c r="L107" s="140"/>
      <c r="R107" s="140"/>
    </row>
    <row r="108" spans="2:18" ht="15" customHeight="1">
      <c r="B108" s="138"/>
      <c r="C108" s="138"/>
      <c r="D108" s="139"/>
      <c r="E108" s="140"/>
      <c r="F108" s="140"/>
      <c r="G108" s="140"/>
      <c r="H108" s="140"/>
      <c r="I108" s="140"/>
      <c r="J108" s="140"/>
      <c r="K108" s="140"/>
      <c r="L108" s="140"/>
      <c r="R108" s="140"/>
    </row>
    <row r="109" spans="2:18" ht="15" customHeight="1">
      <c r="B109" s="138"/>
      <c r="C109" s="138"/>
      <c r="D109" s="139"/>
      <c r="E109" s="140"/>
      <c r="F109" s="140"/>
      <c r="G109" s="140"/>
      <c r="H109" s="140"/>
      <c r="I109" s="140"/>
      <c r="J109" s="140"/>
      <c r="K109" s="140"/>
      <c r="L109" s="140"/>
      <c r="R109" s="140"/>
    </row>
    <row r="110" spans="2:18" ht="15" customHeight="1">
      <c r="B110" s="138"/>
      <c r="C110" s="138"/>
      <c r="D110" s="139"/>
      <c r="E110" s="140"/>
      <c r="F110" s="140"/>
      <c r="G110" s="140"/>
      <c r="H110" s="140"/>
      <c r="I110" s="140"/>
      <c r="J110" s="140"/>
      <c r="K110" s="140"/>
      <c r="L110" s="140"/>
      <c r="R110" s="140"/>
    </row>
    <row r="111" spans="2:18" ht="15" customHeight="1">
      <c r="B111" s="138"/>
      <c r="C111" s="138"/>
      <c r="D111" s="139"/>
      <c r="E111" s="140"/>
      <c r="F111" s="140"/>
      <c r="G111" s="140"/>
      <c r="H111" s="140"/>
      <c r="I111" s="140"/>
      <c r="J111" s="140"/>
      <c r="K111" s="140"/>
      <c r="L111" s="140"/>
      <c r="R111" s="140"/>
    </row>
    <row r="112" spans="2:18" ht="15" customHeight="1">
      <c r="B112" s="138"/>
      <c r="C112" s="138"/>
      <c r="D112" s="139"/>
      <c r="E112" s="140"/>
      <c r="F112" s="140"/>
      <c r="G112" s="140"/>
      <c r="H112" s="140"/>
      <c r="I112" s="140"/>
      <c r="J112" s="140"/>
      <c r="K112" s="140"/>
      <c r="L112" s="140"/>
      <c r="R112" s="140"/>
    </row>
    <row r="113" spans="2:18" ht="15" customHeight="1">
      <c r="B113" s="138"/>
      <c r="C113" s="138"/>
      <c r="D113" s="139"/>
      <c r="E113" s="140"/>
      <c r="F113" s="140"/>
      <c r="G113" s="140"/>
      <c r="H113" s="140"/>
      <c r="I113" s="140"/>
      <c r="J113" s="140"/>
      <c r="K113" s="140"/>
      <c r="L113" s="140"/>
      <c r="R113" s="140"/>
    </row>
    <row r="114" spans="2:18" ht="15" customHeight="1">
      <c r="B114" s="138"/>
      <c r="C114" s="138"/>
      <c r="D114" s="139"/>
      <c r="E114" s="140"/>
      <c r="F114" s="140"/>
      <c r="G114" s="140"/>
      <c r="H114" s="140"/>
      <c r="I114" s="140"/>
      <c r="J114" s="140"/>
      <c r="K114" s="140"/>
      <c r="L114" s="140"/>
      <c r="R114" s="140"/>
    </row>
    <row r="115" spans="2:18" ht="15" customHeight="1">
      <c r="B115" s="138"/>
      <c r="C115" s="138"/>
      <c r="D115" s="139"/>
      <c r="E115" s="140"/>
      <c r="F115" s="140"/>
      <c r="G115" s="140"/>
      <c r="H115" s="140"/>
      <c r="I115" s="140"/>
      <c r="J115" s="140"/>
      <c r="K115" s="140"/>
      <c r="L115" s="140"/>
      <c r="R115" s="140"/>
    </row>
    <row r="116" spans="2:18" ht="15" customHeight="1">
      <c r="B116" s="138"/>
      <c r="C116" s="138"/>
      <c r="D116" s="139"/>
      <c r="E116" s="140"/>
      <c r="F116" s="140"/>
      <c r="G116" s="140"/>
      <c r="H116" s="140"/>
      <c r="I116" s="140"/>
      <c r="J116" s="140"/>
      <c r="K116" s="140"/>
      <c r="L116" s="140"/>
      <c r="R116" s="140"/>
    </row>
    <row r="117" spans="2:18" ht="15" customHeight="1">
      <c r="B117" s="138"/>
      <c r="C117" s="138"/>
      <c r="D117" s="139"/>
      <c r="E117" s="140"/>
      <c r="F117" s="140"/>
      <c r="G117" s="140"/>
      <c r="H117" s="140"/>
      <c r="I117" s="140"/>
      <c r="J117" s="140"/>
      <c r="K117" s="140"/>
      <c r="L117" s="140"/>
      <c r="R117" s="140"/>
    </row>
    <row r="118" spans="2:18" ht="15" customHeight="1">
      <c r="B118" s="138"/>
      <c r="C118" s="138"/>
      <c r="D118" s="139"/>
      <c r="E118" s="140"/>
      <c r="F118" s="140"/>
      <c r="G118" s="140"/>
      <c r="H118" s="140"/>
      <c r="I118" s="140"/>
      <c r="J118" s="140"/>
      <c r="K118" s="140"/>
      <c r="L118" s="140"/>
      <c r="R118" s="140"/>
    </row>
    <row r="119" spans="2:18" ht="15" customHeight="1">
      <c r="B119" s="138"/>
      <c r="C119" s="138"/>
      <c r="D119" s="139"/>
      <c r="E119" s="140"/>
      <c r="F119" s="140"/>
      <c r="G119" s="140"/>
      <c r="H119" s="140"/>
      <c r="I119" s="140"/>
      <c r="J119" s="140"/>
      <c r="K119" s="140"/>
      <c r="L119" s="140"/>
      <c r="R119" s="140"/>
    </row>
    <row r="120" spans="2:18" ht="15" customHeight="1">
      <c r="B120" s="138"/>
      <c r="C120" s="138"/>
      <c r="D120" s="139"/>
      <c r="E120" s="140"/>
      <c r="F120" s="140"/>
      <c r="G120" s="140"/>
      <c r="H120" s="140"/>
      <c r="I120" s="140"/>
      <c r="J120" s="140"/>
      <c r="K120" s="140"/>
      <c r="L120" s="140"/>
      <c r="R120" s="140"/>
    </row>
    <row r="121" spans="2:18" ht="15" customHeight="1">
      <c r="B121" s="138"/>
      <c r="C121" s="138"/>
      <c r="D121" s="139"/>
      <c r="E121" s="140"/>
      <c r="F121" s="140"/>
      <c r="G121" s="140"/>
      <c r="H121" s="140"/>
      <c r="I121" s="140"/>
      <c r="J121" s="140"/>
      <c r="K121" s="140"/>
      <c r="L121" s="140"/>
      <c r="R121" s="140"/>
    </row>
    <row r="122" spans="2:18" ht="15" customHeight="1">
      <c r="B122" s="138"/>
      <c r="C122" s="138"/>
      <c r="D122" s="139"/>
      <c r="E122" s="140"/>
      <c r="F122" s="140"/>
      <c r="G122" s="140"/>
      <c r="H122" s="140"/>
      <c r="I122" s="140"/>
      <c r="J122" s="140"/>
      <c r="K122" s="140"/>
      <c r="L122" s="140"/>
      <c r="R122" s="140"/>
    </row>
    <row r="123" spans="2:18" ht="15" customHeight="1">
      <c r="B123" s="138"/>
      <c r="C123" s="138"/>
      <c r="D123" s="139"/>
      <c r="E123" s="140"/>
      <c r="F123" s="140"/>
      <c r="G123" s="140"/>
      <c r="H123" s="140"/>
      <c r="I123" s="140"/>
      <c r="J123" s="140"/>
      <c r="K123" s="140"/>
      <c r="L123" s="140"/>
      <c r="R123" s="140"/>
    </row>
    <row r="124" spans="2:18" ht="15" customHeight="1">
      <c r="B124" s="138"/>
      <c r="C124" s="138"/>
      <c r="D124" s="139"/>
      <c r="E124" s="140"/>
      <c r="F124" s="140"/>
      <c r="G124" s="140"/>
      <c r="H124" s="140"/>
      <c r="I124" s="140"/>
      <c r="J124" s="140"/>
      <c r="K124" s="140"/>
      <c r="L124" s="140"/>
      <c r="R124" s="140"/>
    </row>
    <row r="125" spans="2:18" ht="15" customHeight="1">
      <c r="B125" s="138"/>
      <c r="C125" s="138"/>
      <c r="D125" s="139"/>
      <c r="E125" s="140"/>
      <c r="F125" s="140"/>
      <c r="G125" s="140"/>
      <c r="H125" s="140"/>
      <c r="I125" s="140"/>
      <c r="J125" s="140"/>
      <c r="K125" s="140"/>
      <c r="L125" s="140"/>
      <c r="R125" s="140"/>
    </row>
    <row r="126" spans="2:18" ht="15" customHeight="1">
      <c r="B126" s="138"/>
      <c r="C126" s="138"/>
      <c r="D126" s="139"/>
      <c r="E126" s="140"/>
      <c r="F126" s="140"/>
      <c r="G126" s="140"/>
      <c r="H126" s="140"/>
      <c r="I126" s="140"/>
      <c r="J126" s="140"/>
      <c r="K126" s="140"/>
      <c r="L126" s="140"/>
      <c r="R126" s="140"/>
    </row>
    <row r="127" spans="2:18" ht="15" customHeight="1">
      <c r="B127" s="138"/>
      <c r="C127" s="138"/>
      <c r="D127" s="139"/>
      <c r="E127" s="140"/>
      <c r="F127" s="140"/>
      <c r="G127" s="140"/>
      <c r="H127" s="140"/>
      <c r="I127" s="140"/>
      <c r="J127" s="140"/>
      <c r="K127" s="140"/>
      <c r="L127" s="140"/>
      <c r="R127" s="140"/>
    </row>
    <row r="128" spans="2:18" ht="15" customHeight="1">
      <c r="B128" s="138"/>
      <c r="C128" s="138"/>
      <c r="D128" s="139"/>
      <c r="E128" s="140"/>
      <c r="F128" s="140"/>
      <c r="G128" s="140"/>
      <c r="H128" s="140"/>
      <c r="I128" s="140"/>
      <c r="J128" s="140"/>
      <c r="K128" s="140"/>
      <c r="L128" s="140"/>
      <c r="R128" s="140"/>
    </row>
    <row r="129" spans="2:18" ht="15" customHeight="1">
      <c r="B129" s="138"/>
      <c r="C129" s="138"/>
      <c r="D129" s="139"/>
      <c r="E129" s="140"/>
      <c r="F129" s="140"/>
      <c r="G129" s="140"/>
      <c r="H129" s="140"/>
      <c r="I129" s="140"/>
      <c r="J129" s="140"/>
      <c r="K129" s="140"/>
      <c r="L129" s="140"/>
      <c r="R129" s="140"/>
    </row>
    <row r="130" spans="2:18" ht="15" customHeight="1">
      <c r="B130" s="138"/>
      <c r="C130" s="138"/>
      <c r="D130" s="139"/>
      <c r="E130" s="140"/>
      <c r="F130" s="140"/>
      <c r="G130" s="140"/>
      <c r="H130" s="140"/>
      <c r="I130" s="140"/>
      <c r="J130" s="140"/>
      <c r="K130" s="140"/>
      <c r="L130" s="140"/>
      <c r="R130" s="140"/>
    </row>
    <row r="131" spans="2:18" ht="15" customHeight="1">
      <c r="B131" s="138"/>
      <c r="C131" s="138"/>
      <c r="D131" s="139"/>
      <c r="E131" s="140"/>
      <c r="F131" s="140"/>
      <c r="G131" s="140"/>
      <c r="H131" s="140"/>
      <c r="I131" s="140"/>
      <c r="J131" s="140"/>
      <c r="K131" s="140"/>
      <c r="L131" s="140"/>
      <c r="R131" s="140"/>
    </row>
    <row r="132" spans="2:18" ht="15" customHeight="1">
      <c r="B132" s="138"/>
      <c r="C132" s="138"/>
      <c r="D132" s="139"/>
      <c r="E132" s="140"/>
      <c r="F132" s="140"/>
      <c r="G132" s="140"/>
      <c r="H132" s="140"/>
      <c r="I132" s="140"/>
      <c r="J132" s="140"/>
      <c r="K132" s="140"/>
      <c r="L132" s="140"/>
      <c r="R132" s="140"/>
    </row>
    <row r="133" spans="2:18" ht="15" customHeight="1">
      <c r="B133" s="138"/>
      <c r="C133" s="138"/>
      <c r="D133" s="139"/>
      <c r="E133" s="140"/>
      <c r="F133" s="140"/>
      <c r="G133" s="140"/>
      <c r="H133" s="140"/>
      <c r="I133" s="140"/>
      <c r="J133" s="140"/>
      <c r="K133" s="140"/>
      <c r="L133" s="140"/>
      <c r="R133" s="140"/>
    </row>
    <row r="134" spans="2:18" ht="15" customHeight="1">
      <c r="B134" s="138"/>
      <c r="C134" s="138"/>
      <c r="D134" s="139"/>
      <c r="E134" s="140"/>
      <c r="F134" s="140"/>
      <c r="G134" s="140"/>
      <c r="H134" s="140"/>
      <c r="I134" s="140"/>
      <c r="J134" s="140"/>
      <c r="K134" s="140"/>
      <c r="L134" s="140"/>
      <c r="R134" s="140"/>
    </row>
    <row r="135" spans="2:18" ht="15" customHeight="1">
      <c r="B135" s="138"/>
      <c r="C135" s="138"/>
      <c r="D135" s="139"/>
      <c r="E135" s="140"/>
      <c r="F135" s="140"/>
      <c r="G135" s="140"/>
      <c r="H135" s="140"/>
      <c r="I135" s="140"/>
      <c r="J135" s="140"/>
      <c r="K135" s="140"/>
      <c r="L135" s="140"/>
      <c r="R135" s="140"/>
    </row>
    <row r="136" spans="2:18" ht="15" customHeight="1">
      <c r="B136" s="138"/>
      <c r="C136" s="138"/>
      <c r="D136" s="139"/>
      <c r="E136" s="140"/>
      <c r="F136" s="140"/>
      <c r="G136" s="140"/>
      <c r="H136" s="140"/>
      <c r="I136" s="140"/>
      <c r="J136" s="140"/>
      <c r="K136" s="140"/>
      <c r="L136" s="140"/>
      <c r="R136" s="140"/>
    </row>
    <row r="137" spans="2:18" ht="15" customHeight="1">
      <c r="B137" s="138"/>
      <c r="C137" s="138"/>
      <c r="D137" s="139"/>
      <c r="E137" s="140"/>
      <c r="F137" s="140"/>
      <c r="G137" s="140"/>
      <c r="H137" s="140"/>
      <c r="I137" s="140"/>
      <c r="J137" s="140"/>
      <c r="K137" s="140"/>
      <c r="L137" s="140"/>
      <c r="R137" s="140"/>
    </row>
    <row r="138" spans="2:18" ht="15" customHeight="1">
      <c r="B138" s="138"/>
      <c r="C138" s="138"/>
      <c r="D138" s="139"/>
      <c r="E138" s="140"/>
      <c r="F138" s="140"/>
      <c r="G138" s="140"/>
      <c r="H138" s="140"/>
      <c r="I138" s="140"/>
      <c r="J138" s="140"/>
      <c r="K138" s="140"/>
      <c r="L138" s="140"/>
      <c r="R138" s="140"/>
    </row>
    <row r="139" spans="2:18" ht="15" customHeight="1">
      <c r="B139" s="138"/>
      <c r="C139" s="138"/>
      <c r="D139" s="139"/>
      <c r="E139" s="140"/>
      <c r="F139" s="140"/>
      <c r="G139" s="140"/>
      <c r="H139" s="140"/>
      <c r="I139" s="140"/>
      <c r="J139" s="140"/>
      <c r="K139" s="140"/>
      <c r="L139" s="140"/>
      <c r="R139" s="140"/>
    </row>
    <row r="140" spans="2:18" ht="15" customHeight="1">
      <c r="B140" s="138"/>
      <c r="C140" s="138"/>
      <c r="D140" s="139"/>
      <c r="E140" s="140"/>
      <c r="F140" s="140"/>
      <c r="G140" s="140"/>
      <c r="H140" s="140"/>
      <c r="I140" s="140"/>
      <c r="J140" s="140"/>
      <c r="K140" s="140"/>
      <c r="L140" s="140"/>
      <c r="R140" s="140"/>
    </row>
    <row r="141" spans="2:18" ht="15" customHeight="1">
      <c r="B141" s="138"/>
      <c r="C141" s="138"/>
      <c r="D141" s="139"/>
      <c r="E141" s="140"/>
      <c r="F141" s="140"/>
      <c r="G141" s="140"/>
      <c r="H141" s="140"/>
      <c r="I141" s="140"/>
      <c r="J141" s="140"/>
      <c r="K141" s="140"/>
      <c r="L141" s="140"/>
      <c r="R141" s="140"/>
    </row>
    <row r="142" spans="2:18" ht="15" customHeight="1">
      <c r="B142" s="138"/>
      <c r="C142" s="138"/>
      <c r="D142" s="139"/>
      <c r="E142" s="140"/>
      <c r="F142" s="140"/>
      <c r="G142" s="140"/>
      <c r="H142" s="140"/>
      <c r="I142" s="140"/>
      <c r="J142" s="140"/>
      <c r="K142" s="140"/>
      <c r="L142" s="140"/>
      <c r="R142" s="140"/>
    </row>
    <row r="143" spans="2:18" ht="15" customHeight="1">
      <c r="B143" s="138"/>
      <c r="C143" s="138"/>
      <c r="D143" s="139"/>
      <c r="E143" s="140"/>
      <c r="F143" s="140"/>
      <c r="G143" s="140"/>
      <c r="H143" s="140"/>
      <c r="I143" s="140"/>
      <c r="J143" s="140"/>
      <c r="K143" s="140"/>
      <c r="L143" s="140"/>
      <c r="R143" s="140"/>
    </row>
    <row r="144" spans="2:18" ht="15" customHeight="1">
      <c r="B144" s="138"/>
      <c r="C144" s="138"/>
      <c r="D144" s="139"/>
      <c r="E144" s="140"/>
      <c r="F144" s="140"/>
      <c r="G144" s="140"/>
      <c r="H144" s="140"/>
      <c r="I144" s="140"/>
      <c r="J144" s="140"/>
      <c r="K144" s="140"/>
      <c r="L144" s="140"/>
      <c r="R144" s="140"/>
    </row>
    <row r="145" spans="2:18" ht="15" customHeight="1">
      <c r="B145" s="138"/>
      <c r="C145" s="138"/>
      <c r="D145" s="139"/>
      <c r="E145" s="140"/>
      <c r="F145" s="140"/>
      <c r="G145" s="140"/>
      <c r="H145" s="140"/>
      <c r="I145" s="140"/>
      <c r="J145" s="140"/>
      <c r="K145" s="140"/>
      <c r="L145" s="140"/>
      <c r="R145" s="140"/>
    </row>
    <row r="146" spans="2:18" ht="15" customHeight="1">
      <c r="B146" s="138"/>
      <c r="C146" s="138"/>
      <c r="D146" s="139"/>
      <c r="E146" s="140"/>
      <c r="F146" s="140"/>
      <c r="G146" s="140"/>
      <c r="H146" s="140"/>
      <c r="I146" s="140"/>
      <c r="J146" s="140"/>
      <c r="K146" s="140"/>
      <c r="L146" s="140"/>
      <c r="R146" s="140"/>
    </row>
    <row r="147" spans="2:18" ht="15" customHeight="1">
      <c r="B147" s="138"/>
      <c r="C147" s="138"/>
      <c r="D147" s="139"/>
      <c r="E147" s="140"/>
      <c r="F147" s="140"/>
      <c r="G147" s="140"/>
      <c r="H147" s="140"/>
      <c r="I147" s="140"/>
      <c r="J147" s="140"/>
      <c r="K147" s="140"/>
      <c r="L147" s="140"/>
      <c r="R147" s="140"/>
    </row>
    <row r="148" spans="2:18" ht="15" customHeight="1">
      <c r="B148" s="138"/>
      <c r="C148" s="138"/>
      <c r="D148" s="139"/>
      <c r="E148" s="140"/>
      <c r="F148" s="140"/>
      <c r="G148" s="140"/>
      <c r="H148" s="140"/>
      <c r="I148" s="140"/>
      <c r="J148" s="140"/>
      <c r="K148" s="140"/>
      <c r="L148" s="140"/>
      <c r="R148" s="140"/>
    </row>
    <row r="149" spans="2:18" ht="15" customHeight="1">
      <c r="B149" s="138"/>
      <c r="C149" s="138"/>
      <c r="D149" s="139"/>
      <c r="E149" s="140"/>
      <c r="F149" s="140"/>
      <c r="G149" s="140"/>
      <c r="H149" s="140"/>
      <c r="I149" s="140"/>
      <c r="J149" s="140"/>
      <c r="K149" s="140"/>
      <c r="L149" s="140"/>
      <c r="R149" s="140"/>
    </row>
    <row r="150" spans="2:18" ht="15" customHeight="1">
      <c r="B150" s="138"/>
      <c r="C150" s="138"/>
      <c r="D150" s="139"/>
      <c r="E150" s="140"/>
      <c r="F150" s="140"/>
      <c r="G150" s="140"/>
      <c r="H150" s="140"/>
      <c r="I150" s="140"/>
      <c r="J150" s="140"/>
      <c r="K150" s="140"/>
      <c r="L150" s="140"/>
      <c r="R150" s="140"/>
    </row>
    <row r="151" spans="2:18" ht="15" customHeight="1">
      <c r="B151" s="138"/>
      <c r="C151" s="138"/>
      <c r="D151" s="139"/>
      <c r="E151" s="140"/>
      <c r="F151" s="140"/>
      <c r="G151" s="140"/>
      <c r="H151" s="140"/>
      <c r="I151" s="140"/>
      <c r="J151" s="140"/>
      <c r="K151" s="140"/>
      <c r="L151" s="140"/>
      <c r="R151" s="140"/>
    </row>
    <row r="152" spans="2:18" ht="15" customHeight="1">
      <c r="B152" s="138"/>
      <c r="C152" s="138"/>
      <c r="D152" s="139"/>
      <c r="E152" s="140"/>
      <c r="F152" s="140"/>
      <c r="G152" s="140"/>
      <c r="H152" s="140"/>
      <c r="I152" s="140"/>
      <c r="J152" s="140"/>
      <c r="K152" s="140"/>
      <c r="L152" s="140"/>
      <c r="R152" s="140"/>
    </row>
    <row r="153" spans="2:18" ht="15" customHeight="1">
      <c r="B153" s="138"/>
      <c r="C153" s="138"/>
      <c r="D153" s="139"/>
      <c r="E153" s="140"/>
      <c r="F153" s="140"/>
      <c r="G153" s="140"/>
      <c r="H153" s="140"/>
      <c r="I153" s="140"/>
      <c r="J153" s="140"/>
      <c r="K153" s="140"/>
      <c r="L153" s="140"/>
      <c r="R153" s="140"/>
    </row>
    <row r="154" spans="2:18" ht="15" customHeight="1">
      <c r="B154" s="138"/>
      <c r="C154" s="138"/>
      <c r="D154" s="139"/>
      <c r="E154" s="140"/>
      <c r="F154" s="140"/>
      <c r="G154" s="140"/>
      <c r="H154" s="140"/>
      <c r="I154" s="140"/>
      <c r="J154" s="140"/>
      <c r="K154" s="140"/>
      <c r="L154" s="140"/>
      <c r="R154" s="140"/>
    </row>
    <row r="155" spans="2:18" ht="15" customHeight="1">
      <c r="B155" s="138"/>
      <c r="C155" s="138"/>
      <c r="D155" s="139"/>
      <c r="E155" s="140"/>
      <c r="F155" s="140"/>
      <c r="G155" s="140"/>
      <c r="H155" s="140"/>
      <c r="I155" s="140"/>
      <c r="J155" s="140"/>
      <c r="K155" s="140"/>
      <c r="L155" s="140"/>
      <c r="R155" s="140"/>
    </row>
    <row r="156" spans="2:18" ht="15" customHeight="1">
      <c r="B156" s="138"/>
      <c r="C156" s="138"/>
      <c r="D156" s="139"/>
      <c r="E156" s="140"/>
      <c r="F156" s="140"/>
      <c r="G156" s="140"/>
      <c r="H156" s="140"/>
      <c r="I156" s="140"/>
      <c r="J156" s="140"/>
      <c r="K156" s="140"/>
      <c r="L156" s="140"/>
      <c r="R156" s="140"/>
    </row>
    <row r="157" spans="2:18" ht="15" customHeight="1">
      <c r="B157" s="138"/>
      <c r="C157" s="138"/>
      <c r="D157" s="139"/>
      <c r="E157" s="140"/>
      <c r="F157" s="140"/>
      <c r="G157" s="140"/>
      <c r="H157" s="140"/>
      <c r="I157" s="140"/>
      <c r="J157" s="140"/>
      <c r="K157" s="140"/>
      <c r="L157" s="140"/>
      <c r="R157" s="140"/>
    </row>
    <row r="158" spans="2:18" ht="15" customHeight="1">
      <c r="B158" s="138"/>
      <c r="C158" s="138"/>
      <c r="D158" s="139"/>
      <c r="E158" s="140"/>
      <c r="F158" s="140"/>
      <c r="G158" s="140"/>
      <c r="H158" s="140"/>
      <c r="I158" s="140"/>
      <c r="J158" s="140"/>
      <c r="K158" s="140"/>
      <c r="L158" s="140"/>
      <c r="R158" s="140"/>
    </row>
    <row r="159" spans="2:18" ht="15" customHeight="1">
      <c r="B159" s="138"/>
      <c r="C159" s="138"/>
      <c r="D159" s="139"/>
      <c r="E159" s="140"/>
      <c r="F159" s="140"/>
      <c r="G159" s="140"/>
      <c r="H159" s="140"/>
      <c r="I159" s="140"/>
      <c r="J159" s="140"/>
      <c r="K159" s="140"/>
      <c r="L159" s="140"/>
      <c r="R159" s="140"/>
    </row>
    <row r="160" spans="2:18" ht="15" customHeight="1">
      <c r="B160" s="138"/>
      <c r="C160" s="138"/>
      <c r="D160" s="139"/>
      <c r="E160" s="140"/>
      <c r="F160" s="140"/>
      <c r="G160" s="140"/>
      <c r="H160" s="140"/>
      <c r="I160" s="140"/>
      <c r="J160" s="140"/>
      <c r="K160" s="140"/>
      <c r="L160" s="140"/>
      <c r="R160" s="140"/>
    </row>
    <row r="161" spans="2:18" ht="15" customHeight="1">
      <c r="B161" s="138"/>
      <c r="C161" s="138"/>
      <c r="D161" s="139"/>
      <c r="E161" s="140"/>
      <c r="F161" s="140"/>
      <c r="G161" s="140"/>
      <c r="H161" s="140"/>
      <c r="I161" s="140"/>
      <c r="J161" s="140"/>
      <c r="K161" s="140"/>
      <c r="L161" s="140"/>
      <c r="R161" s="140"/>
    </row>
    <row r="162" spans="2:18" ht="15" customHeight="1">
      <c r="B162" s="138"/>
      <c r="C162" s="138"/>
      <c r="D162" s="139"/>
      <c r="E162" s="140"/>
      <c r="F162" s="140"/>
      <c r="G162" s="140"/>
      <c r="H162" s="140"/>
      <c r="I162" s="140"/>
      <c r="J162" s="140"/>
      <c r="K162" s="140"/>
      <c r="L162" s="140"/>
      <c r="R162" s="140"/>
    </row>
    <row r="163" spans="2:18" ht="15" customHeight="1">
      <c r="B163" s="138"/>
      <c r="C163" s="138"/>
      <c r="D163" s="139"/>
      <c r="E163" s="140"/>
      <c r="F163" s="140"/>
      <c r="G163" s="140"/>
      <c r="H163" s="140"/>
      <c r="I163" s="140"/>
      <c r="J163" s="140"/>
      <c r="K163" s="140"/>
      <c r="L163" s="140"/>
      <c r="R163" s="140"/>
    </row>
    <row r="164" spans="2:18" ht="15" customHeight="1">
      <c r="B164" s="138"/>
      <c r="C164" s="138"/>
      <c r="D164" s="139"/>
      <c r="E164" s="140"/>
      <c r="F164" s="140"/>
      <c r="G164" s="140"/>
      <c r="H164" s="140"/>
      <c r="I164" s="140"/>
      <c r="J164" s="140"/>
      <c r="K164" s="140"/>
      <c r="L164" s="140"/>
      <c r="R164" s="140"/>
    </row>
    <row r="165" spans="2:18" ht="15" customHeight="1">
      <c r="B165" s="138"/>
      <c r="C165" s="138"/>
      <c r="D165" s="139"/>
      <c r="E165" s="140"/>
      <c r="F165" s="140"/>
      <c r="G165" s="140"/>
      <c r="H165" s="140"/>
      <c r="I165" s="140"/>
      <c r="J165" s="140"/>
      <c r="K165" s="140"/>
      <c r="L165" s="140"/>
      <c r="R165" s="140"/>
    </row>
    <row r="166" spans="2:18" ht="15" customHeight="1">
      <c r="B166" s="138"/>
      <c r="C166" s="138"/>
      <c r="D166" s="139"/>
      <c r="E166" s="140"/>
      <c r="F166" s="140"/>
      <c r="G166" s="140"/>
      <c r="H166" s="140"/>
      <c r="I166" s="140"/>
      <c r="J166" s="140"/>
      <c r="K166" s="140"/>
      <c r="L166" s="140"/>
      <c r="R166" s="140"/>
    </row>
    <row r="167" spans="2:18" ht="15" customHeight="1">
      <c r="B167" s="138"/>
      <c r="C167" s="138"/>
      <c r="D167" s="139"/>
      <c r="E167" s="140"/>
      <c r="F167" s="140"/>
      <c r="G167" s="140"/>
      <c r="H167" s="140"/>
      <c r="I167" s="140"/>
      <c r="J167" s="140"/>
      <c r="K167" s="140"/>
      <c r="L167" s="140"/>
      <c r="R167" s="140"/>
    </row>
    <row r="168" spans="2:18" ht="15" customHeight="1">
      <c r="B168" s="138"/>
      <c r="C168" s="138"/>
      <c r="D168" s="139"/>
      <c r="E168" s="140"/>
      <c r="F168" s="140"/>
      <c r="G168" s="140"/>
      <c r="H168" s="140"/>
      <c r="I168" s="140"/>
      <c r="J168" s="140"/>
      <c r="K168" s="140"/>
      <c r="L168" s="140"/>
      <c r="R168" s="140"/>
    </row>
    <row r="169" spans="2:18" ht="15" customHeight="1">
      <c r="B169" s="138"/>
      <c r="C169" s="138"/>
      <c r="D169" s="139"/>
      <c r="E169" s="140"/>
      <c r="F169" s="140"/>
      <c r="G169" s="140"/>
      <c r="H169" s="140"/>
      <c r="I169" s="140"/>
      <c r="J169" s="140"/>
      <c r="K169" s="140"/>
      <c r="L169" s="140"/>
      <c r="R169" s="140"/>
    </row>
    <row r="170" spans="2:18" ht="15" customHeight="1">
      <c r="B170" s="138"/>
      <c r="C170" s="138"/>
      <c r="D170" s="139"/>
      <c r="E170" s="140"/>
      <c r="F170" s="140"/>
      <c r="G170" s="140"/>
      <c r="H170" s="140"/>
      <c r="I170" s="140"/>
      <c r="J170" s="140"/>
      <c r="K170" s="140"/>
      <c r="L170" s="140"/>
      <c r="R170" s="140"/>
    </row>
    <row r="171" spans="2:18" ht="15" customHeight="1">
      <c r="B171" s="138"/>
      <c r="C171" s="138"/>
      <c r="D171" s="139"/>
      <c r="E171" s="140"/>
      <c r="F171" s="140"/>
      <c r="G171" s="140"/>
      <c r="H171" s="140"/>
      <c r="I171" s="140"/>
      <c r="J171" s="140"/>
      <c r="K171" s="140"/>
      <c r="L171" s="140"/>
      <c r="R171" s="140"/>
    </row>
    <row r="172" spans="2:18" ht="15" customHeight="1">
      <c r="B172" s="138"/>
      <c r="C172" s="138"/>
      <c r="D172" s="139"/>
      <c r="E172" s="140"/>
      <c r="F172" s="140"/>
      <c r="G172" s="140"/>
      <c r="H172" s="140"/>
      <c r="I172" s="140"/>
      <c r="J172" s="140"/>
      <c r="K172" s="140"/>
      <c r="L172" s="140"/>
      <c r="R172" s="140"/>
    </row>
    <row r="173" spans="2:18" ht="15" customHeight="1">
      <c r="B173" s="138"/>
      <c r="C173" s="138"/>
      <c r="D173" s="139"/>
      <c r="E173" s="140"/>
      <c r="F173" s="140"/>
      <c r="G173" s="140"/>
      <c r="H173" s="140"/>
      <c r="I173" s="140"/>
      <c r="J173" s="140"/>
      <c r="K173" s="140"/>
      <c r="L173" s="140"/>
      <c r="R173" s="140"/>
    </row>
  </sheetData>
  <mergeCells count="6">
    <mergeCell ref="K1:M1"/>
    <mergeCell ref="L7:M7"/>
    <mergeCell ref="E10:J10"/>
    <mergeCell ref="L10:Q10"/>
    <mergeCell ref="E11:J11"/>
    <mergeCell ref="L11:Q11"/>
  </mergeCells>
  <printOptions horizontalCentered="1"/>
  <pageMargins left="0.39370078740157483" right="0.39370078740157483" top="0.39370078740157483" bottom="0.39370078740157483" header="0.31496062992125984" footer="0.31496062992125984"/>
  <pageSetup paperSize="9" scale="75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73"/>
  <sheetViews>
    <sheetView tabSelected="1" view="pageBreakPreview" zoomScale="96" zoomScaleNormal="84" zoomScaleSheetLayoutView="96" workbookViewId="0">
      <selection activeCell="M12" sqref="M12"/>
    </sheetView>
  </sheetViews>
  <sheetFormatPr defaultColWidth="7.140625" defaultRowHeight="13.5"/>
  <cols>
    <col min="1" max="1" width="1.7109375" style="116" customWidth="1"/>
    <col min="2" max="2" width="12.85546875" style="116" customWidth="1"/>
    <col min="3" max="3" width="7.28515625" style="116" customWidth="1"/>
    <col min="4" max="4" width="10.7109375" style="116" customWidth="1"/>
    <col min="5" max="10" width="15" style="116" customWidth="1"/>
    <col min="11" max="11" width="1.5703125" style="116" customWidth="1"/>
    <col min="12" max="12" width="1.7109375" style="116" customWidth="1"/>
    <col min="13" max="16384" width="7.140625" style="116"/>
  </cols>
  <sheetData>
    <row r="1" spans="1:12" s="1" customFormat="1" ht="15" customHeight="1">
      <c r="B1" s="2"/>
      <c r="C1" s="2"/>
      <c r="D1" s="3"/>
      <c r="E1" s="201"/>
      <c r="F1" s="201"/>
      <c r="G1" s="201"/>
      <c r="H1" s="201"/>
      <c r="I1" s="201"/>
      <c r="J1" s="201"/>
      <c r="K1" s="269"/>
    </row>
    <row r="2" spans="1:12" s="1" customFormat="1">
      <c r="B2" s="2"/>
      <c r="C2" s="2"/>
      <c r="D2" s="3"/>
      <c r="E2" s="201"/>
      <c r="F2" s="201"/>
      <c r="G2" s="201"/>
      <c r="H2" s="201"/>
      <c r="I2" s="201"/>
      <c r="J2" s="201"/>
      <c r="K2" s="201"/>
      <c r="L2" s="269" t="s">
        <v>7</v>
      </c>
    </row>
    <row r="3" spans="1:12" s="1" customFormat="1">
      <c r="B3" s="2"/>
      <c r="C3" s="2"/>
      <c r="D3" s="3"/>
      <c r="E3" s="201"/>
      <c r="F3" s="201"/>
      <c r="G3" s="201"/>
      <c r="H3" s="201"/>
      <c r="I3" s="201"/>
      <c r="J3" s="201"/>
      <c r="K3" s="201"/>
      <c r="L3" s="5" t="s">
        <v>55</v>
      </c>
    </row>
    <row r="4" spans="1:12" s="1" customFormat="1">
      <c r="B4" s="7"/>
      <c r="C4" s="7"/>
      <c r="D4" s="3"/>
    </row>
    <row r="5" spans="1:12" ht="15" customHeight="1">
      <c r="B5" s="8" t="s">
        <v>120</v>
      </c>
      <c r="C5" s="9" t="s">
        <v>140</v>
      </c>
      <c r="D5" s="117"/>
      <c r="E5" s="118"/>
      <c r="F5" s="118"/>
      <c r="G5" s="118"/>
      <c r="H5" s="118"/>
      <c r="I5" s="118"/>
      <c r="J5" s="118"/>
      <c r="K5" s="118"/>
      <c r="L5" s="118"/>
    </row>
    <row r="6" spans="1:12" ht="15" customHeight="1">
      <c r="B6" s="12" t="s">
        <v>121</v>
      </c>
      <c r="C6" s="13" t="s">
        <v>141</v>
      </c>
      <c r="D6" s="114"/>
      <c r="E6" s="115"/>
      <c r="F6" s="115"/>
      <c r="G6" s="115"/>
      <c r="H6" s="115"/>
      <c r="I6" s="115"/>
      <c r="J6" s="115"/>
      <c r="K6" s="115"/>
      <c r="L6" s="115"/>
    </row>
    <row r="7" spans="1:12" ht="8.1" customHeight="1">
      <c r="B7" s="112"/>
      <c r="C7" s="113"/>
      <c r="D7" s="114"/>
      <c r="E7" s="115"/>
      <c r="F7" s="115"/>
      <c r="G7" s="115"/>
      <c r="H7" s="115"/>
      <c r="I7" s="115"/>
      <c r="J7" s="115"/>
      <c r="K7" s="115"/>
      <c r="L7" s="115"/>
    </row>
    <row r="8" spans="1:12" s="257" customFormat="1" ht="15.95" customHeight="1" thickBot="1">
      <c r="B8" s="257" t="s">
        <v>106</v>
      </c>
      <c r="D8" s="258"/>
      <c r="E8" s="259"/>
      <c r="F8" s="259"/>
      <c r="G8" s="259"/>
      <c r="H8" s="259"/>
      <c r="I8" s="259"/>
      <c r="J8" s="259"/>
      <c r="K8" s="259"/>
      <c r="L8" s="259"/>
    </row>
    <row r="9" spans="1:12" ht="8.1" customHeight="1" thickTop="1">
      <c r="A9" s="119"/>
      <c r="B9" s="120"/>
      <c r="C9" s="121"/>
      <c r="D9" s="122"/>
      <c r="E9" s="123"/>
      <c r="F9" s="123"/>
      <c r="G9" s="123"/>
      <c r="H9" s="123"/>
      <c r="I9" s="123"/>
      <c r="J9" s="123"/>
      <c r="K9" s="123"/>
      <c r="L9" s="123"/>
    </row>
    <row r="10" spans="1:12" ht="15" customHeight="1">
      <c r="A10" s="124"/>
      <c r="B10" s="125" t="s">
        <v>90</v>
      </c>
      <c r="C10" s="126"/>
      <c r="D10" s="268" t="s">
        <v>91</v>
      </c>
      <c r="E10" s="292" t="s">
        <v>0</v>
      </c>
      <c r="F10" s="292"/>
      <c r="G10" s="292"/>
      <c r="H10" s="292"/>
      <c r="I10" s="292"/>
      <c r="J10" s="292"/>
      <c r="K10" s="268"/>
      <c r="L10" s="268"/>
    </row>
    <row r="11" spans="1:12" ht="15" customHeight="1">
      <c r="A11" s="124"/>
      <c r="B11" s="129" t="s">
        <v>92</v>
      </c>
      <c r="C11" s="126"/>
      <c r="D11" s="130" t="s">
        <v>93</v>
      </c>
      <c r="E11" s="293" t="s">
        <v>1</v>
      </c>
      <c r="F11" s="293"/>
      <c r="G11" s="293"/>
      <c r="H11" s="293"/>
      <c r="I11" s="293"/>
      <c r="J11" s="293"/>
      <c r="K11" s="270"/>
      <c r="L11" s="270"/>
    </row>
    <row r="12" spans="1:12" ht="15" customHeight="1">
      <c r="A12" s="124"/>
      <c r="B12" s="125"/>
      <c r="C12" s="126"/>
      <c r="D12" s="268"/>
      <c r="E12" s="172"/>
      <c r="F12" s="172"/>
      <c r="G12" s="192"/>
      <c r="H12" s="192"/>
      <c r="I12" s="192"/>
      <c r="J12" s="192"/>
      <c r="K12" s="192"/>
      <c r="L12" s="192"/>
    </row>
    <row r="13" spans="1:12" ht="15" customHeight="1">
      <c r="A13" s="124"/>
      <c r="B13" s="125"/>
      <c r="C13" s="126"/>
      <c r="D13" s="268"/>
      <c r="E13" s="278" t="s">
        <v>112</v>
      </c>
      <c r="F13" s="278" t="s">
        <v>113</v>
      </c>
      <c r="G13" s="278" t="s">
        <v>114</v>
      </c>
      <c r="H13" s="278" t="s">
        <v>115</v>
      </c>
      <c r="I13" s="278" t="s">
        <v>116</v>
      </c>
      <c r="J13" s="278" t="s">
        <v>132</v>
      </c>
      <c r="K13" s="278"/>
      <c r="L13" s="230"/>
    </row>
    <row r="14" spans="1:12" ht="8.1" customHeight="1">
      <c r="A14" s="135"/>
      <c r="B14" s="136"/>
      <c r="C14" s="135"/>
      <c r="D14" s="135"/>
      <c r="E14" s="137"/>
      <c r="F14" s="137"/>
      <c r="G14" s="137"/>
      <c r="H14" s="137"/>
      <c r="I14" s="137"/>
      <c r="J14" s="137"/>
      <c r="K14" s="137"/>
      <c r="L14" s="137"/>
    </row>
    <row r="15" spans="1:12" ht="8.1" customHeight="1">
      <c r="A15" s="138"/>
      <c r="B15" s="138"/>
      <c r="C15" s="138"/>
      <c r="D15" s="146"/>
      <c r="E15" s="140"/>
      <c r="F15" s="140"/>
      <c r="G15" s="140"/>
      <c r="H15" s="141"/>
      <c r="I15" s="142"/>
      <c r="J15" s="142"/>
      <c r="K15" s="142"/>
      <c r="L15" s="142"/>
    </row>
    <row r="16" spans="1:12" ht="15" customHeight="1">
      <c r="B16" s="144" t="s">
        <v>107</v>
      </c>
      <c r="C16" s="145"/>
      <c r="D16" s="147">
        <v>2021</v>
      </c>
      <c r="E16" s="211">
        <f>SUM('7.4 (L)'!E16,'7.4 (L)'!L16,'7.4 (L) (2)'!E16,'7.4 (L) (2)'!L16,'7.4 (L) (3)'!E16,'7.4 (L) (3)'!L16,)</f>
        <v>1003</v>
      </c>
      <c r="F16" s="211">
        <f>SUM('7.4 (L)'!F16,'7.4 (L)'!M16,'7.4 (L) (2)'!F16,'7.4 (L) (2)'!M16,'7.4 (L) (3)'!F16,'7.4 (L) (3)'!M16,)</f>
        <v>4415</v>
      </c>
      <c r="G16" s="211">
        <f>SUM('7.4 (L)'!G16,'7.4 (L)'!N16,'7.4 (L) (2)'!G16,'7.4 (L) (2)'!N16,'7.4 (L) (3)'!G16,'7.4 (L) (3)'!N16,)</f>
        <v>3122</v>
      </c>
      <c r="H16" s="211">
        <f>SUM('7.4 (L)'!H16,'7.4 (L)'!O16,'7.4 (L) (2)'!H16,'7.4 (L) (2)'!O16,'7.4 (L) (3)'!H16,'7.4 (L) (3)'!O16,)</f>
        <v>2361</v>
      </c>
      <c r="I16" s="211">
        <f>SUM('7.4 (L)'!I16,'7.4 (L)'!P16,'7.4 (L) (2)'!I16,'7.4 (L) (2)'!P16,'7.4 (L) (3)'!I16,'7.4 (L) (3)'!P16,)</f>
        <v>1529</v>
      </c>
      <c r="J16" s="211">
        <f>SUM('7.4 (L)'!J16,'7.4 (L)'!Q16,'7.4 (L) (2)'!J16,'7.4 (L) (2)'!Q16,'7.4 (L) (3)'!J16,'7.4 (L) (3)'!Q16,)</f>
        <v>832</v>
      </c>
      <c r="K16" s="211"/>
      <c r="L16" s="211"/>
    </row>
    <row r="17" spans="2:12" ht="15" customHeight="1">
      <c r="B17" s="145"/>
      <c r="C17" s="145"/>
      <c r="D17" s="146">
        <v>2022</v>
      </c>
      <c r="E17" s="211">
        <f>SUM('7.4 (L)'!E17,'7.4 (L)'!L17,'7.4 (L) (2)'!E17,'7.4 (L) (2)'!L17,'7.4 (L) (3)'!E17,'7.4 (L) (3)'!L17,)</f>
        <v>685</v>
      </c>
      <c r="F17" s="211">
        <f>SUM('7.4 (L)'!F17,'7.4 (L)'!M17,'7.4 (L) (2)'!F17,'7.4 (L) (2)'!M17,'7.4 (L) (3)'!F17,'7.4 (L) (3)'!M17,)</f>
        <v>3487</v>
      </c>
      <c r="G17" s="211">
        <f>SUM('7.4 (L)'!G17,'7.4 (L)'!N17,'7.4 (L) (2)'!G17,'7.4 (L) (2)'!N17,'7.4 (L) (3)'!G17,'7.4 (L) (3)'!N17,)</f>
        <v>2813</v>
      </c>
      <c r="H17" s="211">
        <f>SUM('7.4 (L)'!H17,'7.4 (L)'!O17,'7.4 (L) (2)'!H17,'7.4 (L) (2)'!O17,'7.4 (L) (3)'!H17,'7.4 (L) (3)'!O17,)</f>
        <v>2017</v>
      </c>
      <c r="I17" s="211">
        <f>SUM('7.4 (L)'!I17,'7.4 (L)'!P17,'7.4 (L) (2)'!I17,'7.4 (L) (2)'!P17,'7.4 (L) (3)'!I17,'7.4 (L) (3)'!P17,)</f>
        <v>1308</v>
      </c>
      <c r="J17" s="211">
        <f>SUM('7.4 (L)'!J17,'7.4 (L)'!Q17,'7.4 (L) (2)'!J17,'7.4 (L) (2)'!Q17,'7.4 (L) (3)'!J17,'7.4 (L) (3)'!Q17,)</f>
        <v>828</v>
      </c>
      <c r="K17" s="211"/>
      <c r="L17" s="211"/>
    </row>
    <row r="18" spans="2:12" ht="15" customHeight="1">
      <c r="B18" s="145"/>
      <c r="C18" s="145"/>
      <c r="D18" s="146">
        <v>2023</v>
      </c>
      <c r="E18" s="211">
        <f>SUM('7.4 (L)'!E18,'7.4 (L)'!L18,'7.4 (L) (2)'!E18,'7.4 (L) (2)'!L18,'7.4 (L) (3)'!E18,'7.4 (L) (3)'!L18,)</f>
        <v>969</v>
      </c>
      <c r="F18" s="211">
        <f>SUM('7.4 (L)'!F18,'7.4 (L)'!M18,'7.4 (L) (2)'!F18,'7.4 (L) (2)'!M18,'7.4 (L) (3)'!F18,'7.4 (L) (3)'!M18,)</f>
        <v>4775</v>
      </c>
      <c r="G18" s="211">
        <f>SUM('7.4 (L)'!G18,'7.4 (L)'!N18,'7.4 (L) (2)'!G18,'7.4 (L) (2)'!N18,'7.4 (L) (3)'!G18,'7.4 (L) (3)'!N18,)</f>
        <v>4043</v>
      </c>
      <c r="H18" s="211">
        <f>SUM('7.4 (L)'!H18,'7.4 (L)'!O18,'7.4 (L) (2)'!H18,'7.4 (L) (2)'!O18,'7.4 (L) (3)'!H18,'7.4 (L) (3)'!O18,)</f>
        <v>3025</v>
      </c>
      <c r="I18" s="211">
        <f>SUM('7.4 (L)'!I18,'7.4 (L)'!P18,'7.4 (L) (2)'!I18,'7.4 (L) (2)'!P18,'7.4 (L) (3)'!I18,'7.4 (L) (3)'!P18,)</f>
        <v>2179</v>
      </c>
      <c r="J18" s="211">
        <f>SUM('7.4 (L)'!J18,'7.4 (L)'!Q18,'7.4 (L) (2)'!J18,'7.4 (L) (2)'!Q18,'7.4 (L) (3)'!J18,'7.4 (L) (3)'!Q18,)</f>
        <v>1405</v>
      </c>
      <c r="K18" s="211"/>
      <c r="L18" s="211"/>
    </row>
    <row r="19" spans="2:12" ht="8.1" customHeight="1">
      <c r="B19" s="145"/>
      <c r="C19" s="148"/>
      <c r="D19" s="149"/>
      <c r="E19" s="179"/>
      <c r="F19" s="184"/>
      <c r="G19" s="184"/>
      <c r="H19" s="184"/>
      <c r="I19" s="184"/>
      <c r="J19" s="184"/>
      <c r="K19" s="184"/>
      <c r="L19" s="184"/>
    </row>
    <row r="20" spans="2:12" ht="15" customHeight="1">
      <c r="B20" s="151" t="s">
        <v>94</v>
      </c>
      <c r="C20" s="152"/>
      <c r="D20" s="149">
        <v>2021</v>
      </c>
      <c r="E20" s="211">
        <f>SUM('7.4 (L)'!E20,'7.4 (L)'!L20,'7.4 (L) (2)'!E20,'7.4 (L) (2)'!L20,'7.4 (L) (3)'!E20,'7.4 (L) (3)'!L20,)</f>
        <v>89</v>
      </c>
      <c r="F20" s="211">
        <f>SUM('7.4 (L)'!F20,'7.4 (L)'!M20,'7.4 (L) (2)'!F20,'7.4 (L) (2)'!M20,'7.4 (L) (3)'!F20,'7.4 (L) (3)'!M20,)</f>
        <v>415</v>
      </c>
      <c r="G20" s="211">
        <f>SUM('7.4 (L)'!G20,'7.4 (L)'!N20,'7.4 (L) (2)'!G20,'7.4 (L) (2)'!N20,'7.4 (L) (3)'!G20,'7.4 (L) (3)'!N20,)</f>
        <v>291</v>
      </c>
      <c r="H20" s="211">
        <f>SUM('7.4 (L)'!H20,'7.4 (L)'!O20,'7.4 (L) (2)'!H20,'7.4 (L) (2)'!O20,'7.4 (L) (3)'!H20,'7.4 (L) (3)'!O20,)</f>
        <v>263</v>
      </c>
      <c r="I20" s="211">
        <f>SUM('7.4 (L)'!I20,'7.4 (L)'!P20,'7.4 (L) (2)'!I20,'7.4 (L) (2)'!P20,'7.4 (L) (3)'!I20,'7.4 (L) (3)'!P20,)</f>
        <v>151</v>
      </c>
      <c r="J20" s="211">
        <f>SUM('7.4 (L)'!J20,'7.4 (L)'!Q20,'7.4 (L) (2)'!J20,'7.4 (L) (2)'!Q20,'7.4 (L) (3)'!J20,'7.4 (L) (3)'!Q20,)</f>
        <v>85</v>
      </c>
      <c r="K20" s="223"/>
      <c r="L20" s="222"/>
    </row>
    <row r="21" spans="2:12" ht="15" customHeight="1">
      <c r="B21" s="153"/>
      <c r="C21" s="152"/>
      <c r="D21" s="149">
        <v>2022</v>
      </c>
      <c r="E21" s="211">
        <f>SUM('7.4 (L)'!E21,'7.4 (L)'!L21,'7.4 (L) (2)'!E21,'7.4 (L) (2)'!L21,'7.4 (L) (3)'!E21,'7.4 (L) (3)'!L21,)</f>
        <v>67</v>
      </c>
      <c r="F21" s="211">
        <f>SUM('7.4 (L)'!F21,'7.4 (L)'!M21,'7.4 (L) (2)'!F21,'7.4 (L) (2)'!M21,'7.4 (L) (3)'!F21,'7.4 (L) (3)'!M21,)</f>
        <v>308</v>
      </c>
      <c r="G21" s="211">
        <f>SUM('7.4 (L)'!G21,'7.4 (L)'!N21,'7.4 (L) (2)'!G21,'7.4 (L) (2)'!N21,'7.4 (L) (3)'!G21,'7.4 (L) (3)'!N21,)</f>
        <v>246</v>
      </c>
      <c r="H21" s="211">
        <f>SUM('7.4 (L)'!H21,'7.4 (L)'!O21,'7.4 (L) (2)'!H21,'7.4 (L) (2)'!O21,'7.4 (L) (3)'!H21,'7.4 (L) (3)'!O21,)</f>
        <v>233</v>
      </c>
      <c r="I21" s="211">
        <f>SUM('7.4 (L)'!I21,'7.4 (L)'!P21,'7.4 (L) (2)'!I21,'7.4 (L) (2)'!P21,'7.4 (L) (3)'!I21,'7.4 (L) (3)'!P21,)</f>
        <v>125</v>
      </c>
      <c r="J21" s="211">
        <f>SUM('7.4 (L)'!J21,'7.4 (L)'!Q21,'7.4 (L) (2)'!J21,'7.4 (L) (2)'!Q21,'7.4 (L) (3)'!J21,'7.4 (L) (3)'!Q21,)</f>
        <v>80</v>
      </c>
      <c r="K21" s="223"/>
      <c r="L21" s="222"/>
    </row>
    <row r="22" spans="2:12" ht="15" customHeight="1">
      <c r="B22" s="153"/>
      <c r="C22" s="152"/>
      <c r="D22" s="149">
        <v>2023</v>
      </c>
      <c r="E22" s="211">
        <f>SUM('7.4 (L)'!E22,'7.4 (L)'!L22,'7.4 (L) (2)'!E22,'7.4 (L) (2)'!L22,'7.4 (L) (3)'!E22,'7.4 (L) (3)'!L22,)</f>
        <v>87</v>
      </c>
      <c r="F22" s="211">
        <f>SUM('7.4 (L)'!F22,'7.4 (L)'!M22,'7.4 (L) (2)'!F22,'7.4 (L) (2)'!M22,'7.4 (L) (3)'!F22,'7.4 (L) (3)'!M22,)</f>
        <v>512</v>
      </c>
      <c r="G22" s="211">
        <f>SUM('7.4 (L)'!G22,'7.4 (L)'!N22,'7.4 (L) (2)'!G22,'7.4 (L) (2)'!N22,'7.4 (L) (3)'!G22,'7.4 (L) (3)'!N22,)</f>
        <v>448</v>
      </c>
      <c r="H22" s="211">
        <f>SUM('7.4 (L)'!H22,'7.4 (L)'!O22,'7.4 (L) (2)'!H22,'7.4 (L) (2)'!O22,'7.4 (L) (3)'!H22,'7.4 (L) (3)'!O22,)</f>
        <v>329</v>
      </c>
      <c r="I22" s="211">
        <f>SUM('7.4 (L)'!I22,'7.4 (L)'!P22,'7.4 (L) (2)'!I22,'7.4 (L) (2)'!P22,'7.4 (L) (3)'!I22,'7.4 (L) (3)'!P22,)</f>
        <v>261</v>
      </c>
      <c r="J22" s="211">
        <f>SUM('7.4 (L)'!J22,'7.4 (L)'!Q22,'7.4 (L) (2)'!J22,'7.4 (L) (2)'!Q22,'7.4 (L) (3)'!J22,'7.4 (L) (3)'!Q22,)</f>
        <v>142</v>
      </c>
      <c r="K22" s="223"/>
      <c r="L22" s="222"/>
    </row>
    <row r="23" spans="2:12" ht="8.1" customHeight="1">
      <c r="B23" s="153"/>
      <c r="C23" s="154"/>
      <c r="D23" s="149"/>
      <c r="E23" s="150"/>
      <c r="F23" s="203"/>
      <c r="G23" s="203"/>
      <c r="H23" s="203"/>
      <c r="I23" s="203"/>
      <c r="J23" s="203"/>
      <c r="K23" s="203"/>
      <c r="L23" s="203"/>
    </row>
    <row r="24" spans="2:12" ht="15" customHeight="1">
      <c r="B24" s="151" t="s">
        <v>95</v>
      </c>
      <c r="C24" s="152"/>
      <c r="D24" s="149">
        <v>2021</v>
      </c>
      <c r="E24" s="211">
        <f>SUM('7.4 (L)'!E24,'7.4 (L)'!L24,'7.4 (L) (2)'!E24,'7.4 (L) (2)'!L24,'7.4 (L) (3)'!E24,'7.4 (L) (3)'!L24,)</f>
        <v>72</v>
      </c>
      <c r="F24" s="211">
        <f>SUM('7.4 (L)'!F24,'7.4 (L)'!M24,'7.4 (L) (2)'!F24,'7.4 (L) (2)'!M24,'7.4 (L) (3)'!F24,'7.4 (L) (3)'!M24,)</f>
        <v>288</v>
      </c>
      <c r="G24" s="211">
        <f>SUM('7.4 (L)'!G24,'7.4 (L)'!N24,'7.4 (L) (2)'!G24,'7.4 (L) (2)'!N24,'7.4 (L) (3)'!G24,'7.4 (L) (3)'!N24,)</f>
        <v>188</v>
      </c>
      <c r="H24" s="211">
        <f>SUM('7.4 (L)'!H24,'7.4 (L)'!O24,'7.4 (L) (2)'!H24,'7.4 (L) (2)'!O24,'7.4 (L) (3)'!H24,'7.4 (L) (3)'!O24,)</f>
        <v>126</v>
      </c>
      <c r="I24" s="211">
        <f>SUM('7.4 (L)'!I24,'7.4 (L)'!P24,'7.4 (L) (2)'!I24,'7.4 (L) (2)'!P24,'7.4 (L) (3)'!I24,'7.4 (L) (3)'!P24,)</f>
        <v>98</v>
      </c>
      <c r="J24" s="211">
        <f>SUM('7.4 (L)'!J24,'7.4 (L)'!Q24,'7.4 (L) (2)'!J24,'7.4 (L) (2)'!Q24,'7.4 (L) (3)'!J24,'7.4 (L) (3)'!Q24,)</f>
        <v>45</v>
      </c>
      <c r="K24" s="182"/>
      <c r="L24" s="222"/>
    </row>
    <row r="25" spans="2:12" ht="15" customHeight="1">
      <c r="B25" s="151"/>
      <c r="C25" s="152"/>
      <c r="D25" s="149">
        <v>2022</v>
      </c>
      <c r="E25" s="211">
        <f>SUM('7.4 (L)'!E25,'7.4 (L)'!L25,'7.4 (L) (2)'!E25,'7.4 (L) (2)'!L25,'7.4 (L) (3)'!E25,'7.4 (L) (3)'!L25,)</f>
        <v>54</v>
      </c>
      <c r="F25" s="211">
        <f>SUM('7.4 (L)'!F25,'7.4 (L)'!M25,'7.4 (L) (2)'!F25,'7.4 (L) (2)'!M25,'7.4 (L) (3)'!F25,'7.4 (L) (3)'!M25,)</f>
        <v>224</v>
      </c>
      <c r="G25" s="211">
        <f>SUM('7.4 (L)'!G25,'7.4 (L)'!N25,'7.4 (L) (2)'!G25,'7.4 (L) (2)'!N25,'7.4 (L) (3)'!G25,'7.4 (L) (3)'!N25,)</f>
        <v>151</v>
      </c>
      <c r="H25" s="211">
        <f>SUM('7.4 (L)'!H25,'7.4 (L)'!O25,'7.4 (L) (2)'!H25,'7.4 (L) (2)'!O25,'7.4 (L) (3)'!H25,'7.4 (L) (3)'!O25,)</f>
        <v>119</v>
      </c>
      <c r="I25" s="211">
        <f>SUM('7.4 (L)'!I25,'7.4 (L)'!P25,'7.4 (L) (2)'!I25,'7.4 (L) (2)'!P25,'7.4 (L) (3)'!I25,'7.4 (L) (3)'!P25,)</f>
        <v>93</v>
      </c>
      <c r="J25" s="211">
        <f>SUM('7.4 (L)'!J25,'7.4 (L)'!Q25,'7.4 (L) (2)'!J25,'7.4 (L) (2)'!Q25,'7.4 (L) (3)'!J25,'7.4 (L) (3)'!Q25,)</f>
        <v>62</v>
      </c>
      <c r="K25" s="182"/>
      <c r="L25" s="222"/>
    </row>
    <row r="26" spans="2:12" ht="15" customHeight="1">
      <c r="B26" s="151"/>
      <c r="C26" s="152"/>
      <c r="D26" s="149">
        <v>2023</v>
      </c>
      <c r="E26" s="211">
        <f>SUM('7.4 (L)'!E26,'7.4 (L)'!L26,'7.4 (L) (2)'!E26,'7.4 (L) (2)'!L26,'7.4 (L) (3)'!E26,'7.4 (L) (3)'!L26,)</f>
        <v>65</v>
      </c>
      <c r="F26" s="211">
        <f>SUM('7.4 (L)'!F26,'7.4 (L)'!M26,'7.4 (L) (2)'!F26,'7.4 (L) (2)'!M26,'7.4 (L) (3)'!F26,'7.4 (L) (3)'!M26,)</f>
        <v>249</v>
      </c>
      <c r="G26" s="211">
        <f>SUM('7.4 (L)'!G26,'7.4 (L)'!N26,'7.4 (L) (2)'!G26,'7.4 (L) (2)'!N26,'7.4 (L) (3)'!G26,'7.4 (L) (3)'!N26,)</f>
        <v>197</v>
      </c>
      <c r="H26" s="211">
        <f>SUM('7.4 (L)'!H26,'7.4 (L)'!O26,'7.4 (L) (2)'!H26,'7.4 (L) (2)'!O26,'7.4 (L) (3)'!H26,'7.4 (L) (3)'!O26,)</f>
        <v>178</v>
      </c>
      <c r="I26" s="211">
        <f>SUM('7.4 (L)'!I26,'7.4 (L)'!P26,'7.4 (L) (2)'!I26,'7.4 (L) (2)'!P26,'7.4 (L) (3)'!I26,'7.4 (L) (3)'!P26,)</f>
        <v>131</v>
      </c>
      <c r="J26" s="211">
        <f>SUM('7.4 (L)'!J26,'7.4 (L)'!Q26,'7.4 (L) (2)'!J26,'7.4 (L) (2)'!Q26,'7.4 (L) (3)'!J26,'7.4 (L) (3)'!Q26,)</f>
        <v>79</v>
      </c>
      <c r="K26" s="182"/>
      <c r="L26" s="222"/>
    </row>
    <row r="27" spans="2:12" ht="8.1" customHeight="1">
      <c r="B27" s="151"/>
      <c r="C27" s="154"/>
      <c r="D27" s="149"/>
      <c r="E27" s="150"/>
      <c r="F27" s="203"/>
      <c r="G27" s="203"/>
      <c r="H27" s="203"/>
      <c r="I27" s="203"/>
      <c r="J27" s="203"/>
      <c r="K27" s="184"/>
      <c r="L27" s="203"/>
    </row>
    <row r="28" spans="2:12" ht="15" customHeight="1">
      <c r="B28" s="151" t="s">
        <v>96</v>
      </c>
      <c r="C28" s="152"/>
      <c r="D28" s="149">
        <v>2021</v>
      </c>
      <c r="E28" s="211">
        <f>SUM('7.4 (L)'!E28,'7.4 (L)'!L28,'7.4 (L) (2)'!E28,'7.4 (L) (2)'!L28,'7.4 (L) (3)'!E28,'7.4 (L) (3)'!L28,)</f>
        <v>43</v>
      </c>
      <c r="F28" s="211">
        <f>SUM('7.4 (L)'!F28,'7.4 (L)'!M28,'7.4 (L) (2)'!F28,'7.4 (L) (2)'!M28,'7.4 (L) (3)'!F28,'7.4 (L) (3)'!M28,)</f>
        <v>123</v>
      </c>
      <c r="G28" s="211">
        <f>SUM('7.4 (L)'!G28,'7.4 (L)'!N28,'7.4 (L) (2)'!G28,'7.4 (L) (2)'!N28,'7.4 (L) (3)'!G28,'7.4 (L) (3)'!N28,)</f>
        <v>78</v>
      </c>
      <c r="H28" s="211">
        <f>SUM('7.4 (L)'!H28,'7.4 (L)'!O28,'7.4 (L) (2)'!H28,'7.4 (L) (2)'!O28,'7.4 (L) (3)'!H28,'7.4 (L) (3)'!O28,)</f>
        <v>73</v>
      </c>
      <c r="I28" s="211">
        <f>SUM('7.4 (L)'!I28,'7.4 (L)'!P28,'7.4 (L) (2)'!I28,'7.4 (L) (2)'!P28,'7.4 (L) (3)'!I28,'7.4 (L) (3)'!P28,)</f>
        <v>39</v>
      </c>
      <c r="J28" s="211">
        <f>SUM('7.4 (L)'!J28,'7.4 (L)'!Q28,'7.4 (L) (2)'!J28,'7.4 (L) (2)'!Q28,'7.4 (L) (3)'!J28,'7.4 (L) (3)'!Q28,)</f>
        <v>15</v>
      </c>
      <c r="K28" s="182"/>
      <c r="L28" s="222"/>
    </row>
    <row r="29" spans="2:12" ht="15" customHeight="1">
      <c r="B29" s="153"/>
      <c r="C29" s="152"/>
      <c r="D29" s="149">
        <v>2022</v>
      </c>
      <c r="E29" s="211">
        <f>SUM('7.4 (L)'!E29,'7.4 (L)'!L29,'7.4 (L) (2)'!E29,'7.4 (L) (2)'!L29,'7.4 (L) (3)'!E29,'7.4 (L) (3)'!L29,)</f>
        <v>20</v>
      </c>
      <c r="F29" s="211">
        <f>SUM('7.4 (L)'!F29,'7.4 (L)'!M29,'7.4 (L) (2)'!F29,'7.4 (L) (2)'!M29,'7.4 (L) (3)'!F29,'7.4 (L) (3)'!M29,)</f>
        <v>117</v>
      </c>
      <c r="G29" s="211">
        <f>SUM('7.4 (L)'!G29,'7.4 (L)'!N29,'7.4 (L) (2)'!G29,'7.4 (L) (2)'!N29,'7.4 (L) (3)'!G29,'7.4 (L) (3)'!N29,)</f>
        <v>88</v>
      </c>
      <c r="H29" s="211">
        <f>SUM('7.4 (L)'!H29,'7.4 (L)'!O29,'7.4 (L) (2)'!H29,'7.4 (L) (2)'!O29,'7.4 (L) (3)'!H29,'7.4 (L) (3)'!O29,)</f>
        <v>70</v>
      </c>
      <c r="I29" s="211">
        <f>SUM('7.4 (L)'!I29,'7.4 (L)'!P29,'7.4 (L) (2)'!I29,'7.4 (L) (2)'!P29,'7.4 (L) (3)'!I29,'7.4 (L) (3)'!P29,)</f>
        <v>50</v>
      </c>
      <c r="J29" s="211">
        <f>SUM('7.4 (L)'!J29,'7.4 (L)'!Q29,'7.4 (L) (2)'!J29,'7.4 (L) (2)'!Q29,'7.4 (L) (3)'!J29,'7.4 (L) (3)'!Q29,)</f>
        <v>19</v>
      </c>
      <c r="K29" s="182"/>
      <c r="L29" s="222"/>
    </row>
    <row r="30" spans="2:12" ht="15" customHeight="1">
      <c r="B30" s="153"/>
      <c r="C30" s="152"/>
      <c r="D30" s="149">
        <v>2023</v>
      </c>
      <c r="E30" s="211">
        <f>SUM('7.4 (L)'!E30,'7.4 (L)'!L30,'7.4 (L) (2)'!E30,'7.4 (L) (2)'!L30,'7.4 (L) (3)'!E30,'7.4 (L) (3)'!L30,)</f>
        <v>25</v>
      </c>
      <c r="F30" s="211">
        <f>SUM('7.4 (L)'!F30,'7.4 (L)'!M30,'7.4 (L) (2)'!F30,'7.4 (L) (2)'!M30,'7.4 (L) (3)'!F30,'7.4 (L) (3)'!M30,)</f>
        <v>104</v>
      </c>
      <c r="G30" s="211">
        <f>SUM('7.4 (L)'!G30,'7.4 (L)'!N30,'7.4 (L) (2)'!G30,'7.4 (L) (2)'!N30,'7.4 (L) (3)'!G30,'7.4 (L) (3)'!N30,)</f>
        <v>109</v>
      </c>
      <c r="H30" s="211">
        <f>SUM('7.4 (L)'!H30,'7.4 (L)'!O30,'7.4 (L) (2)'!H30,'7.4 (L) (2)'!O30,'7.4 (L) (3)'!H30,'7.4 (L) (3)'!O30,)</f>
        <v>92</v>
      </c>
      <c r="I30" s="211">
        <f>SUM('7.4 (L)'!I30,'7.4 (L)'!P30,'7.4 (L) (2)'!I30,'7.4 (L) (2)'!P30,'7.4 (L) (3)'!I30,'7.4 (L) (3)'!P30,)</f>
        <v>69</v>
      </c>
      <c r="J30" s="211">
        <f>SUM('7.4 (L)'!J30,'7.4 (L)'!Q30,'7.4 (L) (2)'!J30,'7.4 (L) (2)'!Q30,'7.4 (L) (3)'!J30,'7.4 (L) (3)'!Q30,)</f>
        <v>50</v>
      </c>
      <c r="K30" s="182"/>
      <c r="L30" s="222"/>
    </row>
    <row r="31" spans="2:12" ht="8.1" customHeight="1">
      <c r="B31" s="153"/>
      <c r="C31" s="148"/>
      <c r="D31" s="149"/>
      <c r="E31" s="150"/>
      <c r="F31" s="203"/>
      <c r="G31" s="203"/>
      <c r="H31" s="203"/>
      <c r="I31" s="203"/>
      <c r="J31" s="203"/>
      <c r="K31" s="184"/>
      <c r="L31" s="203"/>
    </row>
    <row r="32" spans="2:12" ht="15" customHeight="1">
      <c r="B32" s="151" t="s">
        <v>97</v>
      </c>
      <c r="C32" s="152"/>
      <c r="D32" s="149">
        <v>2021</v>
      </c>
      <c r="E32" s="211">
        <f>SUM('7.4 (L)'!E32,'7.4 (L)'!L32,'7.4 (L) (2)'!E32,'7.4 (L) (2)'!L32,'7.4 (L) (3)'!E32,'7.4 (L) (3)'!L32,)</f>
        <v>38</v>
      </c>
      <c r="F32" s="211">
        <f>SUM('7.4 (L)'!F32,'7.4 (L)'!M32,'7.4 (L) (2)'!F32,'7.4 (L) (2)'!M32,'7.4 (L) (3)'!F32,'7.4 (L) (3)'!M32,)</f>
        <v>157</v>
      </c>
      <c r="G32" s="211">
        <f>SUM('7.4 (L)'!G32,'7.4 (L)'!N32,'7.4 (L) (2)'!G32,'7.4 (L) (2)'!N32,'7.4 (L) (3)'!G32,'7.4 (L) (3)'!N32,)</f>
        <v>123</v>
      </c>
      <c r="H32" s="211">
        <f>SUM('7.4 (L)'!H32,'7.4 (L)'!O32,'7.4 (L) (2)'!H32,'7.4 (L) (2)'!O32,'7.4 (L) (3)'!H32,'7.4 (L) (3)'!O32,)</f>
        <v>97</v>
      </c>
      <c r="I32" s="211">
        <f>SUM('7.4 (L)'!I32,'7.4 (L)'!P32,'7.4 (L) (2)'!I32,'7.4 (L) (2)'!P32,'7.4 (L) (3)'!I32,'7.4 (L) (3)'!P32,)</f>
        <v>64</v>
      </c>
      <c r="J32" s="211">
        <f>SUM('7.4 (L)'!J32,'7.4 (L)'!Q32,'7.4 (L) (2)'!J32,'7.4 (L) (2)'!Q32,'7.4 (L) (3)'!J32,'7.4 (L) (3)'!Q32,)</f>
        <v>47</v>
      </c>
      <c r="K32" s="182"/>
      <c r="L32" s="222"/>
    </row>
    <row r="33" spans="2:12" ht="15" customHeight="1">
      <c r="B33" s="153"/>
      <c r="C33" s="152"/>
      <c r="D33" s="149">
        <v>2022</v>
      </c>
      <c r="E33" s="211">
        <f>SUM('7.4 (L)'!E33,'7.4 (L)'!L33,'7.4 (L) (2)'!E33,'7.4 (L) (2)'!L33,'7.4 (L) (3)'!E33,'7.4 (L) (3)'!L33,)</f>
        <v>48</v>
      </c>
      <c r="F33" s="211">
        <f>SUM('7.4 (L)'!F33,'7.4 (L)'!M33,'7.4 (L) (2)'!F33,'7.4 (L) (2)'!M33,'7.4 (L) (3)'!F33,'7.4 (L) (3)'!M33,)</f>
        <v>208</v>
      </c>
      <c r="G33" s="211">
        <f>SUM('7.4 (L)'!G33,'7.4 (L)'!N33,'7.4 (L) (2)'!G33,'7.4 (L) (2)'!N33,'7.4 (L) (3)'!G33,'7.4 (L) (3)'!N33,)</f>
        <v>134</v>
      </c>
      <c r="H33" s="211">
        <f>SUM('7.4 (L)'!H33,'7.4 (L)'!O33,'7.4 (L) (2)'!H33,'7.4 (L) (2)'!O33,'7.4 (L) (3)'!H33,'7.4 (L) (3)'!O33,)</f>
        <v>85</v>
      </c>
      <c r="I33" s="211">
        <f>SUM('7.4 (L)'!I33,'7.4 (L)'!P33,'7.4 (L) (2)'!I33,'7.4 (L) (2)'!P33,'7.4 (L) (3)'!I33,'7.4 (L) (3)'!P33,)</f>
        <v>56</v>
      </c>
      <c r="J33" s="211">
        <f>SUM('7.4 (L)'!J33,'7.4 (L)'!Q33,'7.4 (L) (2)'!J33,'7.4 (L) (2)'!Q33,'7.4 (L) (3)'!J33,'7.4 (L) (3)'!Q33,)</f>
        <v>34</v>
      </c>
      <c r="K33" s="223"/>
      <c r="L33" s="222"/>
    </row>
    <row r="34" spans="2:12" ht="15" customHeight="1">
      <c r="B34" s="153"/>
      <c r="C34" s="152"/>
      <c r="D34" s="149">
        <v>2023</v>
      </c>
      <c r="E34" s="211">
        <f>SUM('7.4 (L)'!E34,'7.4 (L)'!L34,'7.4 (L) (2)'!E34,'7.4 (L) (2)'!L34,'7.4 (L) (3)'!E34,'7.4 (L) (3)'!L34,)</f>
        <v>60</v>
      </c>
      <c r="F34" s="211">
        <f>SUM('7.4 (L)'!F34,'7.4 (L)'!M34,'7.4 (L) (2)'!F34,'7.4 (L) (2)'!M34,'7.4 (L) (3)'!F34,'7.4 (L) (3)'!M34,)</f>
        <v>268</v>
      </c>
      <c r="G34" s="211">
        <f>SUM('7.4 (L)'!G34,'7.4 (L)'!N34,'7.4 (L) (2)'!G34,'7.4 (L) (2)'!N34,'7.4 (L) (3)'!G34,'7.4 (L) (3)'!N34,)</f>
        <v>172</v>
      </c>
      <c r="H34" s="211">
        <f>SUM('7.4 (L)'!H34,'7.4 (L)'!O34,'7.4 (L) (2)'!H34,'7.4 (L) (2)'!O34,'7.4 (L) (3)'!H34,'7.4 (L) (3)'!O34,)</f>
        <v>130</v>
      </c>
      <c r="I34" s="211">
        <f>SUM('7.4 (L)'!I34,'7.4 (L)'!P34,'7.4 (L) (2)'!I34,'7.4 (L) (2)'!P34,'7.4 (L) (3)'!I34,'7.4 (L) (3)'!P34,)</f>
        <v>103</v>
      </c>
      <c r="J34" s="211">
        <f>SUM('7.4 (L)'!J34,'7.4 (L)'!Q34,'7.4 (L) (2)'!J34,'7.4 (L) (2)'!Q34,'7.4 (L) (3)'!J34,'7.4 (L) (3)'!Q34,)</f>
        <v>60</v>
      </c>
      <c r="K34" s="223"/>
      <c r="L34" s="222"/>
    </row>
    <row r="35" spans="2:12" ht="8.1" customHeight="1">
      <c r="B35" s="153"/>
      <c r="C35" s="154"/>
      <c r="D35" s="149"/>
      <c r="E35" s="150"/>
      <c r="F35" s="203"/>
      <c r="G35" s="203"/>
      <c r="H35" s="203"/>
      <c r="I35" s="203"/>
      <c r="J35" s="203"/>
      <c r="K35" s="203"/>
      <c r="L35" s="203"/>
    </row>
    <row r="36" spans="2:12" ht="15" customHeight="1">
      <c r="B36" s="151" t="s">
        <v>98</v>
      </c>
      <c r="C36" s="152"/>
      <c r="D36" s="149">
        <v>2021</v>
      </c>
      <c r="E36" s="211">
        <f>SUM('7.4 (L)'!E36,'7.4 (L)'!L36,'7.4 (L) (2)'!E36,'7.4 (L) (2)'!L36,'7.4 (L) (3)'!E36,'7.4 (L) (3)'!L36,)</f>
        <v>121</v>
      </c>
      <c r="F36" s="211">
        <f>SUM('7.4 (L)'!F36,'7.4 (L)'!M36,'7.4 (L) (2)'!F36,'7.4 (L) (2)'!M36,'7.4 (L) (3)'!F36,'7.4 (L) (3)'!M36,)</f>
        <v>415</v>
      </c>
      <c r="G36" s="211">
        <f>SUM('7.4 (L)'!G36,'7.4 (L)'!N36,'7.4 (L) (2)'!G36,'7.4 (L) (2)'!N36,'7.4 (L) (3)'!G36,'7.4 (L) (3)'!N36,)</f>
        <v>275</v>
      </c>
      <c r="H36" s="211">
        <f>SUM('7.4 (L)'!H36,'7.4 (L)'!O36,'7.4 (L) (2)'!H36,'7.4 (L) (2)'!O36,'7.4 (L) (3)'!H36,'7.4 (L) (3)'!O36,)</f>
        <v>211</v>
      </c>
      <c r="I36" s="211">
        <f>SUM('7.4 (L)'!I36,'7.4 (L)'!P36,'7.4 (L) (2)'!I36,'7.4 (L) (2)'!P36,'7.4 (L) (3)'!I36,'7.4 (L) (3)'!P36,)</f>
        <v>117</v>
      </c>
      <c r="J36" s="211">
        <f>SUM('7.4 (L)'!J36,'7.4 (L)'!Q36,'7.4 (L) (2)'!J36,'7.4 (L) (2)'!Q36,'7.4 (L) (3)'!J36,'7.4 (L) (3)'!Q36,)</f>
        <v>73</v>
      </c>
      <c r="K36" s="223"/>
      <c r="L36" s="222"/>
    </row>
    <row r="37" spans="2:12" ht="15" customHeight="1">
      <c r="B37" s="153"/>
      <c r="C37" s="152"/>
      <c r="D37" s="149">
        <v>2022</v>
      </c>
      <c r="E37" s="211">
        <f>SUM('7.4 (L)'!E37,'7.4 (L)'!L37,'7.4 (L) (2)'!E37,'7.4 (L) (2)'!L37,'7.4 (L) (3)'!E37,'7.4 (L) (3)'!L37,)</f>
        <v>88</v>
      </c>
      <c r="F37" s="211">
        <f>SUM('7.4 (L)'!F37,'7.4 (L)'!M37,'7.4 (L) (2)'!F37,'7.4 (L) (2)'!M37,'7.4 (L) (3)'!F37,'7.4 (L) (3)'!M37,)</f>
        <v>339</v>
      </c>
      <c r="G37" s="211">
        <f>SUM('7.4 (L)'!G37,'7.4 (L)'!N37,'7.4 (L) (2)'!G37,'7.4 (L) (2)'!N37,'7.4 (L) (3)'!G37,'7.4 (L) (3)'!N37,)</f>
        <v>252</v>
      </c>
      <c r="H37" s="211">
        <f>SUM('7.4 (L)'!H37,'7.4 (L)'!O37,'7.4 (L) (2)'!H37,'7.4 (L) (2)'!O37,'7.4 (L) (3)'!H37,'7.4 (L) (3)'!O37,)</f>
        <v>193</v>
      </c>
      <c r="I37" s="211">
        <f>SUM('7.4 (L)'!I37,'7.4 (L)'!P37,'7.4 (L) (2)'!I37,'7.4 (L) (2)'!P37,'7.4 (L) (3)'!I37,'7.4 (L) (3)'!P37,)</f>
        <v>133</v>
      </c>
      <c r="J37" s="211">
        <f>SUM('7.4 (L)'!J37,'7.4 (L)'!Q37,'7.4 (L) (2)'!J37,'7.4 (L) (2)'!Q37,'7.4 (L) (3)'!J37,'7.4 (L) (3)'!Q37,)</f>
        <v>80</v>
      </c>
      <c r="K37" s="223"/>
      <c r="L37" s="222"/>
    </row>
    <row r="38" spans="2:12" ht="15" customHeight="1">
      <c r="B38" s="153"/>
      <c r="C38" s="152"/>
      <c r="D38" s="149">
        <v>2023</v>
      </c>
      <c r="E38" s="211">
        <f>SUM('7.4 (L)'!E38,'7.4 (L)'!L38,'7.4 (L) (2)'!E38,'7.4 (L) (2)'!L38,'7.4 (L) (3)'!E38,'7.4 (L) (3)'!L38,)</f>
        <v>95</v>
      </c>
      <c r="F38" s="211">
        <f>SUM('7.4 (L)'!F38,'7.4 (L)'!M38,'7.4 (L) (2)'!F38,'7.4 (L) (2)'!M38,'7.4 (L) (3)'!F38,'7.4 (L) (3)'!M38,)</f>
        <v>357</v>
      </c>
      <c r="G38" s="211">
        <f>SUM('7.4 (L)'!G38,'7.4 (L)'!N38,'7.4 (L) (2)'!G38,'7.4 (L) (2)'!N38,'7.4 (L) (3)'!G38,'7.4 (L) (3)'!N38,)</f>
        <v>298</v>
      </c>
      <c r="H38" s="211">
        <f>SUM('7.4 (L)'!H38,'7.4 (L)'!O38,'7.4 (L) (2)'!H38,'7.4 (L) (2)'!O38,'7.4 (L) (3)'!H38,'7.4 (L) (3)'!O38,)</f>
        <v>228</v>
      </c>
      <c r="I38" s="211">
        <f>SUM('7.4 (L)'!I38,'7.4 (L)'!P38,'7.4 (L) (2)'!I38,'7.4 (L) (2)'!P38,'7.4 (L) (3)'!I38,'7.4 (L) (3)'!P38,)</f>
        <v>170</v>
      </c>
      <c r="J38" s="211">
        <f>SUM('7.4 (L)'!J38,'7.4 (L)'!Q38,'7.4 (L) (2)'!J38,'7.4 (L) (2)'!Q38,'7.4 (L) (3)'!J38,'7.4 (L) (3)'!Q38,)</f>
        <v>130</v>
      </c>
      <c r="K38" s="223"/>
      <c r="L38" s="222"/>
    </row>
    <row r="39" spans="2:12" ht="8.1" customHeight="1">
      <c r="B39" s="153"/>
      <c r="C39" s="154"/>
      <c r="D39" s="149"/>
      <c r="E39" s="150"/>
      <c r="F39" s="203"/>
      <c r="G39" s="203"/>
      <c r="H39" s="203"/>
      <c r="I39" s="203"/>
      <c r="J39" s="203"/>
      <c r="K39" s="203"/>
      <c r="L39" s="203"/>
    </row>
    <row r="40" spans="2:12" ht="15" customHeight="1">
      <c r="B40" s="151" t="s">
        <v>99</v>
      </c>
      <c r="C40" s="152"/>
      <c r="D40" s="149">
        <v>2021</v>
      </c>
      <c r="E40" s="211">
        <f>SUM('7.4 (L)'!E40,'7.4 (L)'!L40,'7.4 (L) (2)'!E40,'7.4 (L) (2)'!L40,'7.4 (L) (3)'!E40,'7.4 (L) (3)'!L40,)</f>
        <v>65</v>
      </c>
      <c r="F40" s="211">
        <f>SUM('7.4 (L)'!F40,'7.4 (L)'!M40,'7.4 (L) (2)'!F40,'7.4 (L) (2)'!M40,'7.4 (L) (3)'!F40,'7.4 (L) (3)'!M40,)</f>
        <v>254</v>
      </c>
      <c r="G40" s="211">
        <f>SUM('7.4 (L)'!G40,'7.4 (L)'!N40,'7.4 (L) (2)'!G40,'7.4 (L) (2)'!N40,'7.4 (L) (3)'!G40,'7.4 (L) (3)'!N40,)</f>
        <v>191</v>
      </c>
      <c r="H40" s="211">
        <f>SUM('7.4 (L)'!H40,'7.4 (L)'!O40,'7.4 (L) (2)'!H40,'7.4 (L) (2)'!O40,'7.4 (L) (3)'!H40,'7.4 (L) (3)'!O40,)</f>
        <v>123</v>
      </c>
      <c r="I40" s="211">
        <f>SUM('7.4 (L)'!I40,'7.4 (L)'!P40,'7.4 (L) (2)'!I40,'7.4 (L) (2)'!P40,'7.4 (L) (3)'!I40,'7.4 (L) (3)'!P40,)</f>
        <v>105</v>
      </c>
      <c r="J40" s="211">
        <f>SUM('7.4 (L)'!J40,'7.4 (L)'!Q40,'7.4 (L) (2)'!J40,'7.4 (L) (2)'!Q40,'7.4 (L) (3)'!J40,'7.4 (L) (3)'!Q40,)</f>
        <v>48</v>
      </c>
      <c r="K40" s="223"/>
      <c r="L40" s="222"/>
    </row>
    <row r="41" spans="2:12" ht="15" customHeight="1">
      <c r="B41" s="153"/>
      <c r="C41" s="152"/>
      <c r="D41" s="149">
        <v>2022</v>
      </c>
      <c r="E41" s="211">
        <f>SUM('7.4 (L)'!E41,'7.4 (L)'!L41,'7.4 (L) (2)'!E41,'7.4 (L) (2)'!L41,'7.4 (L) (3)'!E41,'7.4 (L) (3)'!L41,)</f>
        <v>51</v>
      </c>
      <c r="F41" s="211">
        <f>SUM('7.4 (L)'!F41,'7.4 (L)'!M41,'7.4 (L) (2)'!F41,'7.4 (L) (2)'!M41,'7.4 (L) (3)'!F41,'7.4 (L) (3)'!M41,)</f>
        <v>264</v>
      </c>
      <c r="G41" s="211">
        <f>SUM('7.4 (L)'!G41,'7.4 (L)'!N41,'7.4 (L) (2)'!G41,'7.4 (L) (2)'!N41,'7.4 (L) (3)'!G41,'7.4 (L) (3)'!N41,)</f>
        <v>188</v>
      </c>
      <c r="H41" s="211">
        <f>SUM('7.4 (L)'!H41,'7.4 (L)'!O41,'7.4 (L) (2)'!H41,'7.4 (L) (2)'!O41,'7.4 (L) (3)'!H41,'7.4 (L) (3)'!O41,)</f>
        <v>151</v>
      </c>
      <c r="I41" s="211">
        <f>SUM('7.4 (L)'!I41,'7.4 (L)'!P41,'7.4 (L) (2)'!I41,'7.4 (L) (2)'!P41,'7.4 (L) (3)'!I41,'7.4 (L) (3)'!P41,)</f>
        <v>91</v>
      </c>
      <c r="J41" s="211">
        <f>SUM('7.4 (L)'!J41,'7.4 (L)'!Q41,'7.4 (L) (2)'!J41,'7.4 (L) (2)'!Q41,'7.4 (L) (3)'!J41,'7.4 (L) (3)'!Q41,)</f>
        <v>59</v>
      </c>
      <c r="K41" s="223"/>
      <c r="L41" s="222"/>
    </row>
    <row r="42" spans="2:12" ht="15" customHeight="1">
      <c r="B42" s="153"/>
      <c r="C42" s="152"/>
      <c r="D42" s="149">
        <v>2023</v>
      </c>
      <c r="E42" s="211">
        <f>SUM('7.4 (L)'!E42,'7.4 (L)'!L42,'7.4 (L) (2)'!E42,'7.4 (L) (2)'!L42,'7.4 (L) (3)'!E42,'7.4 (L) (3)'!L42,)</f>
        <v>89</v>
      </c>
      <c r="F42" s="211">
        <f>SUM('7.4 (L)'!F42,'7.4 (L)'!M42,'7.4 (L) (2)'!F42,'7.4 (L) (2)'!M42,'7.4 (L) (3)'!F42,'7.4 (L) (3)'!M42,)</f>
        <v>287</v>
      </c>
      <c r="G42" s="211">
        <f>SUM('7.4 (L)'!G42,'7.4 (L)'!N42,'7.4 (L) (2)'!G42,'7.4 (L) (2)'!N42,'7.4 (L) (3)'!G42,'7.4 (L) (3)'!N42,)</f>
        <v>256</v>
      </c>
      <c r="H42" s="211">
        <f>SUM('7.4 (L)'!H42,'7.4 (L)'!O42,'7.4 (L) (2)'!H42,'7.4 (L) (2)'!O42,'7.4 (L) (3)'!H42,'7.4 (L) (3)'!O42,)</f>
        <v>179</v>
      </c>
      <c r="I42" s="211">
        <f>SUM('7.4 (L)'!I42,'7.4 (L)'!P42,'7.4 (L) (2)'!I42,'7.4 (L) (2)'!P42,'7.4 (L) (3)'!I42,'7.4 (L) (3)'!P42,)</f>
        <v>146</v>
      </c>
      <c r="J42" s="211">
        <f>SUM('7.4 (L)'!J42,'7.4 (L)'!Q42,'7.4 (L) (2)'!J42,'7.4 (L) (2)'!Q42,'7.4 (L) (3)'!J42,'7.4 (L) (3)'!Q42,)</f>
        <v>70</v>
      </c>
      <c r="K42" s="223"/>
      <c r="L42" s="222"/>
    </row>
    <row r="43" spans="2:12" ht="8.1" customHeight="1">
      <c r="B43" s="153"/>
      <c r="C43" s="148"/>
      <c r="D43" s="149"/>
      <c r="E43" s="150"/>
      <c r="F43" s="203"/>
      <c r="G43" s="203"/>
      <c r="H43" s="203"/>
      <c r="I43" s="203"/>
      <c r="J43" s="203"/>
      <c r="K43" s="203"/>
      <c r="L43" s="203"/>
    </row>
    <row r="44" spans="2:12" ht="15" customHeight="1">
      <c r="B44" s="151" t="s">
        <v>100</v>
      </c>
      <c r="C44" s="152"/>
      <c r="D44" s="149">
        <v>2021</v>
      </c>
      <c r="E44" s="211">
        <f>SUM('7.4 (L)'!E44,'7.4 (L)'!L44,'7.4 (L) (2)'!E44,'7.4 (L) (2)'!L44,'7.4 (L) (3)'!E44,'7.4 (L) (3)'!L44,)</f>
        <v>107</v>
      </c>
      <c r="F44" s="211">
        <f>SUM('7.4 (L)'!F44,'7.4 (L)'!M44,'7.4 (L) (2)'!F44,'7.4 (L) (2)'!M44,'7.4 (L) (3)'!F44,'7.4 (L) (3)'!M44,)</f>
        <v>530</v>
      </c>
      <c r="G44" s="211">
        <f>SUM('7.4 (L)'!G44,'7.4 (L)'!N44,'7.4 (L) (2)'!G44,'7.4 (L) (2)'!N44,'7.4 (L) (3)'!G44,'7.4 (L) (3)'!N44,)</f>
        <v>309</v>
      </c>
      <c r="H44" s="211">
        <f>SUM('7.4 (L)'!H44,'7.4 (L)'!O44,'7.4 (L) (2)'!H44,'7.4 (L) (2)'!O44,'7.4 (L) (3)'!H44,'7.4 (L) (3)'!O44,)</f>
        <v>236</v>
      </c>
      <c r="I44" s="211">
        <f>SUM('7.4 (L)'!I44,'7.4 (L)'!P44,'7.4 (L) (2)'!I44,'7.4 (L) (2)'!P44,'7.4 (L) (3)'!I44,'7.4 (L) (3)'!P44,)</f>
        <v>149</v>
      </c>
      <c r="J44" s="211">
        <f>SUM('7.4 (L)'!J44,'7.4 (L)'!Q44,'7.4 (L) (2)'!J44,'7.4 (L) (2)'!Q44,'7.4 (L) (3)'!J44,'7.4 (L) (3)'!Q44,)</f>
        <v>80</v>
      </c>
      <c r="K44" s="223"/>
      <c r="L44" s="222"/>
    </row>
    <row r="45" spans="2:12" ht="15" customHeight="1">
      <c r="B45" s="151"/>
      <c r="C45" s="152"/>
      <c r="D45" s="149">
        <v>2022</v>
      </c>
      <c r="E45" s="211">
        <f>SUM('7.4 (L)'!E45,'7.4 (L)'!L45,'7.4 (L) (2)'!E45,'7.4 (L) (2)'!L45,'7.4 (L) (3)'!E45,'7.4 (L) (3)'!L45,)</f>
        <v>62</v>
      </c>
      <c r="F45" s="211">
        <f>SUM('7.4 (L)'!F45,'7.4 (L)'!M45,'7.4 (L) (2)'!F45,'7.4 (L) (2)'!M45,'7.4 (L) (3)'!F45,'7.4 (L) (3)'!M45,)</f>
        <v>349</v>
      </c>
      <c r="G45" s="211">
        <f>SUM('7.4 (L)'!G45,'7.4 (L)'!N45,'7.4 (L) (2)'!G45,'7.4 (L) (2)'!N45,'7.4 (L) (3)'!G45,'7.4 (L) (3)'!N45,)</f>
        <v>208</v>
      </c>
      <c r="H45" s="211">
        <f>SUM('7.4 (L)'!H45,'7.4 (L)'!O45,'7.4 (L) (2)'!H45,'7.4 (L) (2)'!O45,'7.4 (L) (3)'!H45,'7.4 (L) (3)'!O45,)</f>
        <v>159</v>
      </c>
      <c r="I45" s="211">
        <f>SUM('7.4 (L)'!I45,'7.4 (L)'!P45,'7.4 (L) (2)'!I45,'7.4 (L) (2)'!P45,'7.4 (L) (3)'!I45,'7.4 (L) (3)'!P45,)</f>
        <v>112</v>
      </c>
      <c r="J45" s="211">
        <f>SUM('7.4 (L)'!J45,'7.4 (L)'!Q45,'7.4 (L) (2)'!J45,'7.4 (L) (2)'!Q45,'7.4 (L) (3)'!J45,'7.4 (L) (3)'!Q45,)</f>
        <v>67</v>
      </c>
      <c r="K45" s="223"/>
      <c r="L45" s="222"/>
    </row>
    <row r="46" spans="2:12" ht="15" customHeight="1">
      <c r="B46" s="151"/>
      <c r="C46" s="152"/>
      <c r="D46" s="149">
        <v>2023</v>
      </c>
      <c r="E46" s="211">
        <f>SUM('7.4 (L)'!E46,'7.4 (L)'!L46,'7.4 (L) (2)'!E46,'7.4 (L) (2)'!L46,'7.4 (L) (3)'!E46,'7.4 (L) (3)'!L46,)</f>
        <v>76</v>
      </c>
      <c r="F46" s="211">
        <f>SUM('7.4 (L)'!F46,'7.4 (L)'!M46,'7.4 (L) (2)'!F46,'7.4 (L) (2)'!M46,'7.4 (L) (3)'!F46,'7.4 (L) (3)'!M46,)</f>
        <v>479</v>
      </c>
      <c r="G46" s="211">
        <f>SUM('7.4 (L)'!G46,'7.4 (L)'!N46,'7.4 (L) (2)'!G46,'7.4 (L) (2)'!N46,'7.4 (L) (3)'!G46,'7.4 (L) (3)'!N46,)</f>
        <v>319</v>
      </c>
      <c r="H46" s="211">
        <f>SUM('7.4 (L)'!H46,'7.4 (L)'!O46,'7.4 (L) (2)'!H46,'7.4 (L) (2)'!O46,'7.4 (L) (3)'!H46,'7.4 (L) (3)'!O46,)</f>
        <v>284</v>
      </c>
      <c r="I46" s="211">
        <f>SUM('7.4 (L)'!I46,'7.4 (L)'!P46,'7.4 (L) (2)'!I46,'7.4 (L) (2)'!P46,'7.4 (L) (3)'!I46,'7.4 (L) (3)'!P46,)</f>
        <v>164</v>
      </c>
      <c r="J46" s="211">
        <f>SUM('7.4 (L)'!J46,'7.4 (L)'!Q46,'7.4 (L) (2)'!J46,'7.4 (L) (2)'!Q46,'7.4 (L) (3)'!J46,'7.4 (L) (3)'!Q46,)</f>
        <v>104</v>
      </c>
      <c r="K46" s="223"/>
      <c r="L46" s="222"/>
    </row>
    <row r="47" spans="2:12" ht="8.1" customHeight="1">
      <c r="B47" s="151"/>
      <c r="C47" s="154"/>
      <c r="D47" s="149"/>
      <c r="E47" s="150"/>
      <c r="F47" s="203"/>
      <c r="G47" s="203"/>
      <c r="H47" s="203"/>
      <c r="I47" s="203"/>
      <c r="J47" s="203"/>
      <c r="K47" s="203"/>
      <c r="L47" s="203"/>
    </row>
    <row r="48" spans="2:12" ht="15" customHeight="1">
      <c r="B48" s="151" t="s">
        <v>101</v>
      </c>
      <c r="C48" s="152"/>
      <c r="D48" s="149">
        <v>2021</v>
      </c>
      <c r="E48" s="211">
        <f>SUM('7.4 (L)'!E48,'7.4 (L)'!L48,'7.4 (L) (2)'!E48,'7.4 (L) (2)'!L48,'7.4 (L) (3)'!E48,'7.4 (L) (3)'!L48,)</f>
        <v>75</v>
      </c>
      <c r="F48" s="211">
        <f>SUM('7.4 (L)'!F48,'7.4 (L)'!M48,'7.4 (L) (2)'!F48,'7.4 (L) (2)'!M48,'7.4 (L) (3)'!F48,'7.4 (L) (3)'!M48,)</f>
        <v>287</v>
      </c>
      <c r="G48" s="211">
        <f>SUM('7.4 (L)'!G48,'7.4 (L)'!N48,'7.4 (L) (2)'!G48,'7.4 (L) (2)'!N48,'7.4 (L) (3)'!G48,'7.4 (L) (3)'!N48,)</f>
        <v>186</v>
      </c>
      <c r="H48" s="211">
        <f>SUM('7.4 (L)'!H48,'7.4 (L)'!O48,'7.4 (L) (2)'!H48,'7.4 (L) (2)'!O48,'7.4 (L) (3)'!H48,'7.4 (L) (3)'!O48,)</f>
        <v>145</v>
      </c>
      <c r="I48" s="211">
        <f>SUM('7.4 (L)'!I48,'7.4 (L)'!P48,'7.4 (L) (2)'!I48,'7.4 (L) (2)'!P48,'7.4 (L) (3)'!I48,'7.4 (L) (3)'!P48,)</f>
        <v>114</v>
      </c>
      <c r="J48" s="211">
        <f>SUM('7.4 (L)'!J48,'7.4 (L)'!Q48,'7.4 (L) (2)'!J48,'7.4 (L) (2)'!Q48,'7.4 (L) (3)'!J48,'7.4 (L) (3)'!Q48,)</f>
        <v>71</v>
      </c>
      <c r="K48" s="223"/>
      <c r="L48" s="222"/>
    </row>
    <row r="49" spans="2:12" ht="15" customHeight="1">
      <c r="B49" s="153"/>
      <c r="C49" s="152"/>
      <c r="D49" s="149">
        <v>2022</v>
      </c>
      <c r="E49" s="211">
        <f>SUM('7.4 (L)'!E49,'7.4 (L)'!L49,'7.4 (L) (2)'!E49,'7.4 (L) (2)'!L49,'7.4 (L) (3)'!E49,'7.4 (L) (3)'!L49,)</f>
        <v>52</v>
      </c>
      <c r="F49" s="211">
        <f>SUM('7.4 (L)'!F49,'7.4 (L)'!M49,'7.4 (L) (2)'!F49,'7.4 (L) (2)'!M49,'7.4 (L) (3)'!F49,'7.4 (L) (3)'!M49,)</f>
        <v>210</v>
      </c>
      <c r="G49" s="211">
        <f>SUM('7.4 (L)'!G49,'7.4 (L)'!N49,'7.4 (L) (2)'!G49,'7.4 (L) (2)'!N49,'7.4 (L) (3)'!G49,'7.4 (L) (3)'!N49,)</f>
        <v>211</v>
      </c>
      <c r="H49" s="211">
        <f>SUM('7.4 (L)'!H49,'7.4 (L)'!O49,'7.4 (L) (2)'!H49,'7.4 (L) (2)'!O49,'7.4 (L) (3)'!H49,'7.4 (L) (3)'!O49,)</f>
        <v>132</v>
      </c>
      <c r="I49" s="211">
        <f>SUM('7.4 (L)'!I49,'7.4 (L)'!P49,'7.4 (L) (2)'!I49,'7.4 (L) (2)'!P49,'7.4 (L) (3)'!I49,'7.4 (L) (3)'!P49,)</f>
        <v>80</v>
      </c>
      <c r="J49" s="211">
        <f>SUM('7.4 (L)'!J49,'7.4 (L)'!Q49,'7.4 (L) (2)'!J49,'7.4 (L) (2)'!Q49,'7.4 (L) (3)'!J49,'7.4 (L) (3)'!Q49,)</f>
        <v>74</v>
      </c>
      <c r="K49" s="223"/>
      <c r="L49" s="222"/>
    </row>
    <row r="50" spans="2:12" ht="15" customHeight="1">
      <c r="B50" s="153"/>
      <c r="C50" s="152"/>
      <c r="D50" s="149">
        <v>2023</v>
      </c>
      <c r="E50" s="211">
        <f>SUM('7.4 (L)'!E50,'7.4 (L)'!L50,'7.4 (L) (2)'!E50,'7.4 (L) (2)'!L50,'7.4 (L) (3)'!E50,'7.4 (L) (3)'!L50,)</f>
        <v>92</v>
      </c>
      <c r="F50" s="211">
        <f>SUM('7.4 (L)'!F50,'7.4 (L)'!M50,'7.4 (L) (2)'!F50,'7.4 (L) (2)'!M50,'7.4 (L) (3)'!F50,'7.4 (L) (3)'!M50,)</f>
        <v>339</v>
      </c>
      <c r="G50" s="211">
        <f>SUM('7.4 (L)'!G50,'7.4 (L)'!N50,'7.4 (L) (2)'!G50,'7.4 (L) (2)'!N50,'7.4 (L) (3)'!G50,'7.4 (L) (3)'!N50,)</f>
        <v>238</v>
      </c>
      <c r="H50" s="211">
        <f>SUM('7.4 (L)'!H50,'7.4 (L)'!O50,'7.4 (L) (2)'!H50,'7.4 (L) (2)'!O50,'7.4 (L) (3)'!H50,'7.4 (L) (3)'!O50,)</f>
        <v>189</v>
      </c>
      <c r="I50" s="211">
        <f>SUM('7.4 (L)'!I50,'7.4 (L)'!P50,'7.4 (L) (2)'!I50,'7.4 (L) (2)'!P50,'7.4 (L) (3)'!I50,'7.4 (L) (3)'!P50,)</f>
        <v>165</v>
      </c>
      <c r="J50" s="211">
        <f>SUM('7.4 (L)'!J50,'7.4 (L)'!Q50,'7.4 (L) (2)'!J50,'7.4 (L) (2)'!Q50,'7.4 (L) (3)'!J50,'7.4 (L) (3)'!Q50,)</f>
        <v>113</v>
      </c>
      <c r="K50" s="223"/>
      <c r="L50" s="222"/>
    </row>
    <row r="51" spans="2:12" ht="8.1" customHeight="1">
      <c r="B51" s="153"/>
      <c r="C51" s="138"/>
      <c r="D51" s="149"/>
      <c r="E51" s="150"/>
      <c r="F51" s="203"/>
      <c r="G51" s="203"/>
      <c r="H51" s="203"/>
      <c r="I51" s="203"/>
      <c r="J51" s="203"/>
      <c r="K51" s="203"/>
      <c r="L51" s="203"/>
    </row>
    <row r="52" spans="2:12" ht="15" customHeight="1">
      <c r="B52" s="151" t="s">
        <v>102</v>
      </c>
      <c r="C52" s="152"/>
      <c r="D52" s="149">
        <v>2021</v>
      </c>
      <c r="E52" s="211">
        <f>SUM('7.4 (L)'!E52,'7.4 (L)'!L52,'7.4 (L) (2)'!E52,'7.4 (L) (2)'!L52,'7.4 (L) (3)'!E52,'7.4 (L) (3)'!L52,)</f>
        <v>18</v>
      </c>
      <c r="F52" s="211">
        <f>SUM('7.4 (L)'!F52,'7.4 (L)'!M52,'7.4 (L) (2)'!F52,'7.4 (L) (2)'!M52,'7.4 (L) (3)'!F52,'7.4 (L) (3)'!M52,)</f>
        <v>64</v>
      </c>
      <c r="G52" s="211">
        <f>SUM('7.4 (L)'!G52,'7.4 (L)'!N52,'7.4 (L) (2)'!G52,'7.4 (L) (2)'!N52,'7.4 (L) (3)'!G52,'7.4 (L) (3)'!N52,)</f>
        <v>37</v>
      </c>
      <c r="H52" s="211">
        <f>SUM('7.4 (L)'!H52,'7.4 (L)'!O52,'7.4 (L) (2)'!H52,'7.4 (L) (2)'!O52,'7.4 (L) (3)'!H52,'7.4 (L) (3)'!O52,)</f>
        <v>27</v>
      </c>
      <c r="I52" s="211">
        <f>SUM('7.4 (L)'!I52,'7.4 (L)'!P52,'7.4 (L) (2)'!I52,'7.4 (L) (2)'!P52,'7.4 (L) (3)'!I52,'7.4 (L) (3)'!P52,)</f>
        <v>25</v>
      </c>
      <c r="J52" s="211">
        <f>SUM('7.4 (L)'!J52,'7.4 (L)'!Q52,'7.4 (L) (2)'!J52,'7.4 (L) (2)'!Q52,'7.4 (L) (3)'!J52,'7.4 (L) (3)'!Q52,)</f>
        <v>10</v>
      </c>
      <c r="K52" s="223"/>
      <c r="L52" s="222"/>
    </row>
    <row r="53" spans="2:12" ht="15" customHeight="1">
      <c r="B53" s="153"/>
      <c r="C53" s="152"/>
      <c r="D53" s="149">
        <v>2022</v>
      </c>
      <c r="E53" s="211">
        <f>SUM('7.4 (L)'!E53,'7.4 (L)'!L53,'7.4 (L) (2)'!E53,'7.4 (L) (2)'!L53,'7.4 (L) (3)'!E53,'7.4 (L) (3)'!L53,)</f>
        <v>22</v>
      </c>
      <c r="F53" s="211">
        <f>SUM('7.4 (L)'!F53,'7.4 (L)'!M53,'7.4 (L) (2)'!F53,'7.4 (L) (2)'!M53,'7.4 (L) (3)'!F53,'7.4 (L) (3)'!M53,)</f>
        <v>45</v>
      </c>
      <c r="G53" s="211">
        <f>SUM('7.4 (L)'!G53,'7.4 (L)'!N53,'7.4 (L) (2)'!G53,'7.4 (L) (2)'!N53,'7.4 (L) (3)'!G53,'7.4 (L) (3)'!N53,)</f>
        <v>51</v>
      </c>
      <c r="H53" s="211">
        <f>SUM('7.4 (L)'!H53,'7.4 (L)'!O53,'7.4 (L) (2)'!H53,'7.4 (L) (2)'!O53,'7.4 (L) (3)'!H53,'7.4 (L) (3)'!O53,)</f>
        <v>23</v>
      </c>
      <c r="I53" s="211">
        <f>SUM('7.4 (L)'!I53,'7.4 (L)'!P53,'7.4 (L) (2)'!I53,'7.4 (L) (2)'!P53,'7.4 (L) (3)'!I53,'7.4 (L) (3)'!P53,)</f>
        <v>20</v>
      </c>
      <c r="J53" s="211">
        <f>SUM('7.4 (L)'!J53,'7.4 (L)'!Q53,'7.4 (L) (2)'!J53,'7.4 (L) (2)'!Q53,'7.4 (L) (3)'!J53,'7.4 (L) (3)'!Q53,)</f>
        <v>8</v>
      </c>
      <c r="K53" s="223"/>
      <c r="L53" s="222"/>
    </row>
    <row r="54" spans="2:12" ht="15" customHeight="1">
      <c r="B54" s="153"/>
      <c r="C54" s="152"/>
      <c r="D54" s="149">
        <v>2023</v>
      </c>
      <c r="E54" s="211">
        <f>SUM('7.4 (L)'!E54,'7.4 (L)'!L54,'7.4 (L) (2)'!E54,'7.4 (L) (2)'!L54,'7.4 (L) (3)'!E54,'7.4 (L) (3)'!L54,)</f>
        <v>28</v>
      </c>
      <c r="F54" s="211">
        <f>SUM('7.4 (L)'!F54,'7.4 (L)'!M54,'7.4 (L) (2)'!F54,'7.4 (L) (2)'!M54,'7.4 (L) (3)'!F54,'7.4 (L) (3)'!M54,)</f>
        <v>65</v>
      </c>
      <c r="G54" s="211">
        <f>SUM('7.4 (L)'!G54,'7.4 (L)'!N54,'7.4 (L) (2)'!G54,'7.4 (L) (2)'!N54,'7.4 (L) (3)'!G54,'7.4 (L) (3)'!N54,)</f>
        <v>47</v>
      </c>
      <c r="H54" s="211">
        <f>SUM('7.4 (L)'!H54,'7.4 (L)'!O54,'7.4 (L) (2)'!H54,'7.4 (L) (2)'!O54,'7.4 (L) (3)'!H54,'7.4 (L) (3)'!O54,)</f>
        <v>22</v>
      </c>
      <c r="I54" s="211">
        <f>SUM('7.4 (L)'!I54,'7.4 (L)'!P54,'7.4 (L) (2)'!I54,'7.4 (L) (2)'!P54,'7.4 (L) (3)'!I54,'7.4 (L) (3)'!P54,)</f>
        <v>22</v>
      </c>
      <c r="J54" s="211">
        <f>SUM('7.4 (L)'!J54,'7.4 (L)'!Q54,'7.4 (L) (2)'!J54,'7.4 (L) (2)'!Q54,'7.4 (L) (3)'!J54,'7.4 (L) (3)'!Q54,)</f>
        <v>16</v>
      </c>
      <c r="K54" s="223"/>
      <c r="L54" s="222"/>
    </row>
    <row r="55" spans="2:12" ht="8.1" customHeight="1">
      <c r="B55" s="153"/>
      <c r="C55" s="154"/>
      <c r="D55" s="149"/>
      <c r="E55" s="150"/>
      <c r="F55" s="203"/>
      <c r="G55" s="203"/>
      <c r="H55" s="203"/>
      <c r="I55" s="203"/>
      <c r="J55" s="203"/>
      <c r="K55" s="203"/>
      <c r="L55" s="203"/>
    </row>
    <row r="56" spans="2:12" ht="15" customHeight="1">
      <c r="B56" s="151" t="s">
        <v>103</v>
      </c>
      <c r="C56" s="152"/>
      <c r="D56" s="149">
        <v>2021</v>
      </c>
      <c r="E56" s="211">
        <f>SUM('7.4 (L)'!E56,'7.4 (L)'!L56,'7.4 (L) (2)'!E56,'7.4 (L) (2)'!L56,'7.4 (L) (3)'!E56,'7.4 (L) (3)'!L56,)</f>
        <v>102</v>
      </c>
      <c r="F56" s="211">
        <f>SUM('7.4 (L)'!F56,'7.4 (L)'!M56,'7.4 (L) (2)'!F56,'7.4 (L) (2)'!M56,'7.4 (L) (3)'!F56,'7.4 (L) (3)'!M56,)</f>
        <v>548</v>
      </c>
      <c r="G56" s="211">
        <f>SUM('7.4 (L)'!G56,'7.4 (L)'!N56,'7.4 (L) (2)'!G56,'7.4 (L) (2)'!N56,'7.4 (L) (3)'!G56,'7.4 (L) (3)'!N56,)</f>
        <v>431</v>
      </c>
      <c r="H56" s="211">
        <f>SUM('7.4 (L)'!H56,'7.4 (L)'!O56,'7.4 (L) (2)'!H56,'7.4 (L) (2)'!O56,'7.4 (L) (3)'!H56,'7.4 (L) (3)'!O56,)</f>
        <v>372</v>
      </c>
      <c r="I56" s="211">
        <f>SUM('7.4 (L)'!I56,'7.4 (L)'!P56,'7.4 (L) (2)'!I56,'7.4 (L) (2)'!P56,'7.4 (L) (3)'!I56,'7.4 (L) (3)'!P56,)</f>
        <v>222</v>
      </c>
      <c r="J56" s="211">
        <f>SUM('7.4 (L)'!J56,'7.4 (L)'!Q56,'7.4 (L) (2)'!J56,'7.4 (L) (2)'!Q56,'7.4 (L) (3)'!J56,'7.4 (L) (3)'!Q56,)</f>
        <v>121</v>
      </c>
      <c r="K56" s="223"/>
      <c r="L56" s="222"/>
    </row>
    <row r="57" spans="2:12" ht="15" customHeight="1">
      <c r="B57" s="153"/>
      <c r="C57" s="152"/>
      <c r="D57" s="149">
        <v>2022</v>
      </c>
      <c r="E57" s="211">
        <f>SUM('7.4 (L)'!E57,'7.4 (L)'!L57,'7.4 (L) (2)'!E57,'7.4 (L) (2)'!L57,'7.4 (L) (3)'!E57,'7.4 (L) (3)'!L57,)</f>
        <v>41</v>
      </c>
      <c r="F57" s="211">
        <f>SUM('7.4 (L)'!F57,'7.4 (L)'!M57,'7.4 (L) (2)'!F57,'7.4 (L) (2)'!M57,'7.4 (L) (3)'!F57,'7.4 (L) (3)'!M57,)</f>
        <v>348</v>
      </c>
      <c r="G57" s="211">
        <f>SUM('7.4 (L)'!G57,'7.4 (L)'!N57,'7.4 (L) (2)'!G57,'7.4 (L) (2)'!N57,'7.4 (L) (3)'!G57,'7.4 (L) (3)'!N57,)</f>
        <v>316</v>
      </c>
      <c r="H57" s="211">
        <f>SUM('7.4 (L)'!H57,'7.4 (L)'!O57,'7.4 (L) (2)'!H57,'7.4 (L) (2)'!O57,'7.4 (L) (3)'!H57,'7.4 (L) (3)'!O57,)</f>
        <v>231</v>
      </c>
      <c r="I57" s="211">
        <f>SUM('7.4 (L)'!I57,'7.4 (L)'!P57,'7.4 (L) (2)'!I57,'7.4 (L) (2)'!P57,'7.4 (L) (3)'!I57,'7.4 (L) (3)'!P57,)</f>
        <v>173</v>
      </c>
      <c r="J57" s="211">
        <f>SUM('7.4 (L)'!J57,'7.4 (L)'!Q57,'7.4 (L) (2)'!J57,'7.4 (L) (2)'!Q57,'7.4 (L) (3)'!J57,'7.4 (L) (3)'!Q57,)</f>
        <v>99</v>
      </c>
      <c r="K57" s="223"/>
      <c r="L57" s="222"/>
    </row>
    <row r="58" spans="2:12" ht="15" customHeight="1">
      <c r="B58" s="153"/>
      <c r="C58" s="152"/>
      <c r="D58" s="149">
        <v>2023</v>
      </c>
      <c r="E58" s="211">
        <f>SUM('7.4 (L)'!E58,'7.4 (L)'!L58,'7.4 (L) (2)'!E58,'7.4 (L) (2)'!L58,'7.4 (L) (3)'!E58,'7.4 (L) (3)'!L58,)</f>
        <v>134</v>
      </c>
      <c r="F58" s="211">
        <f>SUM('7.4 (L)'!F58,'7.4 (L)'!M58,'7.4 (L) (2)'!F58,'7.4 (L) (2)'!M58,'7.4 (L) (3)'!F58,'7.4 (L) (3)'!M58,)</f>
        <v>835</v>
      </c>
      <c r="G58" s="211">
        <f>SUM('7.4 (L)'!G58,'7.4 (L)'!N58,'7.4 (L) (2)'!G58,'7.4 (L) (2)'!N58,'7.4 (L) (3)'!G58,'7.4 (L) (3)'!N58,)</f>
        <v>700</v>
      </c>
      <c r="H58" s="211">
        <f>SUM('7.4 (L)'!H58,'7.4 (L)'!O58,'7.4 (L) (2)'!H58,'7.4 (L) (2)'!O58,'7.4 (L) (3)'!H58,'7.4 (L) (3)'!O58,)</f>
        <v>516</v>
      </c>
      <c r="I58" s="211">
        <f>SUM('7.4 (L)'!I58,'7.4 (L)'!P58,'7.4 (L) (2)'!I58,'7.4 (L) (2)'!P58,'7.4 (L) (3)'!I58,'7.4 (L) (3)'!P58,)</f>
        <v>392</v>
      </c>
      <c r="J58" s="211">
        <f>SUM('7.4 (L)'!J58,'7.4 (L)'!Q58,'7.4 (L) (2)'!J58,'7.4 (L) (2)'!Q58,'7.4 (L) (3)'!J58,'7.4 (L) (3)'!Q58,)</f>
        <v>292</v>
      </c>
      <c r="K58" s="223"/>
      <c r="L58" s="222"/>
    </row>
    <row r="59" spans="2:12" ht="8.1" customHeight="1">
      <c r="B59" s="153"/>
      <c r="C59" s="148"/>
      <c r="D59" s="149"/>
      <c r="E59" s="150"/>
      <c r="F59" s="203"/>
      <c r="G59" s="203"/>
      <c r="H59" s="203"/>
      <c r="I59" s="203"/>
      <c r="J59" s="203"/>
      <c r="K59" s="203"/>
      <c r="L59" s="203"/>
    </row>
    <row r="60" spans="2:12" ht="15" customHeight="1">
      <c r="B60" s="151" t="s">
        <v>104</v>
      </c>
      <c r="C60" s="152"/>
      <c r="D60" s="149">
        <v>2021</v>
      </c>
      <c r="E60" s="211">
        <f>SUM('7.4 (L)'!E60,'7.4 (L)'!L60,'7.4 (L) (2)'!E60,'7.4 (L) (2)'!L60,'7.4 (L) (3)'!E60,'7.4 (L) (3)'!L60,)</f>
        <v>57</v>
      </c>
      <c r="F60" s="211">
        <f>SUM('7.4 (L)'!F60,'7.4 (L)'!M60,'7.4 (L) (2)'!F60,'7.4 (L) (2)'!M60,'7.4 (L) (3)'!F60,'7.4 (L) (3)'!M60,)</f>
        <v>194</v>
      </c>
      <c r="G60" s="211">
        <f>SUM('7.4 (L)'!G60,'7.4 (L)'!N60,'7.4 (L) (2)'!G60,'7.4 (L) (2)'!N60,'7.4 (L) (3)'!G60,'7.4 (L) (3)'!N60,)</f>
        <v>120</v>
      </c>
      <c r="H60" s="211">
        <f>SUM('7.4 (L)'!H60,'7.4 (L)'!O60,'7.4 (L) (2)'!H60,'7.4 (L) (2)'!O60,'7.4 (L) (3)'!H60,'7.4 (L) (3)'!O60,)</f>
        <v>90</v>
      </c>
      <c r="I60" s="211">
        <f>SUM('7.4 (L)'!I60,'7.4 (L)'!P60,'7.4 (L) (2)'!I60,'7.4 (L) (2)'!P60,'7.4 (L) (3)'!I60,'7.4 (L) (3)'!P60,)</f>
        <v>68</v>
      </c>
      <c r="J60" s="211">
        <f>SUM('7.4 (L)'!J60,'7.4 (L)'!Q60,'7.4 (L) (2)'!J60,'7.4 (L) (2)'!Q60,'7.4 (L) (3)'!J60,'7.4 (L) (3)'!Q60,)</f>
        <v>18</v>
      </c>
      <c r="K60" s="223"/>
      <c r="L60" s="222"/>
    </row>
    <row r="61" spans="2:12" ht="15" customHeight="1">
      <c r="B61" s="153"/>
      <c r="C61" s="152"/>
      <c r="D61" s="149">
        <v>2022</v>
      </c>
      <c r="E61" s="211">
        <f>SUM('7.4 (L)'!E61,'7.4 (L)'!L61,'7.4 (L) (2)'!E61,'7.4 (L) (2)'!L61,'7.4 (L) (3)'!E61,'7.4 (L) (3)'!L61,)</f>
        <v>37</v>
      </c>
      <c r="F61" s="211">
        <f>SUM('7.4 (L)'!F61,'7.4 (L)'!M61,'7.4 (L) (2)'!F61,'7.4 (L) (2)'!M61,'7.4 (L) (3)'!F61,'7.4 (L) (3)'!M61,)</f>
        <v>161</v>
      </c>
      <c r="G61" s="211">
        <f>SUM('7.4 (L)'!G61,'7.4 (L)'!N61,'7.4 (L) (2)'!G61,'7.4 (L) (2)'!N61,'7.4 (L) (3)'!G61,'7.4 (L) (3)'!N61,)</f>
        <v>146</v>
      </c>
      <c r="H61" s="211">
        <f>SUM('7.4 (L)'!H61,'7.4 (L)'!O61,'7.4 (L) (2)'!H61,'7.4 (L) (2)'!O61,'7.4 (L) (3)'!H61,'7.4 (L) (3)'!O61,)</f>
        <v>97</v>
      </c>
      <c r="I61" s="211">
        <f>SUM('7.4 (L)'!I61,'7.4 (L)'!P61,'7.4 (L) (2)'!I61,'7.4 (L) (2)'!P61,'7.4 (L) (3)'!I61,'7.4 (L) (3)'!P61,)</f>
        <v>68</v>
      </c>
      <c r="J61" s="211">
        <f>SUM('7.4 (L)'!J61,'7.4 (L)'!Q61,'7.4 (L) (2)'!J61,'7.4 (L) (2)'!Q61,'7.4 (L) (3)'!J61,'7.4 (L) (3)'!Q61,)</f>
        <v>36</v>
      </c>
      <c r="K61" s="223"/>
      <c r="L61" s="222"/>
    </row>
    <row r="62" spans="2:12" ht="15" customHeight="1">
      <c r="B62" s="153"/>
      <c r="C62" s="152"/>
      <c r="D62" s="149">
        <v>2023</v>
      </c>
      <c r="E62" s="211">
        <f>SUM('7.4 (L)'!E62,'7.4 (L)'!L62,'7.4 (L) (2)'!E62,'7.4 (L) (2)'!L62,'7.4 (L) (3)'!E62,'7.4 (L) (3)'!L62,)</f>
        <v>37</v>
      </c>
      <c r="F62" s="211">
        <f>SUM('7.4 (L)'!F62,'7.4 (L)'!M62,'7.4 (L) (2)'!F62,'7.4 (L) (2)'!M62,'7.4 (L) (3)'!F62,'7.4 (L) (3)'!M62,)</f>
        <v>146</v>
      </c>
      <c r="G62" s="211">
        <f>SUM('7.4 (L)'!G62,'7.4 (L)'!N62,'7.4 (L) (2)'!G62,'7.4 (L) (2)'!N62,'7.4 (L) (3)'!G62,'7.4 (L) (3)'!N62,)</f>
        <v>134</v>
      </c>
      <c r="H62" s="211">
        <f>SUM('7.4 (L)'!H62,'7.4 (L)'!O62,'7.4 (L) (2)'!H62,'7.4 (L) (2)'!O62,'7.4 (L) (3)'!H62,'7.4 (L) (3)'!O62,)</f>
        <v>88</v>
      </c>
      <c r="I62" s="211">
        <f>SUM('7.4 (L)'!I62,'7.4 (L)'!P62,'7.4 (L) (2)'!I62,'7.4 (L) (2)'!P62,'7.4 (L) (3)'!I62,'7.4 (L) (3)'!P62,)</f>
        <v>87</v>
      </c>
      <c r="J62" s="211">
        <f>SUM('7.4 (L)'!J62,'7.4 (L)'!Q62,'7.4 (L) (2)'!J62,'7.4 (L) (2)'!Q62,'7.4 (L) (3)'!J62,'7.4 (L) (3)'!Q62,)</f>
        <v>39</v>
      </c>
      <c r="K62" s="223"/>
      <c r="L62" s="222"/>
    </row>
    <row r="63" spans="2:12" ht="8.1" customHeight="1">
      <c r="B63" s="153"/>
      <c r="C63" s="154"/>
      <c r="D63" s="149"/>
      <c r="E63" s="150"/>
      <c r="F63" s="203"/>
      <c r="G63" s="203"/>
      <c r="H63" s="203"/>
      <c r="I63" s="203"/>
      <c r="J63" s="203"/>
      <c r="K63" s="203"/>
      <c r="L63" s="203"/>
    </row>
    <row r="64" spans="2:12" ht="15" customHeight="1">
      <c r="B64" s="151" t="s">
        <v>108</v>
      </c>
      <c r="C64" s="152"/>
      <c r="D64" s="149">
        <v>2021</v>
      </c>
      <c r="E64" s="211">
        <f>SUM('7.4 (L)'!E64,'7.4 (L)'!L64,'7.4 (L) (2)'!E64,'7.4 (L) (2)'!L64,'7.4 (L) (3)'!E64,'7.4 (L) (3)'!L64,)</f>
        <v>37</v>
      </c>
      <c r="F64" s="211">
        <f>SUM('7.4 (L)'!F64,'7.4 (L)'!M64,'7.4 (L) (2)'!F64,'7.4 (L) (2)'!M64,'7.4 (L) (3)'!F64,'7.4 (L) (3)'!M64,)</f>
        <v>152</v>
      </c>
      <c r="G64" s="211">
        <f>SUM('7.4 (L)'!G64,'7.4 (L)'!N64,'7.4 (L) (2)'!G64,'7.4 (L) (2)'!N64,'7.4 (L) (3)'!G64,'7.4 (L) (3)'!N64,)</f>
        <v>142</v>
      </c>
      <c r="H64" s="211">
        <f>SUM('7.4 (L)'!H64,'7.4 (L)'!O64,'7.4 (L) (2)'!H64,'7.4 (L) (2)'!O64,'7.4 (L) (3)'!H64,'7.4 (L) (3)'!O64,)</f>
        <v>124</v>
      </c>
      <c r="I64" s="211">
        <f>SUM('7.4 (L)'!I64,'7.4 (L)'!P64,'7.4 (L) (2)'!I64,'7.4 (L) (2)'!P64,'7.4 (L) (3)'!I64,'7.4 (L) (3)'!P64,)</f>
        <v>80</v>
      </c>
      <c r="J64" s="211">
        <f>SUM('7.4 (L)'!J64,'7.4 (L)'!Q64,'7.4 (L) (2)'!J64,'7.4 (L) (2)'!Q64,'7.4 (L) (3)'!J64,'7.4 (L) (3)'!Q64,)</f>
        <v>42</v>
      </c>
      <c r="K64" s="223"/>
      <c r="L64" s="222"/>
    </row>
    <row r="65" spans="1:12" ht="15" customHeight="1">
      <c r="B65" s="153"/>
      <c r="C65" s="152"/>
      <c r="D65" s="149">
        <v>2022</v>
      </c>
      <c r="E65" s="211">
        <f>SUM('7.4 (L)'!E65,'7.4 (L)'!L65,'7.4 (L) (2)'!E65,'7.4 (L) (2)'!L65,'7.4 (L) (3)'!E65,'7.4 (L) (3)'!L65,)</f>
        <v>21</v>
      </c>
      <c r="F65" s="211">
        <f>SUM('7.4 (L)'!F65,'7.4 (L)'!M65,'7.4 (L) (2)'!F65,'7.4 (L) (2)'!M65,'7.4 (L) (3)'!F65,'7.4 (L) (3)'!M65,)</f>
        <v>153</v>
      </c>
      <c r="G65" s="211">
        <f>SUM('7.4 (L)'!G65,'7.4 (L)'!N65,'7.4 (L) (2)'!G65,'7.4 (L) (2)'!N65,'7.4 (L) (3)'!G65,'7.4 (L) (3)'!N65,)</f>
        <v>162</v>
      </c>
      <c r="H65" s="211">
        <f>SUM('7.4 (L)'!H65,'7.4 (L)'!O65,'7.4 (L) (2)'!H65,'7.4 (L) (2)'!O65,'7.4 (L) (3)'!H65,'7.4 (L) (3)'!O65,)</f>
        <v>108</v>
      </c>
      <c r="I65" s="211">
        <f>SUM('7.4 (L)'!I65,'7.4 (L)'!P65,'7.4 (L) (2)'!I65,'7.4 (L) (2)'!P65,'7.4 (L) (3)'!I65,'7.4 (L) (3)'!P65,)</f>
        <v>83</v>
      </c>
      <c r="J65" s="211">
        <f>SUM('7.4 (L)'!J65,'7.4 (L)'!Q65,'7.4 (L) (2)'!J65,'7.4 (L) (2)'!Q65,'7.4 (L) (3)'!J65,'7.4 (L) (3)'!Q65,)</f>
        <v>43</v>
      </c>
      <c r="K65" s="223"/>
      <c r="L65" s="222"/>
    </row>
    <row r="66" spans="1:12" ht="15" customHeight="1">
      <c r="B66" s="153"/>
      <c r="C66" s="152"/>
      <c r="D66" s="149">
        <v>2023</v>
      </c>
      <c r="E66" s="211">
        <f>SUM('7.4 (L)'!E66,'7.4 (L)'!L66,'7.4 (L) (2)'!E66,'7.4 (L) (2)'!L66,'7.4 (L) (3)'!E66,'7.4 (L) (3)'!L66,)</f>
        <v>28</v>
      </c>
      <c r="F66" s="211">
        <f>SUM('7.4 (L)'!F66,'7.4 (L)'!M66,'7.4 (L) (2)'!F66,'7.4 (L) (2)'!M66,'7.4 (L) (3)'!F66,'7.4 (L) (3)'!M66,)</f>
        <v>214</v>
      </c>
      <c r="G66" s="211">
        <f>SUM('7.4 (L)'!G66,'7.4 (L)'!N66,'7.4 (L) (2)'!G66,'7.4 (L) (2)'!N66,'7.4 (L) (3)'!G66,'7.4 (L) (3)'!N66,)</f>
        <v>238</v>
      </c>
      <c r="H66" s="211">
        <f>SUM('7.4 (L)'!H66,'7.4 (L)'!O66,'7.4 (L) (2)'!H66,'7.4 (L) (2)'!O66,'7.4 (L) (3)'!H66,'7.4 (L) (3)'!O66,)</f>
        <v>200</v>
      </c>
      <c r="I66" s="211">
        <f>SUM('7.4 (L)'!I66,'7.4 (L)'!P66,'7.4 (L) (2)'!I66,'7.4 (L) (2)'!P66,'7.4 (L) (3)'!I66,'7.4 (L) (3)'!P66,)</f>
        <v>129</v>
      </c>
      <c r="J66" s="211">
        <f>SUM('7.4 (L)'!J66,'7.4 (L)'!Q66,'7.4 (L) (2)'!J66,'7.4 (L) (2)'!Q66,'7.4 (L) (3)'!J66,'7.4 (L) (3)'!Q66,)</f>
        <v>66</v>
      </c>
      <c r="K66" s="223"/>
      <c r="L66" s="222"/>
    </row>
    <row r="67" spans="1:12" ht="8.1" customHeight="1">
      <c r="B67" s="155"/>
      <c r="C67" s="145"/>
      <c r="D67" s="149"/>
      <c r="E67" s="150"/>
      <c r="F67" s="203"/>
      <c r="G67" s="203"/>
      <c r="H67" s="203"/>
      <c r="I67" s="203"/>
      <c r="J67" s="203"/>
      <c r="K67" s="203"/>
      <c r="L67" s="203"/>
    </row>
    <row r="68" spans="1:12" ht="15" customHeight="1">
      <c r="B68" s="151" t="s">
        <v>105</v>
      </c>
      <c r="C68" s="152"/>
      <c r="D68" s="149">
        <v>2021</v>
      </c>
      <c r="E68" s="211">
        <f>SUM('7.4 (L)'!E68,'7.4 (L)'!L68,'7.4 (L) (2)'!E68,'7.4 (L) (2)'!L68,'7.4 (L) (3)'!E68,'7.4 (L) (3)'!L68,)</f>
        <v>96</v>
      </c>
      <c r="F68" s="211">
        <f>SUM('7.4 (L)'!F68,'7.4 (L)'!M68,'7.4 (L) (2)'!F68,'7.4 (L) (2)'!M68,'7.4 (L) (3)'!F68,'7.4 (L) (3)'!M68,)</f>
        <v>363</v>
      </c>
      <c r="G68" s="211">
        <f>SUM('7.4 (L)'!G68,'7.4 (L)'!N68,'7.4 (L) (2)'!G68,'7.4 (L) (2)'!N68,'7.4 (L) (3)'!G68,'7.4 (L) (3)'!N68,)</f>
        <v>268</v>
      </c>
      <c r="H68" s="211">
        <f>SUM('7.4 (L)'!H68,'7.4 (L)'!O68,'7.4 (L) (2)'!H68,'7.4 (L) (2)'!O68,'7.4 (L) (3)'!H68,'7.4 (L) (3)'!O68,)</f>
        <v>202</v>
      </c>
      <c r="I68" s="211">
        <f>SUM('7.4 (L)'!I68,'7.4 (L)'!P68,'7.4 (L) (2)'!I68,'7.4 (L) (2)'!P68,'7.4 (L) (3)'!I68,'7.4 (L) (3)'!P68,)</f>
        <v>112</v>
      </c>
      <c r="J68" s="211">
        <f>SUM('7.4 (L)'!J68,'7.4 (L)'!Q68,'7.4 (L) (2)'!J68,'7.4 (L) (2)'!Q68,'7.4 (L) (3)'!J68,'7.4 (L) (3)'!Q68,)</f>
        <v>69</v>
      </c>
      <c r="K68" s="223"/>
      <c r="L68" s="222"/>
    </row>
    <row r="69" spans="1:12" ht="15" customHeight="1">
      <c r="B69" s="153"/>
      <c r="C69" s="152"/>
      <c r="D69" s="149">
        <v>2022</v>
      </c>
      <c r="E69" s="211">
        <f>SUM('7.4 (L)'!E69,'7.4 (L)'!L69,'7.4 (L) (2)'!E69,'7.4 (L) (2)'!L69,'7.4 (L) (3)'!E69,'7.4 (L) (3)'!L69,)</f>
        <v>65</v>
      </c>
      <c r="F69" s="211">
        <f>SUM('7.4 (L)'!F69,'7.4 (L)'!M69,'7.4 (L) (2)'!F69,'7.4 (L) (2)'!M69,'7.4 (L) (3)'!F69,'7.4 (L) (3)'!M69,)</f>
        <v>252</v>
      </c>
      <c r="G69" s="211">
        <f>SUM('7.4 (L)'!G69,'7.4 (L)'!N69,'7.4 (L) (2)'!G69,'7.4 (L) (2)'!N69,'7.4 (L) (3)'!G69,'7.4 (L) (3)'!N69,)</f>
        <v>223</v>
      </c>
      <c r="H69" s="211">
        <f>SUM('7.4 (L)'!H69,'7.4 (L)'!O69,'7.4 (L) (2)'!H69,'7.4 (L) (2)'!O69,'7.4 (L) (3)'!H69,'7.4 (L) (3)'!O69,)</f>
        <v>185</v>
      </c>
      <c r="I69" s="211">
        <f>SUM('7.4 (L)'!I69,'7.4 (L)'!P69,'7.4 (L) (2)'!I69,'7.4 (L) (2)'!P69,'7.4 (L) (3)'!I69,'7.4 (L) (3)'!P69,)</f>
        <v>101</v>
      </c>
      <c r="J69" s="211">
        <f>SUM('7.4 (L)'!J69,'7.4 (L)'!Q69,'7.4 (L) (2)'!J69,'7.4 (L) (2)'!Q69,'7.4 (L) (3)'!J69,'7.4 (L) (3)'!Q69,)</f>
        <v>64</v>
      </c>
      <c r="K69" s="223"/>
      <c r="L69" s="222"/>
    </row>
    <row r="70" spans="1:12" ht="15" customHeight="1">
      <c r="B70" s="153"/>
      <c r="C70" s="152"/>
      <c r="D70" s="149">
        <v>2023</v>
      </c>
      <c r="E70" s="211">
        <f>SUM('7.4 (L)'!E70,'7.4 (L)'!L70,'7.4 (L) (2)'!E70,'7.4 (L) (2)'!L70,'7.4 (L) (3)'!E70,'7.4 (L) (3)'!L70,)</f>
        <v>75</v>
      </c>
      <c r="F70" s="211">
        <f>SUM('7.4 (L)'!F70,'7.4 (L)'!M70,'7.4 (L) (2)'!F70,'7.4 (L) (2)'!M70,'7.4 (L) (3)'!F70,'7.4 (L) (3)'!M70,)</f>
        <v>337</v>
      </c>
      <c r="G70" s="211">
        <f>SUM('7.4 (L)'!G70,'7.4 (L)'!N70,'7.4 (L) (2)'!G70,'7.4 (L) (2)'!N70,'7.4 (L) (3)'!G70,'7.4 (L) (3)'!N70,)</f>
        <v>274</v>
      </c>
      <c r="H70" s="211">
        <f>SUM('7.4 (L)'!H70,'7.4 (L)'!O70,'7.4 (L) (2)'!H70,'7.4 (L) (2)'!O70,'7.4 (L) (3)'!H70,'7.4 (L) (3)'!O70,)</f>
        <v>259</v>
      </c>
      <c r="I70" s="211">
        <f>SUM('7.4 (L)'!I70,'7.4 (L)'!P70,'7.4 (L) (2)'!I70,'7.4 (L) (2)'!P70,'7.4 (L) (3)'!I70,'7.4 (L) (3)'!P70,)</f>
        <v>148</v>
      </c>
      <c r="J70" s="211">
        <f>SUM('7.4 (L)'!J70,'7.4 (L)'!Q70,'7.4 (L) (2)'!J70,'7.4 (L) (2)'!Q70,'7.4 (L) (3)'!J70,'7.4 (L) (3)'!Q70,)</f>
        <v>96</v>
      </c>
      <c r="K70" s="223"/>
      <c r="L70" s="222"/>
    </row>
    <row r="71" spans="1:12" ht="8.1" customHeight="1">
      <c r="B71" s="153"/>
      <c r="C71" s="151"/>
      <c r="D71" s="149"/>
      <c r="E71" s="150"/>
      <c r="F71" s="203"/>
      <c r="G71" s="203"/>
      <c r="H71" s="203"/>
      <c r="I71" s="203"/>
      <c r="J71" s="203"/>
      <c r="K71" s="203"/>
      <c r="L71" s="203"/>
    </row>
    <row r="72" spans="1:12" ht="15" customHeight="1">
      <c r="B72" s="151" t="s">
        <v>109</v>
      </c>
      <c r="C72" s="152"/>
      <c r="D72" s="149">
        <v>2021</v>
      </c>
      <c r="E72" s="211">
        <f>SUM('7.4 (L)'!E72,'7.4 (L)'!L72,'7.4 (L) (2)'!E72,'7.4 (L) (2)'!L72,'7.4 (L) (3)'!E72,'7.4 (L) (3)'!L72,)</f>
        <v>83</v>
      </c>
      <c r="F72" s="211">
        <f>SUM('7.4 (L)'!F72,'7.4 (L)'!M72,'7.4 (L) (2)'!F72,'7.4 (L) (2)'!M72,'7.4 (L) (3)'!F72,'7.4 (L) (3)'!M72,)</f>
        <v>625</v>
      </c>
      <c r="G72" s="211">
        <f>SUM('7.4 (L)'!G72,'7.4 (L)'!N72,'7.4 (L) (2)'!G72,'7.4 (L) (2)'!N72,'7.4 (L) (3)'!G72,'7.4 (L) (3)'!N72,)</f>
        <v>483</v>
      </c>
      <c r="H72" s="211">
        <f>SUM('7.4 (L)'!H72,'7.4 (L)'!O72,'7.4 (L) (2)'!H72,'7.4 (L) (2)'!O72,'7.4 (L) (3)'!H72,'7.4 (L) (3)'!O72,)</f>
        <v>272</v>
      </c>
      <c r="I72" s="211">
        <f>SUM('7.4 (L)'!I72,'7.4 (L)'!P72,'7.4 (L) (2)'!I72,'7.4 (L) (2)'!P72,'7.4 (L) (3)'!I72,'7.4 (L) (3)'!P72,)</f>
        <v>185</v>
      </c>
      <c r="J72" s="211">
        <f>SUM('7.4 (L)'!J72,'7.4 (L)'!Q72,'7.4 (L) (2)'!J72,'7.4 (L) (2)'!Q72,'7.4 (L) (3)'!J72,'7.4 (L) (3)'!Q72,)</f>
        <v>108</v>
      </c>
      <c r="K72" s="223"/>
      <c r="L72" s="222"/>
    </row>
    <row r="73" spans="1:12" ht="15" customHeight="1">
      <c r="B73" s="153"/>
      <c r="C73" s="152"/>
      <c r="D73" s="149">
        <v>2022</v>
      </c>
      <c r="E73" s="211">
        <f>SUM('7.4 (L)'!E73,'7.4 (L)'!L73,'7.4 (L) (2)'!E73,'7.4 (L) (2)'!L73,'7.4 (L) (3)'!E73,'7.4 (L) (3)'!L73,)</f>
        <v>57</v>
      </c>
      <c r="F73" s="211">
        <f>SUM('7.4 (L)'!F73,'7.4 (L)'!M73,'7.4 (L) (2)'!F73,'7.4 (L) (2)'!M73,'7.4 (L) (3)'!F73,'7.4 (L) (3)'!M73,)</f>
        <v>509</v>
      </c>
      <c r="G73" s="211">
        <f>SUM('7.4 (L)'!G73,'7.4 (L)'!N73,'7.4 (L) (2)'!G73,'7.4 (L) (2)'!N73,'7.4 (L) (3)'!G73,'7.4 (L) (3)'!N73,)</f>
        <v>437</v>
      </c>
      <c r="H73" s="211">
        <f>SUM('7.4 (L)'!H73,'7.4 (L)'!O73,'7.4 (L) (2)'!H73,'7.4 (L) (2)'!O73,'7.4 (L) (3)'!H73,'7.4 (L) (3)'!O73,)</f>
        <v>231</v>
      </c>
      <c r="I73" s="211">
        <f>SUM('7.4 (L)'!I73,'7.4 (L)'!P73,'7.4 (L) (2)'!I73,'7.4 (L) (2)'!P73,'7.4 (L) (3)'!I73,'7.4 (L) (3)'!P73,)</f>
        <v>123</v>
      </c>
      <c r="J73" s="211">
        <f>SUM('7.4 (L)'!J73,'7.4 (L)'!Q73,'7.4 (L) (2)'!J73,'7.4 (L) (2)'!Q73,'7.4 (L) (3)'!J73,'7.4 (L) (3)'!Q73,)</f>
        <v>103</v>
      </c>
      <c r="K73" s="223"/>
      <c r="L73" s="222"/>
    </row>
    <row r="74" spans="1:12" ht="15" customHeight="1">
      <c r="A74" s="177"/>
      <c r="B74" s="225"/>
      <c r="C74" s="226"/>
      <c r="D74" s="227">
        <v>2023</v>
      </c>
      <c r="E74" s="211">
        <f>SUM('7.4 (L)'!E74,'7.4 (L)'!L74,'7.4 (L) (2)'!E74,'7.4 (L) (2)'!L74,'7.4 (L) (3)'!E74,'7.4 (L) (3)'!L74,)</f>
        <v>78</v>
      </c>
      <c r="F74" s="211">
        <f>SUM('7.4 (L)'!F74,'7.4 (L)'!M74,'7.4 (L) (2)'!F74,'7.4 (L) (2)'!M74,'7.4 (L) (3)'!F74,'7.4 (L) (3)'!M74,)</f>
        <v>583</v>
      </c>
      <c r="G74" s="211">
        <f>SUM('7.4 (L)'!G74,'7.4 (L)'!N74,'7.4 (L) (2)'!G74,'7.4 (L) (2)'!N74,'7.4 (L) (3)'!G74,'7.4 (L) (3)'!N74,)</f>
        <v>613</v>
      </c>
      <c r="H74" s="211">
        <f>SUM('7.4 (L)'!H74,'7.4 (L)'!O74,'7.4 (L) (2)'!H74,'7.4 (L) (2)'!O74,'7.4 (L) (3)'!H74,'7.4 (L) (3)'!O74,)</f>
        <v>331</v>
      </c>
      <c r="I74" s="211">
        <f>SUM('7.4 (L)'!I74,'7.4 (L)'!P74,'7.4 (L) (2)'!I74,'7.4 (L) (2)'!P74,'7.4 (L) (3)'!I74,'7.4 (L) (3)'!P74,)</f>
        <v>192</v>
      </c>
      <c r="J74" s="211">
        <f>SUM('7.4 (L)'!J74,'7.4 (L)'!Q74,'7.4 (L) (2)'!J74,'7.4 (L) (2)'!Q74,'7.4 (L) (3)'!J74,'7.4 (L) (3)'!Q74,)</f>
        <v>148</v>
      </c>
      <c r="K74" s="223"/>
      <c r="L74" s="222"/>
    </row>
    <row r="75" spans="1:12" ht="8.1" customHeight="1" thickBot="1">
      <c r="A75" s="156"/>
      <c r="B75" s="156"/>
      <c r="C75" s="156"/>
      <c r="D75" s="157"/>
      <c r="E75" s="158"/>
      <c r="F75" s="158"/>
      <c r="G75" s="158"/>
      <c r="H75" s="158"/>
      <c r="I75" s="158"/>
      <c r="J75" s="158"/>
      <c r="K75" s="158"/>
      <c r="L75" s="158"/>
    </row>
    <row r="76" spans="1:12" s="87" customFormat="1" ht="15.95" customHeight="1">
      <c r="B76" s="88"/>
      <c r="C76" s="89"/>
      <c r="D76" s="90"/>
      <c r="E76" s="91"/>
      <c r="F76" s="91"/>
      <c r="L76" s="92" t="s">
        <v>19</v>
      </c>
    </row>
    <row r="77" spans="1:12" s="87" customFormat="1" ht="15.95" customHeight="1">
      <c r="B77" s="88"/>
      <c r="C77" s="89"/>
      <c r="D77" s="90"/>
      <c r="E77" s="91"/>
      <c r="F77" s="91"/>
      <c r="L77" s="93" t="s">
        <v>20</v>
      </c>
    </row>
    <row r="78" spans="1:12" ht="15" customHeight="1">
      <c r="B78" s="212"/>
      <c r="C78" s="213"/>
      <c r="D78" s="214"/>
      <c r="E78" s="219"/>
      <c r="F78" s="220"/>
      <c r="G78" s="220"/>
      <c r="H78" s="220"/>
      <c r="I78" s="220"/>
      <c r="J78" s="220"/>
      <c r="K78" s="220"/>
      <c r="L78" s="220"/>
    </row>
    <row r="79" spans="1:12" ht="15" customHeight="1">
      <c r="D79" s="217"/>
      <c r="E79" s="216"/>
      <c r="F79" s="216"/>
      <c r="G79" s="216"/>
      <c r="H79" s="216"/>
    </row>
    <row r="80" spans="1:12" ht="15" customHeight="1">
      <c r="B80" s="138"/>
      <c r="C80" s="138"/>
      <c r="D80" s="139"/>
      <c r="E80" s="140"/>
      <c r="F80" s="140"/>
      <c r="G80" s="140"/>
      <c r="H80" s="140"/>
      <c r="I80" s="140"/>
      <c r="J80" s="140"/>
      <c r="K80" s="140"/>
      <c r="L80" s="140"/>
    </row>
    <row r="81" spans="2:12" ht="15" customHeight="1">
      <c r="B81" s="138"/>
      <c r="C81" s="138"/>
      <c r="D81" s="139"/>
      <c r="E81" s="140"/>
      <c r="F81" s="140"/>
      <c r="G81" s="140"/>
      <c r="H81" s="140"/>
      <c r="I81" s="140"/>
      <c r="J81" s="140"/>
      <c r="K81" s="140"/>
      <c r="L81" s="140"/>
    </row>
    <row r="82" spans="2:12" ht="15" customHeight="1">
      <c r="B82" s="138"/>
      <c r="C82" s="138"/>
      <c r="D82" s="139"/>
      <c r="E82" s="140"/>
      <c r="F82" s="140"/>
      <c r="G82" s="140"/>
      <c r="H82" s="140"/>
      <c r="I82" s="140"/>
      <c r="J82" s="140"/>
      <c r="K82" s="140"/>
      <c r="L82" s="140"/>
    </row>
    <row r="83" spans="2:12" ht="15" customHeight="1">
      <c r="B83" s="138"/>
      <c r="C83" s="138"/>
      <c r="D83" s="139"/>
      <c r="E83" s="140"/>
      <c r="F83" s="140"/>
      <c r="G83" s="140"/>
      <c r="H83" s="140"/>
      <c r="I83" s="140"/>
      <c r="J83" s="140"/>
      <c r="K83" s="140"/>
      <c r="L83" s="140"/>
    </row>
    <row r="84" spans="2:12" ht="15" customHeight="1">
      <c r="B84" s="138"/>
      <c r="C84" s="138"/>
      <c r="D84" s="139"/>
      <c r="E84" s="140"/>
      <c r="F84" s="140"/>
      <c r="G84" s="140"/>
      <c r="H84" s="140"/>
      <c r="I84" s="140"/>
      <c r="J84" s="140"/>
      <c r="K84" s="140"/>
      <c r="L84" s="140"/>
    </row>
    <row r="85" spans="2:12" ht="15" customHeight="1">
      <c r="B85" s="138"/>
      <c r="C85" s="138"/>
      <c r="D85" s="139"/>
      <c r="E85" s="140"/>
      <c r="F85" s="140"/>
      <c r="G85" s="140"/>
      <c r="H85" s="140"/>
      <c r="I85" s="140"/>
      <c r="J85" s="140"/>
      <c r="K85" s="140"/>
      <c r="L85" s="140"/>
    </row>
    <row r="86" spans="2:12" ht="15" customHeight="1">
      <c r="B86" s="138"/>
      <c r="C86" s="138"/>
      <c r="D86" s="139"/>
      <c r="E86" s="140"/>
      <c r="F86" s="140"/>
      <c r="G86" s="140"/>
      <c r="H86" s="140"/>
      <c r="I86" s="140"/>
      <c r="J86" s="140"/>
      <c r="K86" s="140"/>
      <c r="L86" s="140"/>
    </row>
    <row r="87" spans="2:12" ht="15" customHeight="1">
      <c r="B87" s="138"/>
      <c r="C87" s="138"/>
      <c r="D87" s="139"/>
      <c r="E87" s="140"/>
      <c r="F87" s="140"/>
      <c r="G87" s="140"/>
      <c r="H87" s="140"/>
      <c r="I87" s="140"/>
      <c r="J87" s="140"/>
      <c r="K87" s="140"/>
      <c r="L87" s="140"/>
    </row>
    <row r="88" spans="2:12" ht="15" customHeight="1">
      <c r="B88" s="138"/>
      <c r="C88" s="138"/>
      <c r="D88" s="139"/>
      <c r="E88" s="140"/>
      <c r="F88" s="140"/>
      <c r="G88" s="140"/>
      <c r="H88" s="140"/>
      <c r="I88" s="140"/>
      <c r="J88" s="140"/>
      <c r="K88" s="140"/>
      <c r="L88" s="140"/>
    </row>
    <row r="89" spans="2:12" ht="15" customHeight="1">
      <c r="B89" s="138"/>
      <c r="C89" s="138"/>
      <c r="D89" s="139"/>
      <c r="E89" s="140"/>
      <c r="F89" s="140"/>
      <c r="G89" s="140"/>
      <c r="H89" s="140"/>
      <c r="I89" s="140"/>
      <c r="J89" s="140"/>
      <c r="K89" s="140"/>
      <c r="L89" s="140"/>
    </row>
    <row r="90" spans="2:12" ht="15" customHeight="1">
      <c r="B90" s="138"/>
      <c r="C90" s="138"/>
      <c r="D90" s="139"/>
      <c r="E90" s="140"/>
      <c r="F90" s="140"/>
      <c r="G90" s="140"/>
      <c r="H90" s="140"/>
      <c r="I90" s="140"/>
      <c r="J90" s="140"/>
      <c r="K90" s="140"/>
      <c r="L90" s="140"/>
    </row>
    <row r="91" spans="2:12" ht="15" customHeight="1">
      <c r="B91" s="138"/>
      <c r="C91" s="138"/>
      <c r="D91" s="139"/>
      <c r="E91" s="140"/>
      <c r="F91" s="140"/>
      <c r="G91" s="140"/>
      <c r="H91" s="140"/>
      <c r="I91" s="140"/>
      <c r="J91" s="140"/>
      <c r="K91" s="140"/>
      <c r="L91" s="140"/>
    </row>
    <row r="92" spans="2:12" ht="15" customHeight="1">
      <c r="B92" s="138"/>
      <c r="C92" s="138"/>
      <c r="D92" s="139"/>
      <c r="E92" s="140"/>
      <c r="F92" s="140"/>
      <c r="G92" s="140"/>
      <c r="H92" s="140"/>
      <c r="I92" s="140"/>
      <c r="J92" s="140"/>
      <c r="K92" s="140"/>
      <c r="L92" s="140"/>
    </row>
    <row r="93" spans="2:12" ht="15" customHeight="1">
      <c r="B93" s="138"/>
      <c r="C93" s="138"/>
      <c r="D93" s="139"/>
      <c r="E93" s="140"/>
      <c r="F93" s="140"/>
      <c r="G93" s="140"/>
      <c r="H93" s="140"/>
      <c r="I93" s="140"/>
      <c r="J93" s="140"/>
      <c r="K93" s="140"/>
      <c r="L93" s="140"/>
    </row>
    <row r="94" spans="2:12" ht="15" customHeight="1">
      <c r="B94" s="138"/>
      <c r="C94" s="138"/>
      <c r="D94" s="139"/>
      <c r="E94" s="140"/>
      <c r="F94" s="140"/>
      <c r="G94" s="140"/>
      <c r="H94" s="140"/>
      <c r="I94" s="140"/>
      <c r="J94" s="140"/>
      <c r="K94" s="140"/>
      <c r="L94" s="140"/>
    </row>
    <row r="95" spans="2:12" ht="15" customHeight="1">
      <c r="B95" s="138"/>
      <c r="C95" s="138"/>
      <c r="D95" s="139"/>
      <c r="E95" s="140"/>
      <c r="F95" s="140"/>
      <c r="G95" s="140"/>
      <c r="H95" s="140"/>
      <c r="I95" s="140"/>
      <c r="J95" s="140"/>
      <c r="K95" s="140"/>
      <c r="L95" s="140"/>
    </row>
    <row r="96" spans="2:12" ht="15" customHeight="1">
      <c r="B96" s="138"/>
      <c r="C96" s="138"/>
      <c r="D96" s="139"/>
      <c r="E96" s="140"/>
      <c r="F96" s="140"/>
      <c r="G96" s="140"/>
      <c r="H96" s="140"/>
      <c r="I96" s="140"/>
      <c r="J96" s="140"/>
      <c r="K96" s="140"/>
      <c r="L96" s="140"/>
    </row>
    <row r="97" spans="2:12" ht="15" customHeight="1">
      <c r="B97" s="138"/>
      <c r="C97" s="138"/>
      <c r="D97" s="139"/>
      <c r="E97" s="140"/>
      <c r="F97" s="140"/>
      <c r="G97" s="140"/>
      <c r="H97" s="140"/>
      <c r="I97" s="140"/>
      <c r="J97" s="140"/>
      <c r="K97" s="140"/>
      <c r="L97" s="140"/>
    </row>
    <row r="98" spans="2:12" ht="15" customHeight="1">
      <c r="B98" s="138"/>
      <c r="C98" s="138"/>
      <c r="D98" s="139"/>
      <c r="E98" s="140"/>
      <c r="F98" s="140"/>
      <c r="G98" s="140"/>
      <c r="H98" s="140"/>
      <c r="I98" s="140"/>
      <c r="J98" s="140"/>
      <c r="K98" s="140"/>
      <c r="L98" s="140"/>
    </row>
    <row r="99" spans="2:12" ht="15" customHeight="1">
      <c r="B99" s="138"/>
      <c r="C99" s="138"/>
      <c r="D99" s="139"/>
      <c r="E99" s="140"/>
      <c r="F99" s="140"/>
      <c r="G99" s="140"/>
      <c r="H99" s="140"/>
      <c r="I99" s="140"/>
      <c r="J99" s="140"/>
      <c r="K99" s="140"/>
      <c r="L99" s="140"/>
    </row>
    <row r="100" spans="2:12" ht="15" customHeight="1">
      <c r="B100" s="138"/>
      <c r="C100" s="138"/>
      <c r="D100" s="139"/>
      <c r="E100" s="140"/>
      <c r="F100" s="140"/>
      <c r="G100" s="140"/>
      <c r="H100" s="140"/>
      <c r="I100" s="140"/>
      <c r="J100" s="140"/>
      <c r="K100" s="140"/>
      <c r="L100" s="140"/>
    </row>
    <row r="101" spans="2:12" ht="15" customHeight="1">
      <c r="B101" s="138"/>
      <c r="C101" s="138"/>
      <c r="D101" s="139"/>
      <c r="E101" s="140"/>
      <c r="F101" s="140"/>
      <c r="G101" s="140"/>
      <c r="H101" s="140"/>
      <c r="I101" s="140"/>
      <c r="J101" s="140"/>
      <c r="K101" s="140"/>
      <c r="L101" s="140"/>
    </row>
    <row r="102" spans="2:12" ht="15" customHeight="1">
      <c r="B102" s="138"/>
      <c r="C102" s="138"/>
      <c r="D102" s="139"/>
      <c r="E102" s="140"/>
      <c r="F102" s="140"/>
      <c r="G102" s="140"/>
      <c r="H102" s="140"/>
      <c r="I102" s="140"/>
      <c r="J102" s="140"/>
      <c r="K102" s="140"/>
      <c r="L102" s="140"/>
    </row>
    <row r="103" spans="2:12" ht="15" customHeight="1">
      <c r="B103" s="138"/>
      <c r="C103" s="138"/>
      <c r="D103" s="139"/>
      <c r="E103" s="140"/>
      <c r="F103" s="140"/>
      <c r="G103" s="140"/>
      <c r="H103" s="140"/>
      <c r="I103" s="140"/>
      <c r="J103" s="140"/>
      <c r="K103" s="140"/>
      <c r="L103" s="140"/>
    </row>
    <row r="104" spans="2:12" ht="15" customHeight="1">
      <c r="B104" s="138"/>
      <c r="C104" s="138"/>
      <c r="D104" s="139"/>
      <c r="E104" s="140"/>
      <c r="F104" s="140"/>
      <c r="G104" s="140"/>
      <c r="H104" s="140"/>
      <c r="I104" s="140"/>
      <c r="J104" s="140"/>
      <c r="K104" s="140"/>
      <c r="L104" s="140"/>
    </row>
    <row r="105" spans="2:12" ht="15" customHeight="1">
      <c r="B105" s="138"/>
      <c r="C105" s="138"/>
      <c r="D105" s="139"/>
      <c r="E105" s="140"/>
      <c r="F105" s="140"/>
      <c r="G105" s="140"/>
      <c r="H105" s="140"/>
      <c r="I105" s="140"/>
      <c r="J105" s="140"/>
      <c r="K105" s="140"/>
      <c r="L105" s="140"/>
    </row>
    <row r="106" spans="2:12" ht="15" customHeight="1">
      <c r="B106" s="138"/>
      <c r="C106" s="138"/>
      <c r="D106" s="139"/>
      <c r="E106" s="140"/>
      <c r="F106" s="140"/>
      <c r="G106" s="140"/>
      <c r="H106" s="140"/>
      <c r="I106" s="140"/>
      <c r="J106" s="140"/>
      <c r="K106" s="140"/>
      <c r="L106" s="140"/>
    </row>
    <row r="107" spans="2:12" ht="15" customHeight="1">
      <c r="B107" s="138"/>
      <c r="C107" s="138"/>
      <c r="D107" s="139"/>
      <c r="E107" s="140"/>
      <c r="F107" s="140"/>
      <c r="G107" s="140"/>
      <c r="H107" s="140"/>
      <c r="I107" s="140"/>
      <c r="J107" s="140"/>
      <c r="K107" s="140"/>
      <c r="L107" s="140"/>
    </row>
    <row r="108" spans="2:12" ht="15" customHeight="1">
      <c r="B108" s="138"/>
      <c r="C108" s="138"/>
      <c r="D108" s="139"/>
      <c r="E108" s="140"/>
      <c r="F108" s="140"/>
      <c r="G108" s="140"/>
      <c r="H108" s="140"/>
      <c r="I108" s="140"/>
      <c r="J108" s="140"/>
      <c r="K108" s="140"/>
      <c r="L108" s="140"/>
    </row>
    <row r="109" spans="2:12" ht="15" customHeight="1">
      <c r="B109" s="138"/>
      <c r="C109" s="138"/>
      <c r="D109" s="139"/>
      <c r="E109" s="140"/>
      <c r="F109" s="140"/>
      <c r="G109" s="140"/>
      <c r="H109" s="140"/>
      <c r="I109" s="140"/>
      <c r="J109" s="140"/>
      <c r="K109" s="140"/>
      <c r="L109" s="140"/>
    </row>
    <row r="110" spans="2:12" ht="15" customHeight="1">
      <c r="B110" s="138"/>
      <c r="C110" s="138"/>
      <c r="D110" s="139"/>
      <c r="E110" s="140"/>
      <c r="F110" s="140"/>
      <c r="G110" s="140"/>
      <c r="H110" s="140"/>
      <c r="I110" s="140"/>
      <c r="J110" s="140"/>
      <c r="K110" s="140"/>
      <c r="L110" s="140"/>
    </row>
    <row r="111" spans="2:12" ht="15" customHeight="1">
      <c r="B111" s="138"/>
      <c r="C111" s="138"/>
      <c r="D111" s="139"/>
      <c r="E111" s="140"/>
      <c r="F111" s="140"/>
      <c r="G111" s="140"/>
      <c r="H111" s="140"/>
      <c r="I111" s="140"/>
      <c r="J111" s="140"/>
      <c r="K111" s="140"/>
      <c r="L111" s="140"/>
    </row>
    <row r="112" spans="2:12" ht="15" customHeight="1">
      <c r="B112" s="138"/>
      <c r="C112" s="138"/>
      <c r="D112" s="139"/>
      <c r="E112" s="140"/>
      <c r="F112" s="140"/>
      <c r="G112" s="140"/>
      <c r="H112" s="140"/>
      <c r="I112" s="140"/>
      <c r="J112" s="140"/>
      <c r="K112" s="140"/>
      <c r="L112" s="140"/>
    </row>
    <row r="113" spans="2:12" ht="15" customHeight="1">
      <c r="B113" s="138"/>
      <c r="C113" s="138"/>
      <c r="D113" s="139"/>
      <c r="E113" s="140"/>
      <c r="F113" s="140"/>
      <c r="G113" s="140"/>
      <c r="H113" s="140"/>
      <c r="I113" s="140"/>
      <c r="J113" s="140"/>
      <c r="K113" s="140"/>
      <c r="L113" s="140"/>
    </row>
    <row r="114" spans="2:12" ht="15" customHeight="1">
      <c r="B114" s="138"/>
      <c r="C114" s="138"/>
      <c r="D114" s="139"/>
      <c r="E114" s="140"/>
      <c r="F114" s="140"/>
      <c r="G114" s="140"/>
      <c r="H114" s="140"/>
      <c r="I114" s="140"/>
      <c r="J114" s="140"/>
      <c r="K114" s="140"/>
      <c r="L114" s="140"/>
    </row>
    <row r="115" spans="2:12" ht="15" customHeight="1">
      <c r="B115" s="138"/>
      <c r="C115" s="138"/>
      <c r="D115" s="139"/>
      <c r="E115" s="140"/>
      <c r="F115" s="140"/>
      <c r="G115" s="140"/>
      <c r="H115" s="140"/>
      <c r="I115" s="140"/>
      <c r="J115" s="140"/>
      <c r="K115" s="140"/>
      <c r="L115" s="140"/>
    </row>
    <row r="116" spans="2:12" ht="15" customHeight="1">
      <c r="B116" s="138"/>
      <c r="C116" s="138"/>
      <c r="D116" s="139"/>
      <c r="E116" s="140"/>
      <c r="F116" s="140"/>
      <c r="G116" s="140"/>
      <c r="H116" s="140"/>
      <c r="I116" s="140"/>
      <c r="J116" s="140"/>
      <c r="K116" s="140"/>
      <c r="L116" s="140"/>
    </row>
    <row r="117" spans="2:12" ht="15" customHeight="1">
      <c r="B117" s="138"/>
      <c r="C117" s="138"/>
      <c r="D117" s="139"/>
      <c r="E117" s="140"/>
      <c r="F117" s="140"/>
      <c r="G117" s="140"/>
      <c r="H117" s="140"/>
      <c r="I117" s="140"/>
      <c r="J117" s="140"/>
      <c r="K117" s="140"/>
      <c r="L117" s="140"/>
    </row>
    <row r="118" spans="2:12" ht="15" customHeight="1">
      <c r="B118" s="138"/>
      <c r="C118" s="138"/>
      <c r="D118" s="139"/>
      <c r="E118" s="140"/>
      <c r="F118" s="140"/>
      <c r="G118" s="140"/>
      <c r="H118" s="140"/>
      <c r="I118" s="140"/>
      <c r="J118" s="140"/>
      <c r="K118" s="140"/>
      <c r="L118" s="140"/>
    </row>
    <row r="119" spans="2:12" ht="15" customHeight="1">
      <c r="B119" s="138"/>
      <c r="C119" s="138"/>
      <c r="D119" s="139"/>
      <c r="E119" s="140"/>
      <c r="F119" s="140"/>
      <c r="G119" s="140"/>
      <c r="H119" s="140"/>
      <c r="I119" s="140"/>
      <c r="J119" s="140"/>
      <c r="K119" s="140"/>
      <c r="L119" s="140"/>
    </row>
    <row r="120" spans="2:12" ht="15" customHeight="1">
      <c r="B120" s="138"/>
      <c r="C120" s="138"/>
      <c r="D120" s="139"/>
      <c r="E120" s="140"/>
      <c r="F120" s="140"/>
      <c r="G120" s="140"/>
      <c r="H120" s="140"/>
      <c r="I120" s="140"/>
      <c r="J120" s="140"/>
      <c r="K120" s="140"/>
      <c r="L120" s="140"/>
    </row>
    <row r="121" spans="2:12" ht="15" customHeight="1">
      <c r="B121" s="138"/>
      <c r="C121" s="138"/>
      <c r="D121" s="139"/>
      <c r="E121" s="140"/>
      <c r="F121" s="140"/>
      <c r="G121" s="140"/>
      <c r="H121" s="140"/>
      <c r="I121" s="140"/>
      <c r="J121" s="140"/>
      <c r="K121" s="140"/>
      <c r="L121" s="140"/>
    </row>
    <row r="122" spans="2:12" ht="15" customHeight="1">
      <c r="B122" s="138"/>
      <c r="C122" s="138"/>
      <c r="D122" s="139"/>
      <c r="E122" s="140"/>
      <c r="F122" s="140"/>
      <c r="G122" s="140"/>
      <c r="H122" s="140"/>
      <c r="I122" s="140"/>
      <c r="J122" s="140"/>
      <c r="K122" s="140"/>
      <c r="L122" s="140"/>
    </row>
    <row r="123" spans="2:12" ht="15" customHeight="1">
      <c r="B123" s="138"/>
      <c r="C123" s="138"/>
      <c r="D123" s="139"/>
      <c r="E123" s="140"/>
      <c r="F123" s="140"/>
      <c r="G123" s="140"/>
      <c r="H123" s="140"/>
      <c r="I123" s="140"/>
      <c r="J123" s="140"/>
      <c r="K123" s="140"/>
      <c r="L123" s="140"/>
    </row>
    <row r="124" spans="2:12" ht="15" customHeight="1">
      <c r="B124" s="138"/>
      <c r="C124" s="138"/>
      <c r="D124" s="139"/>
      <c r="E124" s="140"/>
      <c r="F124" s="140"/>
      <c r="G124" s="140"/>
      <c r="H124" s="140"/>
      <c r="I124" s="140"/>
      <c r="J124" s="140"/>
      <c r="K124" s="140"/>
      <c r="L124" s="140"/>
    </row>
    <row r="125" spans="2:12" ht="15" customHeight="1">
      <c r="B125" s="138"/>
      <c r="C125" s="138"/>
      <c r="D125" s="139"/>
      <c r="E125" s="140"/>
      <c r="F125" s="140"/>
      <c r="G125" s="140"/>
      <c r="H125" s="140"/>
      <c r="I125" s="140"/>
      <c r="J125" s="140"/>
      <c r="K125" s="140"/>
      <c r="L125" s="140"/>
    </row>
    <row r="126" spans="2:12" ht="15" customHeight="1">
      <c r="B126" s="138"/>
      <c r="C126" s="138"/>
      <c r="D126" s="139"/>
      <c r="E126" s="140"/>
      <c r="F126" s="140"/>
      <c r="G126" s="140"/>
      <c r="H126" s="140"/>
      <c r="I126" s="140"/>
      <c r="J126" s="140"/>
      <c r="K126" s="140"/>
      <c r="L126" s="140"/>
    </row>
    <row r="127" spans="2:12" ht="15" customHeight="1">
      <c r="B127" s="138"/>
      <c r="C127" s="138"/>
      <c r="D127" s="139"/>
      <c r="E127" s="140"/>
      <c r="F127" s="140"/>
      <c r="G127" s="140"/>
      <c r="H127" s="140"/>
      <c r="I127" s="140"/>
      <c r="J127" s="140"/>
      <c r="K127" s="140"/>
      <c r="L127" s="140"/>
    </row>
    <row r="128" spans="2:12" ht="15" customHeight="1">
      <c r="B128" s="138"/>
      <c r="C128" s="138"/>
      <c r="D128" s="139"/>
      <c r="E128" s="140"/>
      <c r="F128" s="140"/>
      <c r="G128" s="140"/>
      <c r="H128" s="140"/>
      <c r="I128" s="140"/>
      <c r="J128" s="140"/>
      <c r="K128" s="140"/>
      <c r="L128" s="140"/>
    </row>
    <row r="129" spans="2:12" ht="15" customHeight="1">
      <c r="B129" s="138"/>
      <c r="C129" s="138"/>
      <c r="D129" s="139"/>
      <c r="E129" s="140"/>
      <c r="F129" s="140"/>
      <c r="G129" s="140"/>
      <c r="H129" s="140"/>
      <c r="I129" s="140"/>
      <c r="J129" s="140"/>
      <c r="K129" s="140"/>
      <c r="L129" s="140"/>
    </row>
    <row r="130" spans="2:12" ht="15" customHeight="1">
      <c r="B130" s="138"/>
      <c r="C130" s="138"/>
      <c r="D130" s="139"/>
      <c r="E130" s="140"/>
      <c r="F130" s="140"/>
      <c r="G130" s="140"/>
      <c r="H130" s="140"/>
      <c r="I130" s="140"/>
      <c r="J130" s="140"/>
      <c r="K130" s="140"/>
      <c r="L130" s="140"/>
    </row>
    <row r="131" spans="2:12" ht="15" customHeight="1">
      <c r="B131" s="138"/>
      <c r="C131" s="138"/>
      <c r="D131" s="139"/>
      <c r="E131" s="140"/>
      <c r="F131" s="140"/>
      <c r="G131" s="140"/>
      <c r="H131" s="140"/>
      <c r="I131" s="140"/>
      <c r="J131" s="140"/>
      <c r="K131" s="140"/>
      <c r="L131" s="140"/>
    </row>
    <row r="132" spans="2:12" ht="15" customHeight="1">
      <c r="B132" s="138"/>
      <c r="C132" s="138"/>
      <c r="D132" s="139"/>
      <c r="E132" s="140"/>
      <c r="F132" s="140"/>
      <c r="G132" s="140"/>
      <c r="H132" s="140"/>
      <c r="I132" s="140"/>
      <c r="J132" s="140"/>
      <c r="K132" s="140"/>
      <c r="L132" s="140"/>
    </row>
    <row r="133" spans="2:12" ht="15" customHeight="1">
      <c r="B133" s="138"/>
      <c r="C133" s="138"/>
      <c r="D133" s="139"/>
      <c r="E133" s="140"/>
      <c r="F133" s="140"/>
      <c r="G133" s="140"/>
      <c r="H133" s="140"/>
      <c r="I133" s="140"/>
      <c r="J133" s="140"/>
      <c r="K133" s="140"/>
      <c r="L133" s="140"/>
    </row>
    <row r="134" spans="2:12" ht="15" customHeight="1">
      <c r="B134" s="138"/>
      <c r="C134" s="138"/>
      <c r="D134" s="139"/>
      <c r="E134" s="140"/>
      <c r="F134" s="140"/>
      <c r="G134" s="140"/>
      <c r="H134" s="140"/>
      <c r="I134" s="140"/>
      <c r="J134" s="140"/>
      <c r="K134" s="140"/>
      <c r="L134" s="140"/>
    </row>
    <row r="135" spans="2:12" ht="15" customHeight="1">
      <c r="B135" s="138"/>
      <c r="C135" s="138"/>
      <c r="D135" s="139"/>
      <c r="E135" s="140"/>
      <c r="F135" s="140"/>
      <c r="G135" s="140"/>
      <c r="H135" s="140"/>
      <c r="I135" s="140"/>
      <c r="J135" s="140"/>
      <c r="K135" s="140"/>
      <c r="L135" s="140"/>
    </row>
    <row r="136" spans="2:12" ht="15" customHeight="1">
      <c r="B136" s="138"/>
      <c r="C136" s="138"/>
      <c r="D136" s="139"/>
      <c r="E136" s="140"/>
      <c r="F136" s="140"/>
      <c r="G136" s="140"/>
      <c r="H136" s="140"/>
      <c r="I136" s="140"/>
      <c r="J136" s="140"/>
      <c r="K136" s="140"/>
      <c r="L136" s="140"/>
    </row>
    <row r="137" spans="2:12" ht="15" customHeight="1">
      <c r="B137" s="138"/>
      <c r="C137" s="138"/>
      <c r="D137" s="139"/>
      <c r="E137" s="140"/>
      <c r="F137" s="140"/>
      <c r="G137" s="140"/>
      <c r="H137" s="140"/>
      <c r="I137" s="140"/>
      <c r="J137" s="140"/>
      <c r="K137" s="140"/>
      <c r="L137" s="140"/>
    </row>
    <row r="138" spans="2:12" ht="15" customHeight="1">
      <c r="B138" s="138"/>
      <c r="C138" s="138"/>
      <c r="D138" s="139"/>
      <c r="E138" s="140"/>
      <c r="F138" s="140"/>
      <c r="G138" s="140"/>
      <c r="H138" s="140"/>
      <c r="I138" s="140"/>
      <c r="J138" s="140"/>
      <c r="K138" s="140"/>
      <c r="L138" s="140"/>
    </row>
    <row r="139" spans="2:12" ht="15" customHeight="1">
      <c r="B139" s="138"/>
      <c r="C139" s="138"/>
      <c r="D139" s="139"/>
      <c r="E139" s="140"/>
      <c r="F139" s="140"/>
      <c r="G139" s="140"/>
      <c r="H139" s="140"/>
      <c r="I139" s="140"/>
      <c r="J139" s="140"/>
      <c r="K139" s="140"/>
      <c r="L139" s="140"/>
    </row>
    <row r="140" spans="2:12" ht="15" customHeight="1">
      <c r="B140" s="138"/>
      <c r="C140" s="138"/>
      <c r="D140" s="139"/>
      <c r="E140" s="140"/>
      <c r="F140" s="140"/>
      <c r="G140" s="140"/>
      <c r="H140" s="140"/>
      <c r="I140" s="140"/>
      <c r="J140" s="140"/>
      <c r="K140" s="140"/>
      <c r="L140" s="140"/>
    </row>
    <row r="141" spans="2:12" ht="15" customHeight="1">
      <c r="B141" s="138"/>
      <c r="C141" s="138"/>
      <c r="D141" s="139"/>
      <c r="E141" s="140"/>
      <c r="F141" s="140"/>
      <c r="G141" s="140"/>
      <c r="H141" s="140"/>
      <c r="I141" s="140"/>
      <c r="J141" s="140"/>
      <c r="K141" s="140"/>
      <c r="L141" s="140"/>
    </row>
    <row r="142" spans="2:12" ht="15" customHeight="1">
      <c r="B142" s="138"/>
      <c r="C142" s="138"/>
      <c r="D142" s="139"/>
      <c r="E142" s="140"/>
      <c r="F142" s="140"/>
      <c r="G142" s="140"/>
      <c r="H142" s="140"/>
      <c r="I142" s="140"/>
      <c r="J142" s="140"/>
      <c r="K142" s="140"/>
      <c r="L142" s="140"/>
    </row>
    <row r="143" spans="2:12" ht="15" customHeight="1">
      <c r="B143" s="138"/>
      <c r="C143" s="138"/>
      <c r="D143" s="139"/>
      <c r="E143" s="140"/>
      <c r="F143" s="140"/>
      <c r="G143" s="140"/>
      <c r="H143" s="140"/>
      <c r="I143" s="140"/>
      <c r="J143" s="140"/>
      <c r="K143" s="140"/>
      <c r="L143" s="140"/>
    </row>
    <row r="144" spans="2:12" ht="15" customHeight="1">
      <c r="B144" s="138"/>
      <c r="C144" s="138"/>
      <c r="D144" s="139"/>
      <c r="E144" s="140"/>
      <c r="F144" s="140"/>
      <c r="G144" s="140"/>
      <c r="H144" s="140"/>
      <c r="I144" s="140"/>
      <c r="J144" s="140"/>
      <c r="K144" s="140"/>
      <c r="L144" s="140"/>
    </row>
    <row r="145" spans="2:12" ht="15" customHeight="1">
      <c r="B145" s="138"/>
      <c r="C145" s="138"/>
      <c r="D145" s="139"/>
      <c r="E145" s="140"/>
      <c r="F145" s="140"/>
      <c r="G145" s="140"/>
      <c r="H145" s="140"/>
      <c r="I145" s="140"/>
      <c r="J145" s="140"/>
      <c r="K145" s="140"/>
      <c r="L145" s="140"/>
    </row>
    <row r="146" spans="2:12" ht="15" customHeight="1">
      <c r="B146" s="138"/>
      <c r="C146" s="138"/>
      <c r="D146" s="139"/>
      <c r="E146" s="140"/>
      <c r="F146" s="140"/>
      <c r="G146" s="140"/>
      <c r="H146" s="140"/>
      <c r="I146" s="140"/>
      <c r="J146" s="140"/>
      <c r="K146" s="140"/>
      <c r="L146" s="140"/>
    </row>
    <row r="147" spans="2:12" ht="15" customHeight="1">
      <c r="B147" s="138"/>
      <c r="C147" s="138"/>
      <c r="D147" s="139"/>
      <c r="E147" s="140"/>
      <c r="F147" s="140"/>
      <c r="G147" s="140"/>
      <c r="H147" s="140"/>
      <c r="I147" s="140"/>
      <c r="J147" s="140"/>
      <c r="K147" s="140"/>
      <c r="L147" s="140"/>
    </row>
    <row r="148" spans="2:12" ht="15" customHeight="1">
      <c r="B148" s="138"/>
      <c r="C148" s="138"/>
      <c r="D148" s="139"/>
      <c r="E148" s="140"/>
      <c r="F148" s="140"/>
      <c r="G148" s="140"/>
      <c r="H148" s="140"/>
      <c r="I148" s="140"/>
      <c r="J148" s="140"/>
      <c r="K148" s="140"/>
      <c r="L148" s="140"/>
    </row>
    <row r="149" spans="2:12" ht="15" customHeight="1">
      <c r="B149" s="138"/>
      <c r="C149" s="138"/>
      <c r="D149" s="139"/>
      <c r="E149" s="140"/>
      <c r="F149" s="140"/>
      <c r="G149" s="140"/>
      <c r="H149" s="140"/>
      <c r="I149" s="140"/>
      <c r="J149" s="140"/>
      <c r="K149" s="140"/>
      <c r="L149" s="140"/>
    </row>
    <row r="150" spans="2:12" ht="15" customHeight="1">
      <c r="B150" s="138"/>
      <c r="C150" s="138"/>
      <c r="D150" s="139"/>
      <c r="E150" s="140"/>
      <c r="F150" s="140"/>
      <c r="G150" s="140"/>
      <c r="H150" s="140"/>
      <c r="I150" s="140"/>
      <c r="J150" s="140"/>
      <c r="K150" s="140"/>
      <c r="L150" s="140"/>
    </row>
    <row r="151" spans="2:12" ht="15" customHeight="1">
      <c r="B151" s="138"/>
      <c r="C151" s="138"/>
      <c r="D151" s="139"/>
      <c r="E151" s="140"/>
      <c r="F151" s="140"/>
      <c r="G151" s="140"/>
      <c r="H151" s="140"/>
      <c r="I151" s="140"/>
      <c r="J151" s="140"/>
      <c r="K151" s="140"/>
      <c r="L151" s="140"/>
    </row>
    <row r="152" spans="2:12" ht="15" customHeight="1">
      <c r="B152" s="138"/>
      <c r="C152" s="138"/>
      <c r="D152" s="139"/>
      <c r="E152" s="140"/>
      <c r="F152" s="140"/>
      <c r="G152" s="140"/>
      <c r="H152" s="140"/>
      <c r="I152" s="140"/>
      <c r="J152" s="140"/>
      <c r="K152" s="140"/>
      <c r="L152" s="140"/>
    </row>
    <row r="153" spans="2:12" ht="15" customHeight="1">
      <c r="B153" s="138"/>
      <c r="C153" s="138"/>
      <c r="D153" s="139"/>
      <c r="E153" s="140"/>
      <c r="F153" s="140"/>
      <c r="G153" s="140"/>
      <c r="H153" s="140"/>
      <c r="I153" s="140"/>
      <c r="J153" s="140"/>
      <c r="K153" s="140"/>
      <c r="L153" s="140"/>
    </row>
    <row r="154" spans="2:12" ht="15" customHeight="1">
      <c r="B154" s="138"/>
      <c r="C154" s="138"/>
      <c r="D154" s="139"/>
      <c r="E154" s="140"/>
      <c r="F154" s="140"/>
      <c r="G154" s="140"/>
      <c r="H154" s="140"/>
      <c r="I154" s="140"/>
      <c r="J154" s="140"/>
      <c r="K154" s="140"/>
      <c r="L154" s="140"/>
    </row>
    <row r="155" spans="2:12" ht="15" customHeight="1">
      <c r="B155" s="138"/>
      <c r="C155" s="138"/>
      <c r="D155" s="139"/>
      <c r="E155" s="140"/>
      <c r="F155" s="140"/>
      <c r="G155" s="140"/>
      <c r="H155" s="140"/>
      <c r="I155" s="140"/>
      <c r="J155" s="140"/>
      <c r="K155" s="140"/>
      <c r="L155" s="140"/>
    </row>
    <row r="156" spans="2:12" ht="15" customHeight="1">
      <c r="B156" s="138"/>
      <c r="C156" s="138"/>
      <c r="D156" s="139"/>
      <c r="E156" s="140"/>
      <c r="F156" s="140"/>
      <c r="G156" s="140"/>
      <c r="H156" s="140"/>
      <c r="I156" s="140"/>
      <c r="J156" s="140"/>
      <c r="K156" s="140"/>
      <c r="L156" s="140"/>
    </row>
    <row r="157" spans="2:12" ht="15" customHeight="1">
      <c r="B157" s="138"/>
      <c r="C157" s="138"/>
      <c r="D157" s="139"/>
      <c r="E157" s="140"/>
      <c r="F157" s="140"/>
      <c r="G157" s="140"/>
      <c r="H157" s="140"/>
      <c r="I157" s="140"/>
      <c r="J157" s="140"/>
      <c r="K157" s="140"/>
      <c r="L157" s="140"/>
    </row>
    <row r="158" spans="2:12" ht="15" customHeight="1">
      <c r="B158" s="138"/>
      <c r="C158" s="138"/>
      <c r="D158" s="139"/>
      <c r="E158" s="140"/>
      <c r="F158" s="140"/>
      <c r="G158" s="140"/>
      <c r="H158" s="140"/>
      <c r="I158" s="140"/>
      <c r="J158" s="140"/>
      <c r="K158" s="140"/>
      <c r="L158" s="140"/>
    </row>
    <row r="159" spans="2:12" ht="15" customHeight="1">
      <c r="B159" s="138"/>
      <c r="C159" s="138"/>
      <c r="D159" s="139"/>
      <c r="E159" s="140"/>
      <c r="F159" s="140"/>
      <c r="G159" s="140"/>
      <c r="H159" s="140"/>
      <c r="I159" s="140"/>
      <c r="J159" s="140"/>
      <c r="K159" s="140"/>
      <c r="L159" s="140"/>
    </row>
    <row r="160" spans="2:12" ht="15" customHeight="1">
      <c r="B160" s="138"/>
      <c r="C160" s="138"/>
      <c r="D160" s="139"/>
      <c r="E160" s="140"/>
      <c r="F160" s="140"/>
      <c r="G160" s="140"/>
      <c r="H160" s="140"/>
      <c r="I160" s="140"/>
      <c r="J160" s="140"/>
      <c r="K160" s="140"/>
      <c r="L160" s="140"/>
    </row>
    <row r="161" spans="2:12" ht="15" customHeight="1">
      <c r="B161" s="138"/>
      <c r="C161" s="138"/>
      <c r="D161" s="139"/>
      <c r="E161" s="140"/>
      <c r="F161" s="140"/>
      <c r="G161" s="140"/>
      <c r="H161" s="140"/>
      <c r="I161" s="140"/>
      <c r="J161" s="140"/>
      <c r="K161" s="140"/>
      <c r="L161" s="140"/>
    </row>
    <row r="162" spans="2:12" ht="15" customHeight="1">
      <c r="B162" s="138"/>
      <c r="C162" s="138"/>
      <c r="D162" s="139"/>
      <c r="E162" s="140"/>
      <c r="F162" s="140"/>
      <c r="G162" s="140"/>
      <c r="H162" s="140"/>
      <c r="I162" s="140"/>
      <c r="J162" s="140"/>
      <c r="K162" s="140"/>
      <c r="L162" s="140"/>
    </row>
    <row r="163" spans="2:12" ht="15" customHeight="1">
      <c r="B163" s="138"/>
      <c r="C163" s="138"/>
      <c r="D163" s="139"/>
      <c r="E163" s="140"/>
      <c r="F163" s="140"/>
      <c r="G163" s="140"/>
      <c r="H163" s="140"/>
      <c r="I163" s="140"/>
      <c r="J163" s="140"/>
      <c r="K163" s="140"/>
      <c r="L163" s="140"/>
    </row>
    <row r="164" spans="2:12" ht="15" customHeight="1">
      <c r="B164" s="138"/>
      <c r="C164" s="138"/>
      <c r="D164" s="139"/>
      <c r="E164" s="140"/>
      <c r="F164" s="140"/>
      <c r="G164" s="140"/>
      <c r="H164" s="140"/>
      <c r="I164" s="140"/>
      <c r="J164" s="140"/>
      <c r="K164" s="140"/>
      <c r="L164" s="140"/>
    </row>
    <row r="165" spans="2:12" ht="15" customHeight="1">
      <c r="B165" s="138"/>
      <c r="C165" s="138"/>
      <c r="D165" s="139"/>
      <c r="E165" s="140"/>
      <c r="F165" s="140"/>
      <c r="G165" s="140"/>
      <c r="H165" s="140"/>
      <c r="I165" s="140"/>
      <c r="J165" s="140"/>
      <c r="K165" s="140"/>
      <c r="L165" s="140"/>
    </row>
    <row r="166" spans="2:12" ht="15" customHeight="1">
      <c r="B166" s="138"/>
      <c r="C166" s="138"/>
      <c r="D166" s="139"/>
      <c r="E166" s="140"/>
      <c r="F166" s="140"/>
      <c r="G166" s="140"/>
      <c r="H166" s="140"/>
      <c r="I166" s="140"/>
      <c r="J166" s="140"/>
      <c r="K166" s="140"/>
      <c r="L166" s="140"/>
    </row>
    <row r="167" spans="2:12" ht="15" customHeight="1">
      <c r="B167" s="138"/>
      <c r="C167" s="138"/>
      <c r="D167" s="139"/>
      <c r="E167" s="140"/>
      <c r="F167" s="140"/>
      <c r="G167" s="140"/>
      <c r="H167" s="140"/>
      <c r="I167" s="140"/>
      <c r="J167" s="140"/>
      <c r="K167" s="140"/>
      <c r="L167" s="140"/>
    </row>
    <row r="168" spans="2:12" ht="15" customHeight="1">
      <c r="B168" s="138"/>
      <c r="C168" s="138"/>
      <c r="D168" s="139"/>
      <c r="E168" s="140"/>
      <c r="F168" s="140"/>
      <c r="G168" s="140"/>
      <c r="H168" s="140"/>
      <c r="I168" s="140"/>
      <c r="J168" s="140"/>
      <c r="K168" s="140"/>
      <c r="L168" s="140"/>
    </row>
    <row r="169" spans="2:12" ht="15" customHeight="1">
      <c r="B169" s="138"/>
      <c r="C169" s="138"/>
      <c r="D169" s="139"/>
      <c r="E169" s="140"/>
      <c r="F169" s="140"/>
      <c r="G169" s="140"/>
      <c r="H169" s="140"/>
      <c r="I169" s="140"/>
      <c r="J169" s="140"/>
      <c r="K169" s="140"/>
      <c r="L169" s="140"/>
    </row>
    <row r="170" spans="2:12" ht="15" customHeight="1">
      <c r="B170" s="138"/>
      <c r="C170" s="138"/>
      <c r="D170" s="139"/>
      <c r="E170" s="140"/>
      <c r="F170" s="140"/>
      <c r="G170" s="140"/>
      <c r="H170" s="140"/>
      <c r="I170" s="140"/>
      <c r="J170" s="140"/>
      <c r="K170" s="140"/>
      <c r="L170" s="140"/>
    </row>
    <row r="171" spans="2:12" ht="15" customHeight="1">
      <c r="B171" s="138"/>
      <c r="C171" s="138"/>
      <c r="D171" s="139"/>
      <c r="E171" s="140"/>
      <c r="F171" s="140"/>
      <c r="G171" s="140"/>
      <c r="H171" s="140"/>
      <c r="I171" s="140"/>
      <c r="J171" s="140"/>
      <c r="K171" s="140"/>
      <c r="L171" s="140"/>
    </row>
    <row r="172" spans="2:12" ht="15" customHeight="1">
      <c r="B172" s="138"/>
      <c r="C172" s="138"/>
      <c r="D172" s="139"/>
      <c r="E172" s="140"/>
      <c r="F172" s="140"/>
      <c r="G172" s="140"/>
      <c r="H172" s="140"/>
      <c r="I172" s="140"/>
      <c r="J172" s="140"/>
      <c r="K172" s="140"/>
      <c r="L172" s="140"/>
    </row>
    <row r="173" spans="2:12" ht="15" customHeight="1">
      <c r="B173" s="138"/>
      <c r="C173" s="138"/>
      <c r="D173" s="139"/>
      <c r="E173" s="140"/>
      <c r="F173" s="140"/>
      <c r="G173" s="140"/>
      <c r="H173" s="140"/>
      <c r="I173" s="140"/>
      <c r="J173" s="140"/>
      <c r="K173" s="140"/>
      <c r="L173" s="140"/>
    </row>
  </sheetData>
  <mergeCells count="2">
    <mergeCell ref="E10:J10"/>
    <mergeCell ref="E11:J11"/>
  </mergeCells>
  <printOptions horizontalCentered="1"/>
  <pageMargins left="0.39370078740157483" right="0.39370078740157483" top="0.51181102362204722" bottom="0.39370078740157483" header="0.31496062992125984" footer="0.31496062992125984"/>
  <pageSetup paperSize="9" scale="75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173"/>
  <sheetViews>
    <sheetView tabSelected="1" view="pageBreakPreview" zoomScale="75" zoomScaleNormal="84" zoomScaleSheetLayoutView="75" workbookViewId="0">
      <selection activeCell="M12" sqref="M12"/>
    </sheetView>
  </sheetViews>
  <sheetFormatPr defaultColWidth="7.140625" defaultRowHeight="13.5"/>
  <cols>
    <col min="1" max="1" width="1.7109375" style="116" customWidth="1"/>
    <col min="2" max="2" width="12.85546875" style="116" customWidth="1"/>
    <col min="3" max="3" width="7.28515625" style="116" customWidth="1"/>
    <col min="4" max="4" width="10.7109375" style="116" customWidth="1"/>
    <col min="5" max="10" width="7.5703125" style="116" customWidth="1"/>
    <col min="11" max="11" width="1.5703125" style="116" customWidth="1"/>
    <col min="12" max="16" width="7.5703125" style="116" customWidth="1"/>
    <col min="17" max="17" width="7.5703125" style="177" customWidth="1"/>
    <col min="18" max="18" width="1.7109375" style="116" customWidth="1"/>
    <col min="19" max="16384" width="7.140625" style="116"/>
  </cols>
  <sheetData>
    <row r="1" spans="1:18" s="1" customFormat="1" ht="15" customHeight="1">
      <c r="B1" s="2"/>
      <c r="C1" s="2"/>
      <c r="D1" s="3"/>
      <c r="E1" s="201"/>
      <c r="F1" s="201"/>
      <c r="G1" s="201"/>
      <c r="H1" s="201"/>
      <c r="I1" s="201"/>
      <c r="J1" s="201"/>
      <c r="K1" s="297"/>
      <c r="L1" s="297"/>
      <c r="M1" s="297"/>
    </row>
    <row r="2" spans="1:18" s="1" customFormat="1">
      <c r="B2" s="2"/>
      <c r="C2" s="2"/>
      <c r="D2" s="3"/>
      <c r="E2" s="201"/>
      <c r="F2" s="201"/>
      <c r="G2" s="201"/>
      <c r="H2" s="201"/>
      <c r="I2" s="201"/>
      <c r="J2" s="201"/>
      <c r="K2" s="201"/>
      <c r="L2" s="201"/>
      <c r="R2" s="4" t="s">
        <v>7</v>
      </c>
    </row>
    <row r="3" spans="1:18" s="1" customFormat="1">
      <c r="B3" s="2"/>
      <c r="C3" s="2"/>
      <c r="D3" s="3"/>
      <c r="E3" s="201"/>
      <c r="F3" s="201"/>
      <c r="G3" s="201"/>
      <c r="H3" s="201"/>
      <c r="I3" s="201"/>
      <c r="J3" s="201"/>
      <c r="K3" s="201"/>
      <c r="L3" s="201"/>
      <c r="R3" s="5" t="s">
        <v>55</v>
      </c>
    </row>
    <row r="4" spans="1:18" s="1" customFormat="1">
      <c r="B4" s="7"/>
      <c r="C4" s="7"/>
      <c r="D4" s="3"/>
    </row>
    <row r="5" spans="1:18" ht="15" customHeight="1">
      <c r="B5" s="8" t="s">
        <v>120</v>
      </c>
      <c r="C5" s="9" t="s">
        <v>140</v>
      </c>
      <c r="D5" s="117"/>
      <c r="E5" s="118"/>
      <c r="F5" s="118"/>
      <c r="G5" s="118"/>
      <c r="H5" s="118"/>
      <c r="I5" s="118"/>
      <c r="J5" s="118"/>
      <c r="K5" s="118"/>
      <c r="L5" s="118"/>
      <c r="R5" s="118"/>
    </row>
    <row r="6" spans="1:18" ht="15" customHeight="1">
      <c r="B6" s="12" t="s">
        <v>121</v>
      </c>
      <c r="C6" s="13" t="s">
        <v>141</v>
      </c>
      <c r="D6" s="114"/>
      <c r="E6" s="115"/>
      <c r="F6" s="115"/>
      <c r="G6" s="115"/>
      <c r="H6" s="115"/>
      <c r="I6" s="115"/>
      <c r="J6" s="115"/>
      <c r="K6" s="115"/>
      <c r="L6" s="115"/>
      <c r="R6" s="115"/>
    </row>
    <row r="7" spans="1:18" ht="8.1" customHeight="1">
      <c r="B7" s="112"/>
      <c r="C7" s="113"/>
      <c r="D7" s="114"/>
      <c r="E7" s="115"/>
      <c r="F7" s="115"/>
      <c r="G7" s="115"/>
      <c r="H7" s="115"/>
      <c r="I7" s="115"/>
      <c r="J7" s="115"/>
      <c r="K7" s="115"/>
      <c r="L7" s="298"/>
      <c r="M7" s="298"/>
      <c r="R7" s="115"/>
    </row>
    <row r="8" spans="1:18" s="257" customFormat="1" ht="15.95" customHeight="1" thickBot="1">
      <c r="B8" s="257" t="s">
        <v>106</v>
      </c>
      <c r="D8" s="258"/>
      <c r="E8" s="259"/>
      <c r="F8" s="259"/>
      <c r="G8" s="259"/>
      <c r="H8" s="259"/>
      <c r="I8" s="259"/>
      <c r="J8" s="259"/>
      <c r="K8" s="259"/>
      <c r="L8" s="259"/>
      <c r="N8" s="259"/>
      <c r="O8" s="259"/>
      <c r="P8" s="259"/>
      <c r="R8" s="259"/>
    </row>
    <row r="9" spans="1:18" ht="8.1" customHeight="1" thickTop="1">
      <c r="A9" s="119"/>
      <c r="B9" s="120"/>
      <c r="C9" s="121"/>
      <c r="D9" s="122"/>
      <c r="E9" s="123"/>
      <c r="F9" s="123"/>
      <c r="G9" s="123"/>
      <c r="H9" s="123"/>
      <c r="I9" s="123"/>
      <c r="J9" s="123"/>
      <c r="K9" s="123"/>
      <c r="L9" s="123"/>
      <c r="M9" s="119"/>
      <c r="N9" s="123"/>
      <c r="O9" s="123"/>
      <c r="P9" s="123"/>
      <c r="Q9" s="119"/>
      <c r="R9" s="123"/>
    </row>
    <row r="10" spans="1:18" ht="15" customHeight="1">
      <c r="A10" s="124"/>
      <c r="B10" s="125" t="s">
        <v>90</v>
      </c>
      <c r="C10" s="126"/>
      <c r="D10" s="127" t="s">
        <v>91</v>
      </c>
      <c r="E10" s="292" t="s">
        <v>125</v>
      </c>
      <c r="F10" s="292"/>
      <c r="G10" s="292"/>
      <c r="H10" s="292"/>
      <c r="I10" s="292"/>
      <c r="J10" s="292"/>
      <c r="K10" s="127"/>
      <c r="L10" s="292" t="s">
        <v>87</v>
      </c>
      <c r="M10" s="292"/>
      <c r="N10" s="292"/>
      <c r="O10" s="292"/>
      <c r="P10" s="292"/>
      <c r="Q10" s="292"/>
      <c r="R10" s="127"/>
    </row>
    <row r="11" spans="1:18" ht="15" customHeight="1">
      <c r="A11" s="124"/>
      <c r="B11" s="129" t="s">
        <v>92</v>
      </c>
      <c r="C11" s="126"/>
      <c r="D11" s="130" t="s">
        <v>93</v>
      </c>
      <c r="E11" s="293" t="s">
        <v>133</v>
      </c>
      <c r="F11" s="293"/>
      <c r="G11" s="293"/>
      <c r="H11" s="293"/>
      <c r="I11" s="293"/>
      <c r="J11" s="293"/>
      <c r="K11" s="128"/>
      <c r="L11" s="293" t="s">
        <v>135</v>
      </c>
      <c r="M11" s="293"/>
      <c r="N11" s="293"/>
      <c r="O11" s="293"/>
      <c r="P11" s="293"/>
      <c r="Q11" s="293"/>
      <c r="R11" s="128"/>
    </row>
    <row r="12" spans="1:18" ht="15" customHeight="1">
      <c r="A12" s="124"/>
      <c r="B12" s="125"/>
      <c r="C12" s="126"/>
      <c r="D12" s="127"/>
      <c r="E12" s="172"/>
      <c r="F12" s="172"/>
      <c r="G12" s="192"/>
      <c r="H12" s="192"/>
      <c r="I12" s="192"/>
      <c r="J12" s="192"/>
      <c r="K12" s="192"/>
      <c r="L12" s="192"/>
      <c r="M12" s="192"/>
      <c r="N12" s="192"/>
      <c r="O12" s="192"/>
      <c r="P12" s="192"/>
      <c r="Q12" s="192"/>
      <c r="R12" s="192"/>
    </row>
    <row r="13" spans="1:18" ht="15" customHeight="1">
      <c r="A13" s="124"/>
      <c r="B13" s="125"/>
      <c r="C13" s="126"/>
      <c r="D13" s="127"/>
      <c r="E13" s="278" t="s">
        <v>112</v>
      </c>
      <c r="F13" s="278" t="s">
        <v>113</v>
      </c>
      <c r="G13" s="278" t="s">
        <v>114</v>
      </c>
      <c r="H13" s="278" t="s">
        <v>115</v>
      </c>
      <c r="I13" s="278" t="s">
        <v>116</v>
      </c>
      <c r="J13" s="278" t="s">
        <v>132</v>
      </c>
      <c r="K13" s="278"/>
      <c r="L13" s="278" t="s">
        <v>112</v>
      </c>
      <c r="M13" s="278" t="s">
        <v>113</v>
      </c>
      <c r="N13" s="278" t="s">
        <v>114</v>
      </c>
      <c r="O13" s="278" t="s">
        <v>115</v>
      </c>
      <c r="P13" s="278" t="s">
        <v>116</v>
      </c>
      <c r="Q13" s="278" t="s">
        <v>132</v>
      </c>
      <c r="R13" s="230"/>
    </row>
    <row r="14" spans="1:18" ht="8.1" customHeight="1">
      <c r="A14" s="135"/>
      <c r="B14" s="136"/>
      <c r="C14" s="135"/>
      <c r="D14" s="135"/>
      <c r="E14" s="137"/>
      <c r="F14" s="137"/>
      <c r="G14" s="137"/>
      <c r="H14" s="137"/>
      <c r="I14" s="137"/>
      <c r="J14" s="137"/>
      <c r="K14" s="137"/>
      <c r="L14" s="137"/>
      <c r="M14" s="135"/>
      <c r="N14" s="135"/>
      <c r="O14" s="224"/>
      <c r="P14" s="224"/>
      <c r="Q14" s="224"/>
      <c r="R14" s="137"/>
    </row>
    <row r="15" spans="1:18" ht="8.1" customHeight="1">
      <c r="A15" s="138"/>
      <c r="B15" s="138"/>
      <c r="C15" s="138"/>
      <c r="D15" s="146"/>
      <c r="E15" s="140"/>
      <c r="F15" s="140"/>
      <c r="G15" s="140"/>
      <c r="H15" s="141"/>
      <c r="I15" s="142"/>
      <c r="J15" s="142"/>
      <c r="K15" s="142"/>
      <c r="L15" s="143"/>
      <c r="M15" s="142"/>
      <c r="N15" s="142"/>
      <c r="R15" s="142"/>
    </row>
    <row r="16" spans="1:18" ht="15" customHeight="1">
      <c r="B16" s="144" t="s">
        <v>107</v>
      </c>
      <c r="C16" s="145"/>
      <c r="D16" s="147">
        <v>2021</v>
      </c>
      <c r="E16" s="211">
        <f>SUM(E20,E24,E28,E32,E36,E40,E44,E48,E52,E56,E60,E64,E68,E72)</f>
        <v>137</v>
      </c>
      <c r="F16" s="211">
        <f t="shared" ref="F16:Q16" si="0">SUM(F20,F24,F28,F32,F36,F40,F44,F48,F52,F56,F60,F64,F68,F72)</f>
        <v>807</v>
      </c>
      <c r="G16" s="211">
        <f t="shared" si="0"/>
        <v>629</v>
      </c>
      <c r="H16" s="211">
        <f t="shared" si="0"/>
        <v>538</v>
      </c>
      <c r="I16" s="211">
        <f t="shared" si="0"/>
        <v>477</v>
      </c>
      <c r="J16" s="211">
        <f t="shared" si="0"/>
        <v>416</v>
      </c>
      <c r="K16" s="211"/>
      <c r="L16" s="211">
        <f t="shared" si="0"/>
        <v>34</v>
      </c>
      <c r="M16" s="211">
        <f t="shared" si="0"/>
        <v>136</v>
      </c>
      <c r="N16" s="211">
        <f t="shared" si="0"/>
        <v>75</v>
      </c>
      <c r="O16" s="211">
        <f t="shared" si="0"/>
        <v>67</v>
      </c>
      <c r="P16" s="211">
        <f t="shared" si="0"/>
        <v>76</v>
      </c>
      <c r="Q16" s="211">
        <f t="shared" si="0"/>
        <v>45</v>
      </c>
      <c r="R16" s="211"/>
    </row>
    <row r="17" spans="2:18" ht="15" customHeight="1">
      <c r="B17" s="145"/>
      <c r="C17" s="145"/>
      <c r="D17" s="146">
        <v>2022</v>
      </c>
      <c r="E17" s="211">
        <f t="shared" ref="E17:E18" si="1">SUM(E21,E25,E29,E33,E37,E41,E45,E49,E53,E57,E61,E65,E69,E73)</f>
        <v>145</v>
      </c>
      <c r="F17" s="211">
        <f t="shared" ref="F17:Q17" si="2">SUM(F21,F25,F29,F33,F37,F41,F45,F49,F53,F57,F61,F65,F69,F73)</f>
        <v>945</v>
      </c>
      <c r="G17" s="211">
        <f t="shared" si="2"/>
        <v>712</v>
      </c>
      <c r="H17" s="211">
        <f t="shared" si="2"/>
        <v>565</v>
      </c>
      <c r="I17" s="211">
        <f t="shared" si="2"/>
        <v>492</v>
      </c>
      <c r="J17" s="211">
        <f t="shared" si="2"/>
        <v>431</v>
      </c>
      <c r="K17" s="211"/>
      <c r="L17" s="211">
        <f t="shared" si="2"/>
        <v>28</v>
      </c>
      <c r="M17" s="211">
        <f t="shared" si="2"/>
        <v>114</v>
      </c>
      <c r="N17" s="211">
        <f t="shared" si="2"/>
        <v>137</v>
      </c>
      <c r="O17" s="211">
        <f t="shared" si="2"/>
        <v>121</v>
      </c>
      <c r="P17" s="211">
        <f t="shared" si="2"/>
        <v>88</v>
      </c>
      <c r="Q17" s="211">
        <f t="shared" si="2"/>
        <v>58</v>
      </c>
      <c r="R17" s="211"/>
    </row>
    <row r="18" spans="2:18" ht="15" customHeight="1">
      <c r="B18" s="145"/>
      <c r="C18" s="145"/>
      <c r="D18" s="146">
        <v>2023</v>
      </c>
      <c r="E18" s="211">
        <f t="shared" si="1"/>
        <v>279</v>
      </c>
      <c r="F18" s="211">
        <f t="shared" ref="F18:Q18" si="3">SUM(F22,F26,F30,F34,F38,F42,F46,F50,F54,F58,F62,F66,F70,F74)</f>
        <v>1375</v>
      </c>
      <c r="G18" s="211">
        <f t="shared" si="3"/>
        <v>984</v>
      </c>
      <c r="H18" s="211">
        <f t="shared" si="3"/>
        <v>729</v>
      </c>
      <c r="I18" s="211">
        <f t="shared" si="3"/>
        <v>625</v>
      </c>
      <c r="J18" s="211">
        <f t="shared" si="3"/>
        <v>523</v>
      </c>
      <c r="K18" s="211"/>
      <c r="L18" s="211">
        <f t="shared" si="3"/>
        <v>59</v>
      </c>
      <c r="M18" s="211">
        <f t="shared" si="3"/>
        <v>227</v>
      </c>
      <c r="N18" s="211">
        <f t="shared" si="3"/>
        <v>223</v>
      </c>
      <c r="O18" s="211">
        <f t="shared" si="3"/>
        <v>211</v>
      </c>
      <c r="P18" s="211">
        <f t="shared" si="3"/>
        <v>157</v>
      </c>
      <c r="Q18" s="211">
        <f t="shared" si="3"/>
        <v>100</v>
      </c>
      <c r="R18" s="211"/>
    </row>
    <row r="19" spans="2:18" ht="8.1" customHeight="1">
      <c r="B19" s="145"/>
      <c r="C19" s="148"/>
      <c r="D19" s="149"/>
      <c r="E19" s="179"/>
      <c r="F19" s="184"/>
      <c r="G19" s="184"/>
      <c r="H19" s="184"/>
      <c r="I19" s="184"/>
      <c r="J19" s="184"/>
      <c r="K19" s="184"/>
      <c r="L19" s="184"/>
      <c r="M19" s="185"/>
      <c r="N19" s="185"/>
      <c r="O19" s="186"/>
      <c r="P19" s="186"/>
      <c r="Q19" s="186"/>
      <c r="R19" s="184"/>
    </row>
    <row r="20" spans="2:18" ht="15" customHeight="1">
      <c r="B20" s="151" t="s">
        <v>94</v>
      </c>
      <c r="C20" s="152"/>
      <c r="D20" s="149">
        <v>2021</v>
      </c>
      <c r="E20" s="223">
        <v>20</v>
      </c>
      <c r="F20" s="223">
        <v>67</v>
      </c>
      <c r="G20" s="223">
        <v>49</v>
      </c>
      <c r="H20" s="223">
        <v>75</v>
      </c>
      <c r="I20" s="223">
        <v>52</v>
      </c>
      <c r="J20" s="223">
        <v>46</v>
      </c>
      <c r="K20" s="223"/>
      <c r="L20" s="223">
        <v>2</v>
      </c>
      <c r="M20" s="223">
        <v>8</v>
      </c>
      <c r="N20" s="223">
        <v>2</v>
      </c>
      <c r="O20" s="223">
        <v>1</v>
      </c>
      <c r="P20" s="223">
        <v>6</v>
      </c>
      <c r="Q20" s="223">
        <v>2</v>
      </c>
      <c r="R20" s="222"/>
    </row>
    <row r="21" spans="2:18" ht="15" customHeight="1">
      <c r="B21" s="153"/>
      <c r="C21" s="152"/>
      <c r="D21" s="149">
        <v>2022</v>
      </c>
      <c r="E21" s="223">
        <v>11</v>
      </c>
      <c r="F21" s="223">
        <v>66</v>
      </c>
      <c r="G21" s="223">
        <v>72</v>
      </c>
      <c r="H21" s="223">
        <v>50</v>
      </c>
      <c r="I21" s="223">
        <v>50</v>
      </c>
      <c r="J21" s="223">
        <v>47</v>
      </c>
      <c r="K21" s="223"/>
      <c r="L21" s="223">
        <v>2</v>
      </c>
      <c r="M21" s="223">
        <v>12</v>
      </c>
      <c r="N21" s="223">
        <v>12</v>
      </c>
      <c r="O21" s="223">
        <v>16</v>
      </c>
      <c r="P21" s="223">
        <v>8</v>
      </c>
      <c r="Q21" s="223">
        <v>5</v>
      </c>
      <c r="R21" s="222"/>
    </row>
    <row r="22" spans="2:18" ht="15" customHeight="1">
      <c r="B22" s="153"/>
      <c r="C22" s="152"/>
      <c r="D22" s="149">
        <v>2023</v>
      </c>
      <c r="E22" s="223">
        <v>22</v>
      </c>
      <c r="F22" s="223">
        <v>148</v>
      </c>
      <c r="G22" s="223">
        <v>104</v>
      </c>
      <c r="H22" s="223">
        <v>57</v>
      </c>
      <c r="I22" s="223">
        <v>76</v>
      </c>
      <c r="J22" s="223">
        <v>56</v>
      </c>
      <c r="K22" s="223"/>
      <c r="L22" s="223">
        <v>13</v>
      </c>
      <c r="M22" s="223">
        <v>36</v>
      </c>
      <c r="N22" s="223">
        <v>35</v>
      </c>
      <c r="O22" s="223">
        <v>33</v>
      </c>
      <c r="P22" s="223">
        <v>35</v>
      </c>
      <c r="Q22" s="223">
        <v>17</v>
      </c>
      <c r="R22" s="222"/>
    </row>
    <row r="23" spans="2:18" ht="8.1" customHeight="1">
      <c r="B23" s="153"/>
      <c r="C23" s="154"/>
      <c r="D23" s="149"/>
      <c r="E23" s="150"/>
      <c r="F23" s="203"/>
      <c r="G23" s="203"/>
      <c r="H23" s="203"/>
      <c r="I23" s="203"/>
      <c r="J23" s="203"/>
      <c r="K23" s="203"/>
      <c r="L23" s="203"/>
      <c r="M23" s="204"/>
      <c r="N23" s="204"/>
      <c r="O23" s="204"/>
      <c r="P23" s="204"/>
      <c r="Q23" s="204"/>
      <c r="R23" s="203"/>
    </row>
    <row r="24" spans="2:18" ht="15" customHeight="1">
      <c r="B24" s="151" t="s">
        <v>95</v>
      </c>
      <c r="C24" s="152"/>
      <c r="D24" s="149">
        <v>2021</v>
      </c>
      <c r="E24" s="182">
        <v>9</v>
      </c>
      <c r="F24" s="182">
        <v>44</v>
      </c>
      <c r="G24" s="182">
        <v>27</v>
      </c>
      <c r="H24" s="182">
        <v>31</v>
      </c>
      <c r="I24" s="182">
        <v>34</v>
      </c>
      <c r="J24" s="182">
        <v>19</v>
      </c>
      <c r="K24" s="182"/>
      <c r="L24" s="223">
        <v>1</v>
      </c>
      <c r="M24" s="223">
        <v>8</v>
      </c>
      <c r="N24" s="223">
        <v>1</v>
      </c>
      <c r="O24" s="223">
        <v>2</v>
      </c>
      <c r="P24" s="223">
        <v>1</v>
      </c>
      <c r="Q24" s="223">
        <v>1</v>
      </c>
      <c r="R24" s="222"/>
    </row>
    <row r="25" spans="2:18" ht="15" customHeight="1">
      <c r="B25" s="151"/>
      <c r="C25" s="152"/>
      <c r="D25" s="149">
        <v>2022</v>
      </c>
      <c r="E25" s="182">
        <v>8</v>
      </c>
      <c r="F25" s="182">
        <v>63</v>
      </c>
      <c r="G25" s="182">
        <v>39</v>
      </c>
      <c r="H25" s="182">
        <v>40</v>
      </c>
      <c r="I25" s="182">
        <v>35</v>
      </c>
      <c r="J25" s="182">
        <v>35</v>
      </c>
      <c r="K25" s="182"/>
      <c r="L25" s="231" t="s">
        <v>22</v>
      </c>
      <c r="M25" s="223">
        <v>7</v>
      </c>
      <c r="N25" s="223">
        <v>3</v>
      </c>
      <c r="O25" s="223">
        <v>3</v>
      </c>
      <c r="P25" s="223">
        <v>3</v>
      </c>
      <c r="Q25" s="223">
        <v>8</v>
      </c>
      <c r="R25" s="222"/>
    </row>
    <row r="26" spans="2:18" ht="15" customHeight="1">
      <c r="B26" s="151"/>
      <c r="C26" s="152"/>
      <c r="D26" s="149">
        <v>2023</v>
      </c>
      <c r="E26" s="272">
        <v>18</v>
      </c>
      <c r="F26" s="272">
        <v>57</v>
      </c>
      <c r="G26" s="272">
        <v>49</v>
      </c>
      <c r="H26" s="272">
        <v>47</v>
      </c>
      <c r="I26" s="272">
        <v>36</v>
      </c>
      <c r="J26" s="272">
        <v>26</v>
      </c>
      <c r="K26" s="182"/>
      <c r="L26" s="274">
        <v>4</v>
      </c>
      <c r="M26" s="274">
        <v>12</v>
      </c>
      <c r="N26" s="274">
        <v>15</v>
      </c>
      <c r="O26" s="274">
        <v>10</v>
      </c>
      <c r="P26" s="274">
        <v>13</v>
      </c>
      <c r="Q26" s="274">
        <v>7</v>
      </c>
      <c r="R26" s="222"/>
    </row>
    <row r="27" spans="2:18" ht="8.1" customHeight="1">
      <c r="B27" s="151"/>
      <c r="C27" s="154"/>
      <c r="D27" s="149"/>
      <c r="E27" s="179"/>
      <c r="F27" s="184"/>
      <c r="G27" s="184"/>
      <c r="H27" s="184"/>
      <c r="I27" s="184"/>
      <c r="J27" s="184"/>
      <c r="K27" s="184"/>
      <c r="L27" s="203"/>
      <c r="M27" s="204"/>
      <c r="N27" s="204"/>
      <c r="O27" s="204"/>
      <c r="P27" s="204"/>
      <c r="Q27" s="204"/>
      <c r="R27" s="203"/>
    </row>
    <row r="28" spans="2:18" ht="15" customHeight="1">
      <c r="B28" s="151" t="s">
        <v>96</v>
      </c>
      <c r="C28" s="152"/>
      <c r="D28" s="149">
        <v>2021</v>
      </c>
      <c r="E28" s="182">
        <v>4</v>
      </c>
      <c r="F28" s="182">
        <v>14</v>
      </c>
      <c r="G28" s="182">
        <v>10</v>
      </c>
      <c r="H28" s="182">
        <v>11</v>
      </c>
      <c r="I28" s="182">
        <v>5</v>
      </c>
      <c r="J28" s="182">
        <v>7</v>
      </c>
      <c r="K28" s="182"/>
      <c r="L28" s="223">
        <v>2</v>
      </c>
      <c r="M28" s="223">
        <v>10</v>
      </c>
      <c r="N28" s="223">
        <v>6</v>
      </c>
      <c r="O28" s="223">
        <v>3</v>
      </c>
      <c r="P28" s="223">
        <v>2</v>
      </c>
      <c r="Q28" s="223">
        <v>1</v>
      </c>
      <c r="R28" s="222"/>
    </row>
    <row r="29" spans="2:18" ht="15" customHeight="1">
      <c r="B29" s="153"/>
      <c r="C29" s="152"/>
      <c r="D29" s="149">
        <v>2022</v>
      </c>
      <c r="E29" s="182">
        <v>2</v>
      </c>
      <c r="F29" s="182">
        <v>23</v>
      </c>
      <c r="G29" s="182">
        <v>25</v>
      </c>
      <c r="H29" s="182">
        <v>28</v>
      </c>
      <c r="I29" s="182">
        <v>23</v>
      </c>
      <c r="J29" s="182">
        <v>7</v>
      </c>
      <c r="K29" s="182"/>
      <c r="L29" s="223">
        <v>1</v>
      </c>
      <c r="M29" s="223">
        <v>6</v>
      </c>
      <c r="N29" s="223">
        <v>5</v>
      </c>
      <c r="O29" s="223">
        <v>7</v>
      </c>
      <c r="P29" s="223">
        <v>4</v>
      </c>
      <c r="Q29" s="223">
        <v>2</v>
      </c>
      <c r="R29" s="222"/>
    </row>
    <row r="30" spans="2:18" ht="15" customHeight="1">
      <c r="B30" s="153"/>
      <c r="C30" s="152"/>
      <c r="D30" s="149">
        <v>2023</v>
      </c>
      <c r="E30" s="182">
        <v>8</v>
      </c>
      <c r="F30" s="182">
        <v>24</v>
      </c>
      <c r="G30" s="182">
        <v>24</v>
      </c>
      <c r="H30" s="182">
        <v>24</v>
      </c>
      <c r="I30" s="182">
        <v>29</v>
      </c>
      <c r="J30" s="182">
        <v>23</v>
      </c>
      <c r="K30" s="182"/>
      <c r="L30" s="223">
        <v>2</v>
      </c>
      <c r="M30" s="223">
        <v>5</v>
      </c>
      <c r="N30" s="223">
        <v>3</v>
      </c>
      <c r="O30" s="223">
        <v>6</v>
      </c>
      <c r="P30" s="223">
        <v>5</v>
      </c>
      <c r="Q30" s="223">
        <v>2</v>
      </c>
      <c r="R30" s="222"/>
    </row>
    <row r="31" spans="2:18" ht="8.1" customHeight="1">
      <c r="B31" s="153"/>
      <c r="C31" s="148"/>
      <c r="D31" s="149"/>
      <c r="E31" s="179"/>
      <c r="F31" s="184"/>
      <c r="G31" s="184"/>
      <c r="H31" s="184"/>
      <c r="I31" s="184"/>
      <c r="J31" s="184"/>
      <c r="K31" s="184"/>
      <c r="L31" s="203"/>
      <c r="M31" s="204"/>
      <c r="N31" s="204"/>
      <c r="O31" s="205"/>
      <c r="P31" s="206"/>
      <c r="Q31" s="206"/>
      <c r="R31" s="203"/>
    </row>
    <row r="32" spans="2:18" ht="15" customHeight="1">
      <c r="B32" s="151" t="s">
        <v>97</v>
      </c>
      <c r="C32" s="152"/>
      <c r="D32" s="149">
        <v>2021</v>
      </c>
      <c r="E32" s="182">
        <v>2</v>
      </c>
      <c r="F32" s="182">
        <v>19</v>
      </c>
      <c r="G32" s="182">
        <v>20</v>
      </c>
      <c r="H32" s="182">
        <v>22</v>
      </c>
      <c r="I32" s="182">
        <v>25</v>
      </c>
      <c r="J32" s="182">
        <v>24</v>
      </c>
      <c r="K32" s="182"/>
      <c r="L32" s="223">
        <v>2</v>
      </c>
      <c r="M32" s="223">
        <v>5</v>
      </c>
      <c r="N32" s="223">
        <v>2</v>
      </c>
      <c r="O32" s="223">
        <v>3</v>
      </c>
      <c r="P32" s="223">
        <v>5</v>
      </c>
      <c r="Q32" s="223">
        <v>3</v>
      </c>
      <c r="R32" s="222"/>
    </row>
    <row r="33" spans="2:18" ht="15" customHeight="1">
      <c r="B33" s="153"/>
      <c r="C33" s="152"/>
      <c r="D33" s="149">
        <v>2022</v>
      </c>
      <c r="E33" s="223">
        <v>7</v>
      </c>
      <c r="F33" s="223">
        <v>51</v>
      </c>
      <c r="G33" s="223">
        <v>31</v>
      </c>
      <c r="H33" s="223">
        <v>29</v>
      </c>
      <c r="I33" s="223">
        <v>17</v>
      </c>
      <c r="J33" s="223">
        <v>18</v>
      </c>
      <c r="K33" s="223"/>
      <c r="L33" s="223">
        <v>1</v>
      </c>
      <c r="M33" s="223">
        <v>2</v>
      </c>
      <c r="N33" s="223">
        <v>8</v>
      </c>
      <c r="O33" s="223">
        <v>3</v>
      </c>
      <c r="P33" s="223">
        <v>1</v>
      </c>
      <c r="Q33" s="223">
        <v>1</v>
      </c>
      <c r="R33" s="222"/>
    </row>
    <row r="34" spans="2:18" ht="15" customHeight="1">
      <c r="B34" s="153"/>
      <c r="C34" s="152"/>
      <c r="D34" s="149">
        <v>2023</v>
      </c>
      <c r="E34" s="223">
        <v>18</v>
      </c>
      <c r="F34" s="223">
        <v>59</v>
      </c>
      <c r="G34" s="223">
        <v>35</v>
      </c>
      <c r="H34" s="223">
        <v>29</v>
      </c>
      <c r="I34" s="223">
        <v>27</v>
      </c>
      <c r="J34" s="223">
        <v>10</v>
      </c>
      <c r="K34" s="223"/>
      <c r="L34" s="223">
        <v>4</v>
      </c>
      <c r="M34" s="223">
        <v>8</v>
      </c>
      <c r="N34" s="223">
        <v>6</v>
      </c>
      <c r="O34" s="223">
        <v>8</v>
      </c>
      <c r="P34" s="223">
        <v>4</v>
      </c>
      <c r="Q34" s="223">
        <v>5</v>
      </c>
      <c r="R34" s="222"/>
    </row>
    <row r="35" spans="2:18" ht="8.1" customHeight="1">
      <c r="B35" s="153"/>
      <c r="C35" s="154"/>
      <c r="D35" s="149"/>
      <c r="E35" s="150"/>
      <c r="F35" s="203"/>
      <c r="G35" s="203"/>
      <c r="H35" s="203"/>
      <c r="I35" s="203"/>
      <c r="J35" s="203"/>
      <c r="K35" s="203"/>
      <c r="L35" s="203"/>
      <c r="M35" s="204"/>
      <c r="N35" s="204"/>
      <c r="O35" s="205"/>
      <c r="P35" s="206"/>
      <c r="Q35" s="206"/>
      <c r="R35" s="203"/>
    </row>
    <row r="36" spans="2:18" ht="15" customHeight="1">
      <c r="B36" s="151" t="s">
        <v>98</v>
      </c>
      <c r="C36" s="152"/>
      <c r="D36" s="149">
        <v>2021</v>
      </c>
      <c r="E36" s="223">
        <v>10</v>
      </c>
      <c r="F36" s="223">
        <v>80</v>
      </c>
      <c r="G36" s="223">
        <v>50</v>
      </c>
      <c r="H36" s="223">
        <v>47</v>
      </c>
      <c r="I36" s="223">
        <v>29</v>
      </c>
      <c r="J36" s="223">
        <v>34</v>
      </c>
      <c r="K36" s="223"/>
      <c r="L36" s="223">
        <v>8</v>
      </c>
      <c r="M36" s="223">
        <v>18</v>
      </c>
      <c r="N36" s="223">
        <v>9</v>
      </c>
      <c r="O36" s="223">
        <v>7</v>
      </c>
      <c r="P36" s="223">
        <v>2</v>
      </c>
      <c r="Q36" s="223">
        <v>5</v>
      </c>
      <c r="R36" s="222"/>
    </row>
    <row r="37" spans="2:18" ht="15" customHeight="1">
      <c r="B37" s="153"/>
      <c r="C37" s="152"/>
      <c r="D37" s="149">
        <v>2022</v>
      </c>
      <c r="E37" s="223">
        <v>31</v>
      </c>
      <c r="F37" s="223">
        <v>109</v>
      </c>
      <c r="G37" s="223">
        <v>72</v>
      </c>
      <c r="H37" s="223">
        <v>57</v>
      </c>
      <c r="I37" s="223">
        <v>56</v>
      </c>
      <c r="J37" s="223">
        <v>38</v>
      </c>
      <c r="K37" s="223"/>
      <c r="L37" s="223">
        <v>8</v>
      </c>
      <c r="M37" s="223">
        <v>12</v>
      </c>
      <c r="N37" s="223">
        <v>15</v>
      </c>
      <c r="O37" s="223">
        <v>10</v>
      </c>
      <c r="P37" s="223">
        <v>5</v>
      </c>
      <c r="Q37" s="223">
        <v>4</v>
      </c>
      <c r="R37" s="222"/>
    </row>
    <row r="38" spans="2:18" ht="15" customHeight="1">
      <c r="B38" s="153"/>
      <c r="C38" s="152"/>
      <c r="D38" s="149">
        <v>2023</v>
      </c>
      <c r="E38" s="223">
        <v>21</v>
      </c>
      <c r="F38" s="223">
        <v>94</v>
      </c>
      <c r="G38" s="223">
        <v>62</v>
      </c>
      <c r="H38" s="223">
        <v>44</v>
      </c>
      <c r="I38" s="223">
        <v>51</v>
      </c>
      <c r="J38" s="223">
        <v>45</v>
      </c>
      <c r="K38" s="223"/>
      <c r="L38" s="223">
        <v>6</v>
      </c>
      <c r="M38" s="223">
        <v>16</v>
      </c>
      <c r="N38" s="223">
        <v>10</v>
      </c>
      <c r="O38" s="223">
        <v>22</v>
      </c>
      <c r="P38" s="223">
        <v>10</v>
      </c>
      <c r="Q38" s="223">
        <v>11</v>
      </c>
      <c r="R38" s="222"/>
    </row>
    <row r="39" spans="2:18" ht="8.1" customHeight="1">
      <c r="B39" s="153"/>
      <c r="C39" s="154"/>
      <c r="D39" s="149"/>
      <c r="E39" s="150"/>
      <c r="F39" s="203"/>
      <c r="G39" s="203"/>
      <c r="H39" s="203"/>
      <c r="I39" s="203"/>
      <c r="J39" s="203"/>
      <c r="K39" s="203"/>
      <c r="L39" s="203"/>
      <c r="M39" s="204"/>
      <c r="N39" s="204"/>
      <c r="O39" s="205"/>
      <c r="P39" s="206"/>
      <c r="Q39" s="206"/>
      <c r="R39" s="203"/>
    </row>
    <row r="40" spans="2:18" ht="15" customHeight="1">
      <c r="B40" s="151" t="s">
        <v>99</v>
      </c>
      <c r="C40" s="152"/>
      <c r="D40" s="149">
        <v>2021</v>
      </c>
      <c r="E40" s="223">
        <v>8</v>
      </c>
      <c r="F40" s="223">
        <v>39</v>
      </c>
      <c r="G40" s="223">
        <v>27</v>
      </c>
      <c r="H40" s="223">
        <v>27</v>
      </c>
      <c r="I40" s="223">
        <v>25</v>
      </c>
      <c r="J40" s="223">
        <v>17</v>
      </c>
      <c r="K40" s="223"/>
      <c r="L40" s="223">
        <v>3</v>
      </c>
      <c r="M40" s="223">
        <v>1</v>
      </c>
      <c r="N40" s="231" t="s">
        <v>22</v>
      </c>
      <c r="O40" s="223">
        <v>3</v>
      </c>
      <c r="P40" s="223">
        <v>1</v>
      </c>
      <c r="Q40" s="223">
        <v>3</v>
      </c>
      <c r="R40" s="222"/>
    </row>
    <row r="41" spans="2:18" ht="15" customHeight="1">
      <c r="B41" s="153"/>
      <c r="C41" s="152"/>
      <c r="D41" s="149">
        <v>2022</v>
      </c>
      <c r="E41" s="223">
        <v>4</v>
      </c>
      <c r="F41" s="223">
        <v>60</v>
      </c>
      <c r="G41" s="223">
        <v>45</v>
      </c>
      <c r="H41" s="223">
        <v>33</v>
      </c>
      <c r="I41" s="223">
        <v>37</v>
      </c>
      <c r="J41" s="223">
        <v>30</v>
      </c>
      <c r="K41" s="223"/>
      <c r="L41" s="223">
        <v>2</v>
      </c>
      <c r="M41" s="223">
        <v>4</v>
      </c>
      <c r="N41" s="223">
        <v>5</v>
      </c>
      <c r="O41" s="223">
        <v>2</v>
      </c>
      <c r="P41" s="223">
        <v>6</v>
      </c>
      <c r="Q41" s="223">
        <v>1</v>
      </c>
      <c r="R41" s="222"/>
    </row>
    <row r="42" spans="2:18" ht="15" customHeight="1">
      <c r="B42" s="153"/>
      <c r="C42" s="152"/>
      <c r="D42" s="149">
        <v>2023</v>
      </c>
      <c r="E42" s="223">
        <v>26</v>
      </c>
      <c r="F42" s="223">
        <v>60</v>
      </c>
      <c r="G42" s="223">
        <v>50</v>
      </c>
      <c r="H42" s="223">
        <v>49</v>
      </c>
      <c r="I42" s="223">
        <v>35</v>
      </c>
      <c r="J42" s="223">
        <v>30</v>
      </c>
      <c r="K42" s="223"/>
      <c r="L42" s="223">
        <v>1</v>
      </c>
      <c r="M42" s="223">
        <v>8</v>
      </c>
      <c r="N42" s="223">
        <v>14</v>
      </c>
      <c r="O42" s="223">
        <v>8</v>
      </c>
      <c r="P42" s="223">
        <v>8</v>
      </c>
      <c r="Q42" s="223">
        <v>2</v>
      </c>
      <c r="R42" s="222"/>
    </row>
    <row r="43" spans="2:18" ht="8.1" customHeight="1">
      <c r="B43" s="153"/>
      <c r="C43" s="148"/>
      <c r="D43" s="149"/>
      <c r="E43" s="150"/>
      <c r="F43" s="203"/>
      <c r="G43" s="203"/>
      <c r="H43" s="203"/>
      <c r="I43" s="203"/>
      <c r="J43" s="203"/>
      <c r="K43" s="203"/>
      <c r="L43" s="203"/>
      <c r="M43" s="204"/>
      <c r="N43" s="204"/>
      <c r="O43" s="204"/>
      <c r="P43" s="204"/>
      <c r="Q43" s="204"/>
      <c r="R43" s="203"/>
    </row>
    <row r="44" spans="2:18" ht="15" customHeight="1">
      <c r="B44" s="151" t="s">
        <v>100</v>
      </c>
      <c r="C44" s="152"/>
      <c r="D44" s="149">
        <v>2021</v>
      </c>
      <c r="E44" s="223">
        <v>21</v>
      </c>
      <c r="F44" s="223">
        <v>113</v>
      </c>
      <c r="G44" s="223">
        <v>76</v>
      </c>
      <c r="H44" s="223">
        <v>48</v>
      </c>
      <c r="I44" s="223">
        <v>53</v>
      </c>
      <c r="J44" s="223">
        <v>49</v>
      </c>
      <c r="K44" s="223"/>
      <c r="L44" s="223">
        <v>5</v>
      </c>
      <c r="M44" s="223">
        <v>12</v>
      </c>
      <c r="N44" s="223">
        <v>6</v>
      </c>
      <c r="O44" s="223">
        <v>4</v>
      </c>
      <c r="P44" s="223">
        <v>7</v>
      </c>
      <c r="Q44" s="223">
        <v>3</v>
      </c>
      <c r="R44" s="222"/>
    </row>
    <row r="45" spans="2:18" ht="15" customHeight="1">
      <c r="B45" s="151"/>
      <c r="C45" s="152"/>
      <c r="D45" s="149">
        <v>2022</v>
      </c>
      <c r="E45" s="223">
        <v>12</v>
      </c>
      <c r="F45" s="223">
        <v>93</v>
      </c>
      <c r="G45" s="223">
        <v>56</v>
      </c>
      <c r="H45" s="223">
        <v>46</v>
      </c>
      <c r="I45" s="223">
        <v>48</v>
      </c>
      <c r="J45" s="223">
        <v>37</v>
      </c>
      <c r="K45" s="223"/>
      <c r="L45" s="223">
        <v>2</v>
      </c>
      <c r="M45" s="223">
        <v>7</v>
      </c>
      <c r="N45" s="223">
        <v>8</v>
      </c>
      <c r="O45" s="223">
        <v>5</v>
      </c>
      <c r="P45" s="223">
        <v>9</v>
      </c>
      <c r="Q45" s="223">
        <v>1</v>
      </c>
      <c r="R45" s="222"/>
    </row>
    <row r="46" spans="2:18" ht="15" customHeight="1">
      <c r="B46" s="151"/>
      <c r="C46" s="152"/>
      <c r="D46" s="149">
        <v>2023</v>
      </c>
      <c r="E46" s="223">
        <v>30</v>
      </c>
      <c r="F46" s="223">
        <v>139</v>
      </c>
      <c r="G46" s="223">
        <v>77</v>
      </c>
      <c r="H46" s="223">
        <v>63</v>
      </c>
      <c r="I46" s="223">
        <v>50</v>
      </c>
      <c r="J46" s="223">
        <v>49</v>
      </c>
      <c r="K46" s="223"/>
      <c r="L46" s="223">
        <v>1</v>
      </c>
      <c r="M46" s="223">
        <v>10</v>
      </c>
      <c r="N46" s="223">
        <v>11</v>
      </c>
      <c r="O46" s="223">
        <v>21</v>
      </c>
      <c r="P46" s="223">
        <v>7</v>
      </c>
      <c r="Q46" s="223">
        <v>7</v>
      </c>
      <c r="R46" s="222"/>
    </row>
    <row r="47" spans="2:18" ht="8.1" customHeight="1">
      <c r="B47" s="151"/>
      <c r="C47" s="154"/>
      <c r="D47" s="149"/>
      <c r="E47" s="150"/>
      <c r="F47" s="203"/>
      <c r="G47" s="203"/>
      <c r="H47" s="203"/>
      <c r="I47" s="203"/>
      <c r="J47" s="203"/>
      <c r="K47" s="203"/>
      <c r="L47" s="203"/>
      <c r="M47" s="204"/>
      <c r="N47" s="204"/>
      <c r="O47" s="204"/>
      <c r="P47" s="204"/>
      <c r="Q47" s="204"/>
      <c r="R47" s="203"/>
    </row>
    <row r="48" spans="2:18" ht="15" customHeight="1">
      <c r="B48" s="151" t="s">
        <v>101</v>
      </c>
      <c r="C48" s="152"/>
      <c r="D48" s="149">
        <v>2021</v>
      </c>
      <c r="E48" s="223">
        <v>8</v>
      </c>
      <c r="F48" s="223">
        <v>57</v>
      </c>
      <c r="G48" s="223">
        <v>34</v>
      </c>
      <c r="H48" s="223">
        <v>29</v>
      </c>
      <c r="I48" s="223">
        <v>39</v>
      </c>
      <c r="J48" s="223">
        <v>42</v>
      </c>
      <c r="K48" s="223"/>
      <c r="L48" s="231" t="s">
        <v>22</v>
      </c>
      <c r="M48" s="223">
        <v>6</v>
      </c>
      <c r="N48" s="223">
        <v>8</v>
      </c>
      <c r="O48" s="223">
        <v>1</v>
      </c>
      <c r="P48" s="223">
        <v>3</v>
      </c>
      <c r="Q48" s="223">
        <v>2</v>
      </c>
      <c r="R48" s="222"/>
    </row>
    <row r="49" spans="2:18" ht="15" customHeight="1">
      <c r="B49" s="153"/>
      <c r="C49" s="152"/>
      <c r="D49" s="149">
        <v>2022</v>
      </c>
      <c r="E49" s="223">
        <v>18</v>
      </c>
      <c r="F49" s="223">
        <v>63</v>
      </c>
      <c r="G49" s="223">
        <v>48</v>
      </c>
      <c r="H49" s="223">
        <v>45</v>
      </c>
      <c r="I49" s="223">
        <v>38</v>
      </c>
      <c r="J49" s="223">
        <v>40</v>
      </c>
      <c r="K49" s="223"/>
      <c r="L49" s="231" t="s">
        <v>22</v>
      </c>
      <c r="M49" s="223">
        <v>5</v>
      </c>
      <c r="N49" s="223">
        <v>4</v>
      </c>
      <c r="O49" s="223">
        <v>11</v>
      </c>
      <c r="P49" s="223">
        <v>4</v>
      </c>
      <c r="Q49" s="223">
        <v>6</v>
      </c>
      <c r="R49" s="222"/>
    </row>
    <row r="50" spans="2:18" ht="15" customHeight="1">
      <c r="B50" s="153"/>
      <c r="C50" s="152"/>
      <c r="D50" s="149">
        <v>2023</v>
      </c>
      <c r="E50" s="223">
        <v>31</v>
      </c>
      <c r="F50" s="223">
        <v>85</v>
      </c>
      <c r="G50" s="223">
        <v>53</v>
      </c>
      <c r="H50" s="223">
        <v>50</v>
      </c>
      <c r="I50" s="223">
        <v>47</v>
      </c>
      <c r="J50" s="223">
        <v>42</v>
      </c>
      <c r="K50" s="223"/>
      <c r="L50" s="223">
        <v>3</v>
      </c>
      <c r="M50" s="223">
        <v>17</v>
      </c>
      <c r="N50" s="223">
        <v>19</v>
      </c>
      <c r="O50" s="223">
        <v>6</v>
      </c>
      <c r="P50" s="223">
        <v>12</v>
      </c>
      <c r="Q50" s="223">
        <v>8</v>
      </c>
      <c r="R50" s="222"/>
    </row>
    <row r="51" spans="2:18" ht="8.1" customHeight="1">
      <c r="B51" s="153"/>
      <c r="C51" s="138"/>
      <c r="D51" s="149"/>
      <c r="E51" s="150"/>
      <c r="F51" s="203"/>
      <c r="G51" s="203"/>
      <c r="H51" s="203"/>
      <c r="I51" s="203"/>
      <c r="J51" s="203"/>
      <c r="K51" s="203"/>
      <c r="L51" s="203"/>
      <c r="M51" s="207"/>
      <c r="N51" s="207"/>
      <c r="O51" s="204"/>
      <c r="P51" s="204"/>
      <c r="Q51" s="204"/>
      <c r="R51" s="203"/>
    </row>
    <row r="52" spans="2:18" ht="15" customHeight="1">
      <c r="B52" s="151" t="s">
        <v>102</v>
      </c>
      <c r="C52" s="152"/>
      <c r="D52" s="149">
        <v>2021</v>
      </c>
      <c r="E52" s="223">
        <v>3</v>
      </c>
      <c r="F52" s="223">
        <v>14</v>
      </c>
      <c r="G52" s="223">
        <v>7</v>
      </c>
      <c r="H52" s="223">
        <v>7</v>
      </c>
      <c r="I52" s="223">
        <v>5</v>
      </c>
      <c r="J52" s="223">
        <v>5</v>
      </c>
      <c r="K52" s="223"/>
      <c r="L52" s="231" t="s">
        <v>22</v>
      </c>
      <c r="M52" s="223">
        <v>3</v>
      </c>
      <c r="N52" s="223">
        <v>1</v>
      </c>
      <c r="O52" s="223">
        <v>1</v>
      </c>
      <c r="P52" s="223">
        <v>2</v>
      </c>
      <c r="Q52" s="223">
        <v>2</v>
      </c>
      <c r="R52" s="222"/>
    </row>
    <row r="53" spans="2:18" ht="15" customHeight="1">
      <c r="B53" s="153"/>
      <c r="C53" s="152"/>
      <c r="D53" s="149">
        <v>2022</v>
      </c>
      <c r="E53" s="223">
        <v>8</v>
      </c>
      <c r="F53" s="223">
        <v>13</v>
      </c>
      <c r="G53" s="223">
        <v>13</v>
      </c>
      <c r="H53" s="223">
        <v>4</v>
      </c>
      <c r="I53" s="223">
        <v>5</v>
      </c>
      <c r="J53" s="223">
        <v>4</v>
      </c>
      <c r="K53" s="223"/>
      <c r="L53" s="223">
        <v>1</v>
      </c>
      <c r="M53" s="223">
        <v>3</v>
      </c>
      <c r="N53" s="223">
        <v>4</v>
      </c>
      <c r="O53" s="223">
        <v>4</v>
      </c>
      <c r="P53" s="231" t="s">
        <v>22</v>
      </c>
      <c r="Q53" s="223">
        <v>2</v>
      </c>
      <c r="R53" s="222"/>
    </row>
    <row r="54" spans="2:18" ht="15" customHeight="1">
      <c r="B54" s="153"/>
      <c r="C54" s="152"/>
      <c r="D54" s="149">
        <v>2023</v>
      </c>
      <c r="E54" s="223">
        <v>10</v>
      </c>
      <c r="F54" s="223">
        <v>27</v>
      </c>
      <c r="G54" s="223">
        <v>8</v>
      </c>
      <c r="H54" s="223">
        <v>3</v>
      </c>
      <c r="I54" s="223">
        <v>4</v>
      </c>
      <c r="J54" s="223">
        <v>7</v>
      </c>
      <c r="K54" s="223"/>
      <c r="L54" s="223">
        <v>1</v>
      </c>
      <c r="M54" s="223">
        <v>2</v>
      </c>
      <c r="N54" s="223">
        <v>2</v>
      </c>
      <c r="O54" s="223">
        <v>2</v>
      </c>
      <c r="P54" s="223">
        <v>2</v>
      </c>
      <c r="Q54" s="231" t="s">
        <v>22</v>
      </c>
      <c r="R54" s="222"/>
    </row>
    <row r="55" spans="2:18" ht="8.1" customHeight="1">
      <c r="B55" s="153"/>
      <c r="C55" s="154"/>
      <c r="D55" s="149"/>
      <c r="E55" s="150"/>
      <c r="F55" s="203"/>
      <c r="G55" s="203"/>
      <c r="H55" s="203"/>
      <c r="I55" s="203"/>
      <c r="J55" s="203"/>
      <c r="K55" s="203"/>
      <c r="L55" s="203"/>
      <c r="M55" s="204"/>
      <c r="N55" s="204"/>
      <c r="O55" s="204"/>
      <c r="P55" s="204"/>
      <c r="Q55" s="204"/>
      <c r="R55" s="203"/>
    </row>
    <row r="56" spans="2:18" ht="15" customHeight="1">
      <c r="B56" s="151" t="s">
        <v>103</v>
      </c>
      <c r="C56" s="152"/>
      <c r="D56" s="149">
        <v>2021</v>
      </c>
      <c r="E56" s="223">
        <v>12</v>
      </c>
      <c r="F56" s="223">
        <v>94</v>
      </c>
      <c r="G56" s="223">
        <v>83</v>
      </c>
      <c r="H56" s="223">
        <v>72</v>
      </c>
      <c r="I56" s="223">
        <v>70</v>
      </c>
      <c r="J56" s="223">
        <v>62</v>
      </c>
      <c r="K56" s="223"/>
      <c r="L56" s="223">
        <v>2</v>
      </c>
      <c r="M56" s="223">
        <v>11</v>
      </c>
      <c r="N56" s="223">
        <v>8</v>
      </c>
      <c r="O56" s="223">
        <v>10</v>
      </c>
      <c r="P56" s="223">
        <v>8</v>
      </c>
      <c r="Q56" s="223">
        <v>2</v>
      </c>
      <c r="R56" s="222"/>
    </row>
    <row r="57" spans="2:18" ht="15" customHeight="1">
      <c r="B57" s="153"/>
      <c r="C57" s="152"/>
      <c r="D57" s="149">
        <v>2022</v>
      </c>
      <c r="E57" s="223">
        <v>11</v>
      </c>
      <c r="F57" s="223">
        <v>86</v>
      </c>
      <c r="G57" s="223">
        <v>67</v>
      </c>
      <c r="H57" s="223">
        <v>58</v>
      </c>
      <c r="I57" s="223">
        <v>51</v>
      </c>
      <c r="J57" s="223">
        <v>50</v>
      </c>
      <c r="K57" s="223"/>
      <c r="L57" s="223">
        <v>3</v>
      </c>
      <c r="M57" s="223">
        <v>10</v>
      </c>
      <c r="N57" s="223">
        <v>11</v>
      </c>
      <c r="O57" s="223">
        <v>14</v>
      </c>
      <c r="P57" s="223">
        <v>8</v>
      </c>
      <c r="Q57" s="223">
        <v>6</v>
      </c>
      <c r="R57" s="222"/>
    </row>
    <row r="58" spans="2:18" ht="15" customHeight="1">
      <c r="B58" s="153"/>
      <c r="C58" s="152"/>
      <c r="D58" s="149">
        <v>2023</v>
      </c>
      <c r="E58" s="223">
        <v>39</v>
      </c>
      <c r="F58" s="223">
        <v>292</v>
      </c>
      <c r="G58" s="223">
        <v>171</v>
      </c>
      <c r="H58" s="223">
        <v>129</v>
      </c>
      <c r="I58" s="223">
        <v>102</v>
      </c>
      <c r="J58" s="223">
        <v>101</v>
      </c>
      <c r="K58" s="223"/>
      <c r="L58" s="223">
        <v>7</v>
      </c>
      <c r="M58" s="223">
        <v>37</v>
      </c>
      <c r="N58" s="223">
        <v>51</v>
      </c>
      <c r="O58" s="223">
        <v>43</v>
      </c>
      <c r="P58" s="223">
        <v>21</v>
      </c>
      <c r="Q58" s="223">
        <v>10</v>
      </c>
      <c r="R58" s="222"/>
    </row>
    <row r="59" spans="2:18" ht="8.1" customHeight="1">
      <c r="B59" s="153"/>
      <c r="C59" s="148"/>
      <c r="D59" s="149"/>
      <c r="E59" s="150"/>
      <c r="F59" s="203"/>
      <c r="G59" s="203"/>
      <c r="H59" s="203"/>
      <c r="I59" s="203"/>
      <c r="J59" s="203"/>
      <c r="K59" s="203"/>
      <c r="L59" s="203"/>
      <c r="M59" s="204"/>
      <c r="N59" s="204"/>
      <c r="O59" s="204"/>
      <c r="P59" s="204"/>
      <c r="Q59" s="204"/>
      <c r="R59" s="203"/>
    </row>
    <row r="60" spans="2:18" ht="15" customHeight="1">
      <c r="B60" s="151" t="s">
        <v>104</v>
      </c>
      <c r="C60" s="152"/>
      <c r="D60" s="149">
        <v>2021</v>
      </c>
      <c r="E60" s="223">
        <v>2</v>
      </c>
      <c r="F60" s="223">
        <v>31</v>
      </c>
      <c r="G60" s="223">
        <v>18</v>
      </c>
      <c r="H60" s="223">
        <v>14</v>
      </c>
      <c r="I60" s="223">
        <v>17</v>
      </c>
      <c r="J60" s="223">
        <v>6</v>
      </c>
      <c r="K60" s="223"/>
      <c r="L60" s="223">
        <v>6</v>
      </c>
      <c r="M60" s="223">
        <v>15</v>
      </c>
      <c r="N60" s="223">
        <v>3</v>
      </c>
      <c r="O60" s="223">
        <v>4</v>
      </c>
      <c r="P60" s="223">
        <v>6</v>
      </c>
      <c r="Q60" s="223">
        <v>4</v>
      </c>
      <c r="R60" s="222"/>
    </row>
    <row r="61" spans="2:18" ht="15" customHeight="1">
      <c r="B61" s="153"/>
      <c r="C61" s="152"/>
      <c r="D61" s="149">
        <v>2022</v>
      </c>
      <c r="E61" s="223">
        <v>4</v>
      </c>
      <c r="F61" s="223">
        <v>43</v>
      </c>
      <c r="G61" s="223">
        <v>27</v>
      </c>
      <c r="H61" s="223">
        <v>25</v>
      </c>
      <c r="I61" s="223">
        <v>22</v>
      </c>
      <c r="J61" s="223">
        <v>19</v>
      </c>
      <c r="K61" s="223"/>
      <c r="L61" s="231" t="s">
        <v>22</v>
      </c>
      <c r="M61" s="223">
        <v>7</v>
      </c>
      <c r="N61" s="223">
        <v>15</v>
      </c>
      <c r="O61" s="223">
        <v>4</v>
      </c>
      <c r="P61" s="223">
        <v>11</v>
      </c>
      <c r="Q61" s="223">
        <v>5</v>
      </c>
      <c r="R61" s="222"/>
    </row>
    <row r="62" spans="2:18" ht="15" customHeight="1">
      <c r="B62" s="153"/>
      <c r="C62" s="152"/>
      <c r="D62" s="149">
        <v>2023</v>
      </c>
      <c r="E62" s="223">
        <v>7</v>
      </c>
      <c r="F62" s="223">
        <v>44</v>
      </c>
      <c r="G62" s="223">
        <v>42</v>
      </c>
      <c r="H62" s="223">
        <v>20</v>
      </c>
      <c r="I62" s="223">
        <v>20</v>
      </c>
      <c r="J62" s="223">
        <v>15</v>
      </c>
      <c r="K62" s="223"/>
      <c r="L62" s="223">
        <v>5</v>
      </c>
      <c r="M62" s="223">
        <v>14</v>
      </c>
      <c r="N62" s="223">
        <v>11</v>
      </c>
      <c r="O62" s="223">
        <v>8</v>
      </c>
      <c r="P62" s="223">
        <v>10</v>
      </c>
      <c r="Q62" s="223">
        <v>5</v>
      </c>
      <c r="R62" s="222"/>
    </row>
    <row r="63" spans="2:18" ht="8.1" customHeight="1">
      <c r="B63" s="153"/>
      <c r="C63" s="154"/>
      <c r="D63" s="149"/>
      <c r="E63" s="150"/>
      <c r="F63" s="203"/>
      <c r="G63" s="203"/>
      <c r="H63" s="203"/>
      <c r="I63" s="203"/>
      <c r="J63" s="203"/>
      <c r="K63" s="203"/>
      <c r="L63" s="203"/>
      <c r="M63" s="204"/>
      <c r="N63" s="204"/>
      <c r="O63" s="204"/>
      <c r="P63" s="208"/>
      <c r="Q63" s="208"/>
      <c r="R63" s="203"/>
    </row>
    <row r="64" spans="2:18" ht="15" customHeight="1">
      <c r="B64" s="151" t="s">
        <v>108</v>
      </c>
      <c r="C64" s="152"/>
      <c r="D64" s="149">
        <v>2021</v>
      </c>
      <c r="E64" s="223">
        <v>6</v>
      </c>
      <c r="F64" s="223">
        <v>22</v>
      </c>
      <c r="G64" s="223">
        <v>30</v>
      </c>
      <c r="H64" s="223">
        <v>26</v>
      </c>
      <c r="I64" s="223">
        <v>18</v>
      </c>
      <c r="J64" s="223">
        <v>23</v>
      </c>
      <c r="K64" s="223"/>
      <c r="L64" s="223">
        <v>1</v>
      </c>
      <c r="M64" s="223">
        <v>4</v>
      </c>
      <c r="N64" s="223">
        <v>4</v>
      </c>
      <c r="O64" s="223">
        <v>5</v>
      </c>
      <c r="P64" s="223">
        <v>5</v>
      </c>
      <c r="Q64" s="223">
        <v>3</v>
      </c>
      <c r="R64" s="222"/>
    </row>
    <row r="65" spans="1:18" ht="15" customHeight="1">
      <c r="B65" s="153"/>
      <c r="C65" s="152"/>
      <c r="D65" s="149">
        <v>2022</v>
      </c>
      <c r="E65" s="223">
        <v>4</v>
      </c>
      <c r="F65" s="223">
        <v>50</v>
      </c>
      <c r="G65" s="223">
        <v>41</v>
      </c>
      <c r="H65" s="223">
        <v>28</v>
      </c>
      <c r="I65" s="223">
        <v>33</v>
      </c>
      <c r="J65" s="223">
        <v>21</v>
      </c>
      <c r="K65" s="223"/>
      <c r="L65" s="223">
        <v>1</v>
      </c>
      <c r="M65" s="223">
        <v>4</v>
      </c>
      <c r="N65" s="223">
        <v>9</v>
      </c>
      <c r="O65" s="223">
        <v>4</v>
      </c>
      <c r="P65" s="223">
        <v>4</v>
      </c>
      <c r="Q65" s="223">
        <v>3</v>
      </c>
      <c r="R65" s="222"/>
    </row>
    <row r="66" spans="1:18" ht="15" customHeight="1">
      <c r="B66" s="153"/>
      <c r="C66" s="152"/>
      <c r="D66" s="149">
        <v>2023</v>
      </c>
      <c r="E66" s="223">
        <v>7</v>
      </c>
      <c r="F66" s="223">
        <v>64</v>
      </c>
      <c r="G66" s="223">
        <v>54</v>
      </c>
      <c r="H66" s="223">
        <v>56</v>
      </c>
      <c r="I66" s="223">
        <v>52</v>
      </c>
      <c r="J66" s="223">
        <v>26</v>
      </c>
      <c r="K66" s="223"/>
      <c r="L66" s="223">
        <v>2</v>
      </c>
      <c r="M66" s="223">
        <v>13</v>
      </c>
      <c r="N66" s="223">
        <v>8</v>
      </c>
      <c r="O66" s="223">
        <v>12</v>
      </c>
      <c r="P66" s="223">
        <v>8</v>
      </c>
      <c r="Q66" s="223">
        <v>5</v>
      </c>
      <c r="R66" s="222"/>
    </row>
    <row r="67" spans="1:18" ht="8.1" customHeight="1">
      <c r="B67" s="155"/>
      <c r="C67" s="145"/>
      <c r="D67" s="149"/>
      <c r="E67" s="150"/>
      <c r="F67" s="203"/>
      <c r="G67" s="203"/>
      <c r="H67" s="203"/>
      <c r="I67" s="203"/>
      <c r="J67" s="203"/>
      <c r="K67" s="203"/>
      <c r="L67" s="203"/>
      <c r="M67" s="208"/>
      <c r="N67" s="208"/>
      <c r="O67" s="204"/>
      <c r="P67" s="204"/>
      <c r="Q67" s="204"/>
      <c r="R67" s="203"/>
    </row>
    <row r="68" spans="1:18" ht="15" customHeight="1">
      <c r="B68" s="151" t="s">
        <v>105</v>
      </c>
      <c r="C68" s="152"/>
      <c r="D68" s="149">
        <v>2021</v>
      </c>
      <c r="E68" s="223">
        <v>18</v>
      </c>
      <c r="F68" s="223">
        <v>69</v>
      </c>
      <c r="G68" s="223">
        <v>53</v>
      </c>
      <c r="H68" s="223">
        <v>45</v>
      </c>
      <c r="I68" s="223">
        <v>30</v>
      </c>
      <c r="J68" s="223">
        <v>29</v>
      </c>
      <c r="K68" s="223"/>
      <c r="L68" s="223">
        <v>2</v>
      </c>
      <c r="M68" s="223">
        <v>27</v>
      </c>
      <c r="N68" s="223">
        <v>20</v>
      </c>
      <c r="O68" s="223">
        <v>16</v>
      </c>
      <c r="P68" s="223">
        <v>19</v>
      </c>
      <c r="Q68" s="223">
        <v>11</v>
      </c>
      <c r="R68" s="222"/>
    </row>
    <row r="69" spans="1:18" ht="15" customHeight="1">
      <c r="B69" s="153"/>
      <c r="C69" s="152"/>
      <c r="D69" s="149">
        <v>2022</v>
      </c>
      <c r="E69" s="223">
        <v>10</v>
      </c>
      <c r="F69" s="223">
        <v>77</v>
      </c>
      <c r="G69" s="223">
        <v>38</v>
      </c>
      <c r="H69" s="223">
        <v>54</v>
      </c>
      <c r="I69" s="223">
        <v>30</v>
      </c>
      <c r="J69" s="223">
        <v>28</v>
      </c>
      <c r="K69" s="223"/>
      <c r="L69" s="223">
        <v>6</v>
      </c>
      <c r="M69" s="223">
        <v>18</v>
      </c>
      <c r="N69" s="223">
        <v>24</v>
      </c>
      <c r="O69" s="223">
        <v>23</v>
      </c>
      <c r="P69" s="223">
        <v>17</v>
      </c>
      <c r="Q69" s="223">
        <v>8</v>
      </c>
      <c r="R69" s="222"/>
    </row>
    <row r="70" spans="1:18" ht="15" customHeight="1">
      <c r="B70" s="153"/>
      <c r="C70" s="152"/>
      <c r="D70" s="149">
        <v>2023</v>
      </c>
      <c r="E70" s="223">
        <v>15</v>
      </c>
      <c r="F70" s="223">
        <v>77</v>
      </c>
      <c r="G70" s="223">
        <v>46</v>
      </c>
      <c r="H70" s="223">
        <v>56</v>
      </c>
      <c r="I70" s="223">
        <v>33</v>
      </c>
      <c r="J70" s="223">
        <v>45</v>
      </c>
      <c r="K70" s="223"/>
      <c r="L70" s="223">
        <v>3</v>
      </c>
      <c r="M70" s="223">
        <v>26</v>
      </c>
      <c r="N70" s="223">
        <v>17</v>
      </c>
      <c r="O70" s="223">
        <v>17</v>
      </c>
      <c r="P70" s="223">
        <v>10</v>
      </c>
      <c r="Q70" s="223">
        <v>12</v>
      </c>
      <c r="R70" s="222"/>
    </row>
    <row r="71" spans="1:18" ht="8.1" customHeight="1">
      <c r="B71" s="153"/>
      <c r="C71" s="151"/>
      <c r="D71" s="149"/>
      <c r="E71" s="150"/>
      <c r="F71" s="203"/>
      <c r="G71" s="203"/>
      <c r="H71" s="203"/>
      <c r="I71" s="203"/>
      <c r="J71" s="203"/>
      <c r="K71" s="203"/>
      <c r="L71" s="203"/>
      <c r="M71" s="204"/>
      <c r="N71" s="204"/>
      <c r="O71" s="204"/>
      <c r="P71" s="208"/>
      <c r="Q71" s="208"/>
      <c r="R71" s="203"/>
    </row>
    <row r="72" spans="1:18" ht="15" customHeight="1">
      <c r="B72" s="151" t="s">
        <v>109</v>
      </c>
      <c r="C72" s="152"/>
      <c r="D72" s="149">
        <v>2021</v>
      </c>
      <c r="E72" s="223">
        <v>14</v>
      </c>
      <c r="F72" s="223">
        <v>144</v>
      </c>
      <c r="G72" s="223">
        <v>145</v>
      </c>
      <c r="H72" s="223">
        <v>84</v>
      </c>
      <c r="I72" s="223">
        <v>75</v>
      </c>
      <c r="J72" s="223">
        <v>53</v>
      </c>
      <c r="K72" s="223"/>
      <c r="L72" s="231" t="s">
        <v>22</v>
      </c>
      <c r="M72" s="223">
        <v>8</v>
      </c>
      <c r="N72" s="223">
        <v>5</v>
      </c>
      <c r="O72" s="223">
        <v>7</v>
      </c>
      <c r="P72" s="223">
        <v>9</v>
      </c>
      <c r="Q72" s="223">
        <v>3</v>
      </c>
      <c r="R72" s="222"/>
    </row>
    <row r="73" spans="1:18" ht="15" customHeight="1">
      <c r="B73" s="153"/>
      <c r="C73" s="152"/>
      <c r="D73" s="149">
        <v>2022</v>
      </c>
      <c r="E73" s="223">
        <v>15</v>
      </c>
      <c r="F73" s="223">
        <v>148</v>
      </c>
      <c r="G73" s="223">
        <v>138</v>
      </c>
      <c r="H73" s="223">
        <v>68</v>
      </c>
      <c r="I73" s="223">
        <v>47</v>
      </c>
      <c r="J73" s="223">
        <v>57</v>
      </c>
      <c r="K73" s="223"/>
      <c r="L73" s="223">
        <v>1</v>
      </c>
      <c r="M73" s="223">
        <v>17</v>
      </c>
      <c r="N73" s="223">
        <v>14</v>
      </c>
      <c r="O73" s="223">
        <v>15</v>
      </c>
      <c r="P73" s="223">
        <v>8</v>
      </c>
      <c r="Q73" s="223">
        <v>6</v>
      </c>
      <c r="R73" s="222"/>
    </row>
    <row r="74" spans="1:18" ht="15" customHeight="1">
      <c r="A74" s="177"/>
      <c r="B74" s="225"/>
      <c r="C74" s="226"/>
      <c r="D74" s="227">
        <v>2023</v>
      </c>
      <c r="E74" s="223">
        <v>27</v>
      </c>
      <c r="F74" s="223">
        <v>205</v>
      </c>
      <c r="G74" s="223">
        <v>209</v>
      </c>
      <c r="H74" s="223">
        <v>102</v>
      </c>
      <c r="I74" s="223">
        <v>63</v>
      </c>
      <c r="J74" s="223">
        <v>48</v>
      </c>
      <c r="K74" s="223"/>
      <c r="L74" s="223">
        <v>7</v>
      </c>
      <c r="M74" s="223">
        <v>23</v>
      </c>
      <c r="N74" s="223">
        <v>21</v>
      </c>
      <c r="O74" s="223">
        <v>15</v>
      </c>
      <c r="P74" s="223">
        <v>12</v>
      </c>
      <c r="Q74" s="223">
        <v>9</v>
      </c>
      <c r="R74" s="222"/>
    </row>
    <row r="75" spans="1:18" ht="8.1" customHeight="1" thickBot="1">
      <c r="A75" s="156"/>
      <c r="B75" s="156"/>
      <c r="C75" s="156"/>
      <c r="D75" s="157"/>
      <c r="E75" s="158"/>
      <c r="F75" s="158"/>
      <c r="G75" s="158"/>
      <c r="H75" s="158"/>
      <c r="I75" s="158"/>
      <c r="J75" s="158"/>
      <c r="K75" s="158"/>
      <c r="L75" s="158"/>
      <c r="M75" s="228"/>
      <c r="N75" s="228"/>
      <c r="O75" s="229"/>
      <c r="P75" s="229"/>
      <c r="Q75" s="229"/>
      <c r="R75" s="158"/>
    </row>
    <row r="76" spans="1:18" s="87" customFormat="1" ht="15.95" customHeight="1">
      <c r="B76" s="88"/>
      <c r="C76" s="89"/>
      <c r="D76" s="90"/>
      <c r="E76" s="91"/>
      <c r="F76" s="91"/>
      <c r="R76" s="92" t="s">
        <v>19</v>
      </c>
    </row>
    <row r="77" spans="1:18" s="87" customFormat="1" ht="15.95" customHeight="1">
      <c r="B77" s="88"/>
      <c r="C77" s="89"/>
      <c r="D77" s="90"/>
      <c r="E77" s="91"/>
      <c r="F77" s="91"/>
      <c r="R77" s="93" t="s">
        <v>20</v>
      </c>
    </row>
    <row r="78" spans="1:18" ht="15" customHeight="1">
      <c r="B78" s="212"/>
      <c r="C78" s="213"/>
      <c r="D78" s="214"/>
      <c r="E78" s="219"/>
      <c r="F78" s="220"/>
      <c r="G78" s="220"/>
      <c r="H78" s="220"/>
      <c r="I78" s="220"/>
      <c r="J78" s="220"/>
      <c r="K78" s="220"/>
      <c r="L78" s="220"/>
      <c r="M78" s="221"/>
      <c r="N78" s="221"/>
      <c r="O78" s="196"/>
      <c r="P78" s="196"/>
      <c r="Q78" s="196"/>
      <c r="R78" s="220"/>
    </row>
    <row r="79" spans="1:18" ht="15" customHeight="1">
      <c r="D79" s="217"/>
      <c r="E79" s="216"/>
      <c r="F79" s="216"/>
      <c r="G79" s="216"/>
      <c r="H79" s="216"/>
      <c r="L79" s="215"/>
      <c r="M79" s="218"/>
      <c r="N79" s="218"/>
    </row>
    <row r="80" spans="1:18" ht="15" customHeight="1">
      <c r="B80" s="138"/>
      <c r="C80" s="138"/>
      <c r="D80" s="139"/>
      <c r="E80" s="140"/>
      <c r="F80" s="140"/>
      <c r="G80" s="140"/>
      <c r="H80" s="140"/>
      <c r="I80" s="140"/>
      <c r="J80" s="140"/>
      <c r="K80" s="140"/>
      <c r="L80" s="140"/>
      <c r="R80" s="140"/>
    </row>
    <row r="81" spans="2:18" ht="15" customHeight="1">
      <c r="B81" s="138"/>
      <c r="C81" s="138"/>
      <c r="D81" s="139"/>
      <c r="E81" s="140"/>
      <c r="F81" s="140"/>
      <c r="G81" s="140"/>
      <c r="H81" s="140"/>
      <c r="I81" s="140"/>
      <c r="J81" s="140"/>
      <c r="K81" s="140"/>
      <c r="L81" s="140"/>
      <c r="R81" s="140"/>
    </row>
    <row r="82" spans="2:18" ht="15" customHeight="1">
      <c r="B82" s="138"/>
      <c r="C82" s="138"/>
      <c r="D82" s="139"/>
      <c r="E82" s="140"/>
      <c r="F82" s="140"/>
      <c r="G82" s="140"/>
      <c r="H82" s="140"/>
      <c r="I82" s="140"/>
      <c r="J82" s="140"/>
      <c r="K82" s="140"/>
      <c r="L82" s="140"/>
      <c r="R82" s="140"/>
    </row>
    <row r="83" spans="2:18" ht="15" customHeight="1">
      <c r="B83" s="138"/>
      <c r="C83" s="138"/>
      <c r="D83" s="139"/>
      <c r="E83" s="140"/>
      <c r="F83" s="140"/>
      <c r="G83" s="140"/>
      <c r="H83" s="140"/>
      <c r="I83" s="140"/>
      <c r="J83" s="140"/>
      <c r="K83" s="140"/>
      <c r="L83" s="140"/>
      <c r="R83" s="140"/>
    </row>
    <row r="84" spans="2:18" ht="15" customHeight="1">
      <c r="B84" s="138"/>
      <c r="C84" s="138"/>
      <c r="D84" s="139"/>
      <c r="E84" s="140"/>
      <c r="F84" s="140"/>
      <c r="G84" s="140"/>
      <c r="H84" s="140"/>
      <c r="I84" s="140"/>
      <c r="J84" s="140"/>
      <c r="K84" s="140"/>
      <c r="L84" s="140"/>
      <c r="R84" s="140"/>
    </row>
    <row r="85" spans="2:18" ht="15" customHeight="1">
      <c r="B85" s="138"/>
      <c r="C85" s="138"/>
      <c r="D85" s="139"/>
      <c r="E85" s="140"/>
      <c r="F85" s="140"/>
      <c r="G85" s="140"/>
      <c r="H85" s="140"/>
      <c r="I85" s="140"/>
      <c r="J85" s="140"/>
      <c r="K85" s="140"/>
      <c r="L85" s="140"/>
      <c r="R85" s="140"/>
    </row>
    <row r="86" spans="2:18" ht="15" customHeight="1">
      <c r="B86" s="138"/>
      <c r="C86" s="138"/>
      <c r="D86" s="139"/>
      <c r="E86" s="140"/>
      <c r="F86" s="140"/>
      <c r="G86" s="140"/>
      <c r="H86" s="140"/>
      <c r="I86" s="140"/>
      <c r="J86" s="140"/>
      <c r="K86" s="140"/>
      <c r="L86" s="140"/>
      <c r="R86" s="140"/>
    </row>
    <row r="87" spans="2:18" ht="15" customHeight="1">
      <c r="B87" s="138"/>
      <c r="C87" s="138"/>
      <c r="D87" s="139"/>
      <c r="E87" s="140"/>
      <c r="F87" s="140"/>
      <c r="G87" s="140"/>
      <c r="H87" s="140"/>
      <c r="I87" s="140"/>
      <c r="J87" s="140"/>
      <c r="K87" s="140"/>
      <c r="L87" s="140"/>
      <c r="R87" s="140"/>
    </row>
    <row r="88" spans="2:18" ht="15" customHeight="1">
      <c r="B88" s="138"/>
      <c r="C88" s="138"/>
      <c r="D88" s="139"/>
      <c r="E88" s="140"/>
      <c r="F88" s="140"/>
      <c r="G88" s="140"/>
      <c r="H88" s="140"/>
      <c r="I88" s="140"/>
      <c r="J88" s="140"/>
      <c r="K88" s="140"/>
      <c r="L88" s="140"/>
      <c r="R88" s="140"/>
    </row>
    <row r="89" spans="2:18" ht="15" customHeight="1">
      <c r="B89" s="138"/>
      <c r="C89" s="138"/>
      <c r="D89" s="139"/>
      <c r="E89" s="140"/>
      <c r="F89" s="140"/>
      <c r="G89" s="140"/>
      <c r="H89" s="140"/>
      <c r="I89" s="140"/>
      <c r="J89" s="140"/>
      <c r="K89" s="140"/>
      <c r="L89" s="140"/>
      <c r="R89" s="140"/>
    </row>
    <row r="90" spans="2:18" ht="15" customHeight="1">
      <c r="B90" s="138"/>
      <c r="C90" s="138"/>
      <c r="D90" s="139"/>
      <c r="E90" s="140"/>
      <c r="F90" s="140"/>
      <c r="G90" s="140"/>
      <c r="H90" s="140"/>
      <c r="I90" s="140"/>
      <c r="J90" s="140"/>
      <c r="K90" s="140"/>
      <c r="L90" s="140"/>
      <c r="R90" s="140"/>
    </row>
    <row r="91" spans="2:18" ht="15" customHeight="1">
      <c r="B91" s="138"/>
      <c r="C91" s="138"/>
      <c r="D91" s="139"/>
      <c r="E91" s="140"/>
      <c r="F91" s="140"/>
      <c r="G91" s="140"/>
      <c r="H91" s="140"/>
      <c r="I91" s="140"/>
      <c r="J91" s="140"/>
      <c r="K91" s="140"/>
      <c r="L91" s="140"/>
      <c r="R91" s="140"/>
    </row>
    <row r="92" spans="2:18" ht="15" customHeight="1">
      <c r="B92" s="138"/>
      <c r="C92" s="138"/>
      <c r="D92" s="139"/>
      <c r="E92" s="140"/>
      <c r="F92" s="140"/>
      <c r="G92" s="140"/>
      <c r="H92" s="140"/>
      <c r="I92" s="140"/>
      <c r="J92" s="140"/>
      <c r="K92" s="140"/>
      <c r="L92" s="140"/>
      <c r="R92" s="140"/>
    </row>
    <row r="93" spans="2:18" ht="15" customHeight="1">
      <c r="B93" s="138"/>
      <c r="C93" s="138"/>
      <c r="D93" s="139"/>
      <c r="E93" s="140"/>
      <c r="F93" s="140"/>
      <c r="G93" s="140"/>
      <c r="H93" s="140"/>
      <c r="I93" s="140"/>
      <c r="J93" s="140"/>
      <c r="K93" s="140"/>
      <c r="L93" s="140"/>
      <c r="R93" s="140"/>
    </row>
    <row r="94" spans="2:18" ht="15" customHeight="1">
      <c r="B94" s="138"/>
      <c r="C94" s="138"/>
      <c r="D94" s="139"/>
      <c r="E94" s="140"/>
      <c r="F94" s="140"/>
      <c r="G94" s="140"/>
      <c r="H94" s="140"/>
      <c r="I94" s="140"/>
      <c r="J94" s="140"/>
      <c r="K94" s="140"/>
      <c r="L94" s="140"/>
      <c r="R94" s="140"/>
    </row>
    <row r="95" spans="2:18" ht="15" customHeight="1">
      <c r="B95" s="138"/>
      <c r="C95" s="138"/>
      <c r="D95" s="139"/>
      <c r="E95" s="140"/>
      <c r="F95" s="140"/>
      <c r="G95" s="140"/>
      <c r="H95" s="140"/>
      <c r="I95" s="140"/>
      <c r="J95" s="140"/>
      <c r="K95" s="140"/>
      <c r="L95" s="140"/>
      <c r="R95" s="140"/>
    </row>
    <row r="96" spans="2:18" ht="15" customHeight="1">
      <c r="B96" s="138"/>
      <c r="C96" s="138"/>
      <c r="D96" s="139"/>
      <c r="E96" s="140"/>
      <c r="F96" s="140"/>
      <c r="G96" s="140"/>
      <c r="H96" s="140"/>
      <c r="I96" s="140"/>
      <c r="J96" s="140"/>
      <c r="K96" s="140"/>
      <c r="L96" s="140"/>
      <c r="R96" s="140"/>
    </row>
    <row r="97" spans="2:18" ht="15" customHeight="1">
      <c r="B97" s="138"/>
      <c r="C97" s="138"/>
      <c r="D97" s="139"/>
      <c r="E97" s="140"/>
      <c r="F97" s="140"/>
      <c r="G97" s="140"/>
      <c r="H97" s="140"/>
      <c r="I97" s="140"/>
      <c r="J97" s="140"/>
      <c r="K97" s="140"/>
      <c r="L97" s="140"/>
      <c r="R97" s="140"/>
    </row>
    <row r="98" spans="2:18" ht="15" customHeight="1">
      <c r="B98" s="138"/>
      <c r="C98" s="138"/>
      <c r="D98" s="139"/>
      <c r="E98" s="140"/>
      <c r="F98" s="140"/>
      <c r="G98" s="140"/>
      <c r="H98" s="140"/>
      <c r="I98" s="140"/>
      <c r="J98" s="140"/>
      <c r="K98" s="140"/>
      <c r="L98" s="140"/>
      <c r="R98" s="140"/>
    </row>
    <row r="99" spans="2:18" ht="15" customHeight="1">
      <c r="B99" s="138"/>
      <c r="C99" s="138"/>
      <c r="D99" s="139"/>
      <c r="E99" s="140"/>
      <c r="F99" s="140"/>
      <c r="G99" s="140"/>
      <c r="H99" s="140"/>
      <c r="I99" s="140"/>
      <c r="J99" s="140"/>
      <c r="K99" s="140"/>
      <c r="L99" s="140"/>
      <c r="R99" s="140"/>
    </row>
    <row r="100" spans="2:18" ht="15" customHeight="1">
      <c r="B100" s="138"/>
      <c r="C100" s="138"/>
      <c r="D100" s="139"/>
      <c r="E100" s="140"/>
      <c r="F100" s="140"/>
      <c r="G100" s="140"/>
      <c r="H100" s="140"/>
      <c r="I100" s="140"/>
      <c r="J100" s="140"/>
      <c r="K100" s="140"/>
      <c r="L100" s="140"/>
      <c r="R100" s="140"/>
    </row>
    <row r="101" spans="2:18" ht="15" customHeight="1">
      <c r="B101" s="138"/>
      <c r="C101" s="138"/>
      <c r="D101" s="139"/>
      <c r="E101" s="140"/>
      <c r="F101" s="140"/>
      <c r="G101" s="140"/>
      <c r="H101" s="140"/>
      <c r="I101" s="140"/>
      <c r="J101" s="140"/>
      <c r="K101" s="140"/>
      <c r="L101" s="140"/>
      <c r="R101" s="140"/>
    </row>
    <row r="102" spans="2:18" ht="15" customHeight="1">
      <c r="B102" s="138"/>
      <c r="C102" s="138"/>
      <c r="D102" s="139"/>
      <c r="E102" s="140"/>
      <c r="F102" s="140"/>
      <c r="G102" s="140"/>
      <c r="H102" s="140"/>
      <c r="I102" s="140"/>
      <c r="J102" s="140"/>
      <c r="K102" s="140"/>
      <c r="L102" s="140"/>
      <c r="R102" s="140"/>
    </row>
    <row r="103" spans="2:18" ht="15" customHeight="1">
      <c r="B103" s="138"/>
      <c r="C103" s="138"/>
      <c r="D103" s="139"/>
      <c r="E103" s="140"/>
      <c r="F103" s="140"/>
      <c r="G103" s="140"/>
      <c r="H103" s="140"/>
      <c r="I103" s="140"/>
      <c r="J103" s="140"/>
      <c r="K103" s="140"/>
      <c r="L103" s="140"/>
      <c r="R103" s="140"/>
    </row>
    <row r="104" spans="2:18" ht="15" customHeight="1">
      <c r="B104" s="138"/>
      <c r="C104" s="138"/>
      <c r="D104" s="139"/>
      <c r="E104" s="140"/>
      <c r="F104" s="140"/>
      <c r="G104" s="140"/>
      <c r="H104" s="140"/>
      <c r="I104" s="140"/>
      <c r="J104" s="140"/>
      <c r="K104" s="140"/>
      <c r="L104" s="140"/>
      <c r="R104" s="140"/>
    </row>
    <row r="105" spans="2:18" ht="15" customHeight="1">
      <c r="B105" s="138"/>
      <c r="C105" s="138"/>
      <c r="D105" s="139"/>
      <c r="E105" s="140"/>
      <c r="F105" s="140"/>
      <c r="G105" s="140"/>
      <c r="H105" s="140"/>
      <c r="I105" s="140"/>
      <c r="J105" s="140"/>
      <c r="K105" s="140"/>
      <c r="L105" s="140"/>
      <c r="R105" s="140"/>
    </row>
    <row r="106" spans="2:18" ht="15" customHeight="1">
      <c r="B106" s="138"/>
      <c r="C106" s="138"/>
      <c r="D106" s="139"/>
      <c r="E106" s="140"/>
      <c r="F106" s="140"/>
      <c r="G106" s="140"/>
      <c r="H106" s="140"/>
      <c r="I106" s="140"/>
      <c r="J106" s="140"/>
      <c r="K106" s="140"/>
      <c r="L106" s="140"/>
      <c r="R106" s="140"/>
    </row>
    <row r="107" spans="2:18" ht="15" customHeight="1">
      <c r="B107" s="138"/>
      <c r="C107" s="138"/>
      <c r="D107" s="139"/>
      <c r="E107" s="140"/>
      <c r="F107" s="140"/>
      <c r="G107" s="140"/>
      <c r="H107" s="140"/>
      <c r="I107" s="140"/>
      <c r="J107" s="140"/>
      <c r="K107" s="140"/>
      <c r="L107" s="140"/>
      <c r="R107" s="140"/>
    </row>
    <row r="108" spans="2:18" ht="15" customHeight="1">
      <c r="B108" s="138"/>
      <c r="C108" s="138"/>
      <c r="D108" s="139"/>
      <c r="E108" s="140"/>
      <c r="F108" s="140"/>
      <c r="G108" s="140"/>
      <c r="H108" s="140"/>
      <c r="I108" s="140"/>
      <c r="J108" s="140"/>
      <c r="K108" s="140"/>
      <c r="L108" s="140"/>
      <c r="R108" s="140"/>
    </row>
    <row r="109" spans="2:18" ht="15" customHeight="1">
      <c r="B109" s="138"/>
      <c r="C109" s="138"/>
      <c r="D109" s="139"/>
      <c r="E109" s="140"/>
      <c r="F109" s="140"/>
      <c r="G109" s="140"/>
      <c r="H109" s="140"/>
      <c r="I109" s="140"/>
      <c r="J109" s="140"/>
      <c r="K109" s="140"/>
      <c r="L109" s="140"/>
      <c r="R109" s="140"/>
    </row>
    <row r="110" spans="2:18" ht="15" customHeight="1">
      <c r="B110" s="138"/>
      <c r="C110" s="138"/>
      <c r="D110" s="139"/>
      <c r="E110" s="140"/>
      <c r="F110" s="140"/>
      <c r="G110" s="140"/>
      <c r="H110" s="140"/>
      <c r="I110" s="140"/>
      <c r="J110" s="140"/>
      <c r="K110" s="140"/>
      <c r="L110" s="140"/>
      <c r="R110" s="140"/>
    </row>
    <row r="111" spans="2:18" ht="15" customHeight="1">
      <c r="B111" s="138"/>
      <c r="C111" s="138"/>
      <c r="D111" s="139"/>
      <c r="E111" s="140"/>
      <c r="F111" s="140"/>
      <c r="G111" s="140"/>
      <c r="H111" s="140"/>
      <c r="I111" s="140"/>
      <c r="J111" s="140"/>
      <c r="K111" s="140"/>
      <c r="L111" s="140"/>
      <c r="R111" s="140"/>
    </row>
    <row r="112" spans="2:18" ht="15" customHeight="1">
      <c r="B112" s="138"/>
      <c r="C112" s="138"/>
      <c r="D112" s="139"/>
      <c r="E112" s="140"/>
      <c r="F112" s="140"/>
      <c r="G112" s="140"/>
      <c r="H112" s="140"/>
      <c r="I112" s="140"/>
      <c r="J112" s="140"/>
      <c r="K112" s="140"/>
      <c r="L112" s="140"/>
      <c r="R112" s="140"/>
    </row>
    <row r="113" spans="2:18" ht="15" customHeight="1">
      <c r="B113" s="138"/>
      <c r="C113" s="138"/>
      <c r="D113" s="139"/>
      <c r="E113" s="140"/>
      <c r="F113" s="140"/>
      <c r="G113" s="140"/>
      <c r="H113" s="140"/>
      <c r="I113" s="140"/>
      <c r="J113" s="140"/>
      <c r="K113" s="140"/>
      <c r="L113" s="140"/>
      <c r="R113" s="140"/>
    </row>
    <row r="114" spans="2:18" ht="15" customHeight="1">
      <c r="B114" s="138"/>
      <c r="C114" s="138"/>
      <c r="D114" s="139"/>
      <c r="E114" s="140"/>
      <c r="F114" s="140"/>
      <c r="G114" s="140"/>
      <c r="H114" s="140"/>
      <c r="I114" s="140"/>
      <c r="J114" s="140"/>
      <c r="K114" s="140"/>
      <c r="L114" s="140"/>
      <c r="R114" s="140"/>
    </row>
    <row r="115" spans="2:18" ht="15" customHeight="1">
      <c r="B115" s="138"/>
      <c r="C115" s="138"/>
      <c r="D115" s="139"/>
      <c r="E115" s="140"/>
      <c r="F115" s="140"/>
      <c r="G115" s="140"/>
      <c r="H115" s="140"/>
      <c r="I115" s="140"/>
      <c r="J115" s="140"/>
      <c r="K115" s="140"/>
      <c r="L115" s="140"/>
      <c r="R115" s="140"/>
    </row>
    <row r="116" spans="2:18" ht="15" customHeight="1">
      <c r="B116" s="138"/>
      <c r="C116" s="138"/>
      <c r="D116" s="139"/>
      <c r="E116" s="140"/>
      <c r="F116" s="140"/>
      <c r="G116" s="140"/>
      <c r="H116" s="140"/>
      <c r="I116" s="140"/>
      <c r="J116" s="140"/>
      <c r="K116" s="140"/>
      <c r="L116" s="140"/>
      <c r="R116" s="140"/>
    </row>
    <row r="117" spans="2:18" ht="15" customHeight="1">
      <c r="B117" s="138"/>
      <c r="C117" s="138"/>
      <c r="D117" s="139"/>
      <c r="E117" s="140"/>
      <c r="F117" s="140"/>
      <c r="G117" s="140"/>
      <c r="H117" s="140"/>
      <c r="I117" s="140"/>
      <c r="J117" s="140"/>
      <c r="K117" s="140"/>
      <c r="L117" s="140"/>
      <c r="R117" s="140"/>
    </row>
    <row r="118" spans="2:18" ht="15" customHeight="1">
      <c r="B118" s="138"/>
      <c r="C118" s="138"/>
      <c r="D118" s="139"/>
      <c r="E118" s="140"/>
      <c r="F118" s="140"/>
      <c r="G118" s="140"/>
      <c r="H118" s="140"/>
      <c r="I118" s="140"/>
      <c r="J118" s="140"/>
      <c r="K118" s="140"/>
      <c r="L118" s="140"/>
      <c r="R118" s="140"/>
    </row>
    <row r="119" spans="2:18" ht="15" customHeight="1">
      <c r="B119" s="138"/>
      <c r="C119" s="138"/>
      <c r="D119" s="139"/>
      <c r="E119" s="140"/>
      <c r="F119" s="140"/>
      <c r="G119" s="140"/>
      <c r="H119" s="140"/>
      <c r="I119" s="140"/>
      <c r="J119" s="140"/>
      <c r="K119" s="140"/>
      <c r="L119" s="140"/>
      <c r="R119" s="140"/>
    </row>
    <row r="120" spans="2:18" ht="15" customHeight="1">
      <c r="B120" s="138"/>
      <c r="C120" s="138"/>
      <c r="D120" s="139"/>
      <c r="E120" s="140"/>
      <c r="F120" s="140"/>
      <c r="G120" s="140"/>
      <c r="H120" s="140"/>
      <c r="I120" s="140"/>
      <c r="J120" s="140"/>
      <c r="K120" s="140"/>
      <c r="L120" s="140"/>
      <c r="R120" s="140"/>
    </row>
    <row r="121" spans="2:18" ht="15" customHeight="1">
      <c r="B121" s="138"/>
      <c r="C121" s="138"/>
      <c r="D121" s="139"/>
      <c r="E121" s="140"/>
      <c r="F121" s="140"/>
      <c r="G121" s="140"/>
      <c r="H121" s="140"/>
      <c r="I121" s="140"/>
      <c r="J121" s="140"/>
      <c r="K121" s="140"/>
      <c r="L121" s="140"/>
      <c r="R121" s="140"/>
    </row>
    <row r="122" spans="2:18" ht="15" customHeight="1">
      <c r="B122" s="138"/>
      <c r="C122" s="138"/>
      <c r="D122" s="139"/>
      <c r="E122" s="140"/>
      <c r="F122" s="140"/>
      <c r="G122" s="140"/>
      <c r="H122" s="140"/>
      <c r="I122" s="140"/>
      <c r="J122" s="140"/>
      <c r="K122" s="140"/>
      <c r="L122" s="140"/>
      <c r="R122" s="140"/>
    </row>
    <row r="123" spans="2:18" ht="15" customHeight="1">
      <c r="B123" s="138"/>
      <c r="C123" s="138"/>
      <c r="D123" s="139"/>
      <c r="E123" s="140"/>
      <c r="F123" s="140"/>
      <c r="G123" s="140"/>
      <c r="H123" s="140"/>
      <c r="I123" s="140"/>
      <c r="J123" s="140"/>
      <c r="K123" s="140"/>
      <c r="L123" s="140"/>
      <c r="R123" s="140"/>
    </row>
    <row r="124" spans="2:18" ht="15" customHeight="1">
      <c r="B124" s="138"/>
      <c r="C124" s="138"/>
      <c r="D124" s="139"/>
      <c r="E124" s="140"/>
      <c r="F124" s="140"/>
      <c r="G124" s="140"/>
      <c r="H124" s="140"/>
      <c r="I124" s="140"/>
      <c r="J124" s="140"/>
      <c r="K124" s="140"/>
      <c r="L124" s="140"/>
      <c r="R124" s="140"/>
    </row>
    <row r="125" spans="2:18" ht="15" customHeight="1">
      <c r="B125" s="138"/>
      <c r="C125" s="138"/>
      <c r="D125" s="139"/>
      <c r="E125" s="140"/>
      <c r="F125" s="140"/>
      <c r="G125" s="140"/>
      <c r="H125" s="140"/>
      <c r="I125" s="140"/>
      <c r="J125" s="140"/>
      <c r="K125" s="140"/>
      <c r="L125" s="140"/>
      <c r="R125" s="140"/>
    </row>
    <row r="126" spans="2:18" ht="15" customHeight="1">
      <c r="B126" s="138"/>
      <c r="C126" s="138"/>
      <c r="D126" s="139"/>
      <c r="E126" s="140"/>
      <c r="F126" s="140"/>
      <c r="G126" s="140"/>
      <c r="H126" s="140"/>
      <c r="I126" s="140"/>
      <c r="J126" s="140"/>
      <c r="K126" s="140"/>
      <c r="L126" s="140"/>
      <c r="R126" s="140"/>
    </row>
    <row r="127" spans="2:18" ht="15" customHeight="1">
      <c r="B127" s="138"/>
      <c r="C127" s="138"/>
      <c r="D127" s="139"/>
      <c r="E127" s="140"/>
      <c r="F127" s="140"/>
      <c r="G127" s="140"/>
      <c r="H127" s="140"/>
      <c r="I127" s="140"/>
      <c r="J127" s="140"/>
      <c r="K127" s="140"/>
      <c r="L127" s="140"/>
      <c r="R127" s="140"/>
    </row>
    <row r="128" spans="2:18" ht="15" customHeight="1">
      <c r="B128" s="138"/>
      <c r="C128" s="138"/>
      <c r="D128" s="139"/>
      <c r="E128" s="140"/>
      <c r="F128" s="140"/>
      <c r="G128" s="140"/>
      <c r="H128" s="140"/>
      <c r="I128" s="140"/>
      <c r="J128" s="140"/>
      <c r="K128" s="140"/>
      <c r="L128" s="140"/>
      <c r="R128" s="140"/>
    </row>
    <row r="129" spans="2:18" ht="15" customHeight="1">
      <c r="B129" s="138"/>
      <c r="C129" s="138"/>
      <c r="D129" s="139"/>
      <c r="E129" s="140"/>
      <c r="F129" s="140"/>
      <c r="G129" s="140"/>
      <c r="H129" s="140"/>
      <c r="I129" s="140"/>
      <c r="J129" s="140"/>
      <c r="K129" s="140"/>
      <c r="L129" s="140"/>
      <c r="R129" s="140"/>
    </row>
    <row r="130" spans="2:18" ht="15" customHeight="1">
      <c r="B130" s="138"/>
      <c r="C130" s="138"/>
      <c r="D130" s="139"/>
      <c r="E130" s="140"/>
      <c r="F130" s="140"/>
      <c r="G130" s="140"/>
      <c r="H130" s="140"/>
      <c r="I130" s="140"/>
      <c r="J130" s="140"/>
      <c r="K130" s="140"/>
      <c r="L130" s="140"/>
      <c r="R130" s="140"/>
    </row>
    <row r="131" spans="2:18" ht="15" customHeight="1">
      <c r="B131" s="138"/>
      <c r="C131" s="138"/>
      <c r="D131" s="139"/>
      <c r="E131" s="140"/>
      <c r="F131" s="140"/>
      <c r="G131" s="140"/>
      <c r="H131" s="140"/>
      <c r="I131" s="140"/>
      <c r="J131" s="140"/>
      <c r="K131" s="140"/>
      <c r="L131" s="140"/>
      <c r="R131" s="140"/>
    </row>
    <row r="132" spans="2:18" ht="15" customHeight="1">
      <c r="B132" s="138"/>
      <c r="C132" s="138"/>
      <c r="D132" s="139"/>
      <c r="E132" s="140"/>
      <c r="F132" s="140"/>
      <c r="G132" s="140"/>
      <c r="H132" s="140"/>
      <c r="I132" s="140"/>
      <c r="J132" s="140"/>
      <c r="K132" s="140"/>
      <c r="L132" s="140"/>
      <c r="R132" s="140"/>
    </row>
    <row r="133" spans="2:18" ht="15" customHeight="1">
      <c r="B133" s="138"/>
      <c r="C133" s="138"/>
      <c r="D133" s="139"/>
      <c r="E133" s="140"/>
      <c r="F133" s="140"/>
      <c r="G133" s="140"/>
      <c r="H133" s="140"/>
      <c r="I133" s="140"/>
      <c r="J133" s="140"/>
      <c r="K133" s="140"/>
      <c r="L133" s="140"/>
      <c r="R133" s="140"/>
    </row>
    <row r="134" spans="2:18" ht="15" customHeight="1">
      <c r="B134" s="138"/>
      <c r="C134" s="138"/>
      <c r="D134" s="139"/>
      <c r="E134" s="140"/>
      <c r="F134" s="140"/>
      <c r="G134" s="140"/>
      <c r="H134" s="140"/>
      <c r="I134" s="140"/>
      <c r="J134" s="140"/>
      <c r="K134" s="140"/>
      <c r="L134" s="140"/>
      <c r="R134" s="140"/>
    </row>
    <row r="135" spans="2:18" ht="15" customHeight="1">
      <c r="B135" s="138"/>
      <c r="C135" s="138"/>
      <c r="D135" s="139"/>
      <c r="E135" s="140"/>
      <c r="F135" s="140"/>
      <c r="G135" s="140"/>
      <c r="H135" s="140"/>
      <c r="I135" s="140"/>
      <c r="J135" s="140"/>
      <c r="K135" s="140"/>
      <c r="L135" s="140"/>
      <c r="R135" s="140"/>
    </row>
    <row r="136" spans="2:18" ht="15" customHeight="1">
      <c r="B136" s="138"/>
      <c r="C136" s="138"/>
      <c r="D136" s="139"/>
      <c r="E136" s="140"/>
      <c r="F136" s="140"/>
      <c r="G136" s="140"/>
      <c r="H136" s="140"/>
      <c r="I136" s="140"/>
      <c r="J136" s="140"/>
      <c r="K136" s="140"/>
      <c r="L136" s="140"/>
      <c r="R136" s="140"/>
    </row>
    <row r="137" spans="2:18" ht="15" customHeight="1">
      <c r="B137" s="138"/>
      <c r="C137" s="138"/>
      <c r="D137" s="139"/>
      <c r="E137" s="140"/>
      <c r="F137" s="140"/>
      <c r="G137" s="140"/>
      <c r="H137" s="140"/>
      <c r="I137" s="140"/>
      <c r="J137" s="140"/>
      <c r="K137" s="140"/>
      <c r="L137" s="140"/>
      <c r="R137" s="140"/>
    </row>
    <row r="138" spans="2:18" ht="15" customHeight="1">
      <c r="B138" s="138"/>
      <c r="C138" s="138"/>
      <c r="D138" s="139"/>
      <c r="E138" s="140"/>
      <c r="F138" s="140"/>
      <c r="G138" s="140"/>
      <c r="H138" s="140"/>
      <c r="I138" s="140"/>
      <c r="J138" s="140"/>
      <c r="K138" s="140"/>
      <c r="L138" s="140"/>
      <c r="R138" s="140"/>
    </row>
    <row r="139" spans="2:18" ht="15" customHeight="1">
      <c r="B139" s="138"/>
      <c r="C139" s="138"/>
      <c r="D139" s="139"/>
      <c r="E139" s="140"/>
      <c r="F139" s="140"/>
      <c r="G139" s="140"/>
      <c r="H139" s="140"/>
      <c r="I139" s="140"/>
      <c r="J139" s="140"/>
      <c r="K139" s="140"/>
      <c r="L139" s="140"/>
      <c r="R139" s="140"/>
    </row>
    <row r="140" spans="2:18" ht="15" customHeight="1">
      <c r="B140" s="138"/>
      <c r="C140" s="138"/>
      <c r="D140" s="139"/>
      <c r="E140" s="140"/>
      <c r="F140" s="140"/>
      <c r="G140" s="140"/>
      <c r="H140" s="140"/>
      <c r="I140" s="140"/>
      <c r="J140" s="140"/>
      <c r="K140" s="140"/>
      <c r="L140" s="140"/>
      <c r="R140" s="140"/>
    </row>
    <row r="141" spans="2:18" ht="15" customHeight="1">
      <c r="B141" s="138"/>
      <c r="C141" s="138"/>
      <c r="D141" s="139"/>
      <c r="E141" s="140"/>
      <c r="F141" s="140"/>
      <c r="G141" s="140"/>
      <c r="H141" s="140"/>
      <c r="I141" s="140"/>
      <c r="J141" s="140"/>
      <c r="K141" s="140"/>
      <c r="L141" s="140"/>
      <c r="R141" s="140"/>
    </row>
    <row r="142" spans="2:18" ht="15" customHeight="1">
      <c r="B142" s="138"/>
      <c r="C142" s="138"/>
      <c r="D142" s="139"/>
      <c r="E142" s="140"/>
      <c r="F142" s="140"/>
      <c r="G142" s="140"/>
      <c r="H142" s="140"/>
      <c r="I142" s="140"/>
      <c r="J142" s="140"/>
      <c r="K142" s="140"/>
      <c r="L142" s="140"/>
      <c r="R142" s="140"/>
    </row>
    <row r="143" spans="2:18" ht="15" customHeight="1">
      <c r="B143" s="138"/>
      <c r="C143" s="138"/>
      <c r="D143" s="139"/>
      <c r="E143" s="140"/>
      <c r="F143" s="140"/>
      <c r="G143" s="140"/>
      <c r="H143" s="140"/>
      <c r="I143" s="140"/>
      <c r="J143" s="140"/>
      <c r="K143" s="140"/>
      <c r="L143" s="140"/>
      <c r="R143" s="140"/>
    </row>
    <row r="144" spans="2:18" ht="15" customHeight="1">
      <c r="B144" s="138"/>
      <c r="C144" s="138"/>
      <c r="D144" s="139"/>
      <c r="E144" s="140"/>
      <c r="F144" s="140"/>
      <c r="G144" s="140"/>
      <c r="H144" s="140"/>
      <c r="I144" s="140"/>
      <c r="J144" s="140"/>
      <c r="K144" s="140"/>
      <c r="L144" s="140"/>
      <c r="R144" s="140"/>
    </row>
    <row r="145" spans="2:18" ht="15" customHeight="1">
      <c r="B145" s="138"/>
      <c r="C145" s="138"/>
      <c r="D145" s="139"/>
      <c r="E145" s="140"/>
      <c r="F145" s="140"/>
      <c r="G145" s="140"/>
      <c r="H145" s="140"/>
      <c r="I145" s="140"/>
      <c r="J145" s="140"/>
      <c r="K145" s="140"/>
      <c r="L145" s="140"/>
      <c r="R145" s="140"/>
    </row>
    <row r="146" spans="2:18" ht="15" customHeight="1">
      <c r="B146" s="138"/>
      <c r="C146" s="138"/>
      <c r="D146" s="139"/>
      <c r="E146" s="140"/>
      <c r="F146" s="140"/>
      <c r="G146" s="140"/>
      <c r="H146" s="140"/>
      <c r="I146" s="140"/>
      <c r="J146" s="140"/>
      <c r="K146" s="140"/>
      <c r="L146" s="140"/>
      <c r="R146" s="140"/>
    </row>
    <row r="147" spans="2:18" ht="15" customHeight="1">
      <c r="B147" s="138"/>
      <c r="C147" s="138"/>
      <c r="D147" s="139"/>
      <c r="E147" s="140"/>
      <c r="F147" s="140"/>
      <c r="G147" s="140"/>
      <c r="H147" s="140"/>
      <c r="I147" s="140"/>
      <c r="J147" s="140"/>
      <c r="K147" s="140"/>
      <c r="L147" s="140"/>
      <c r="R147" s="140"/>
    </row>
    <row r="148" spans="2:18" ht="15" customHeight="1">
      <c r="B148" s="138"/>
      <c r="C148" s="138"/>
      <c r="D148" s="139"/>
      <c r="E148" s="140"/>
      <c r="F148" s="140"/>
      <c r="G148" s="140"/>
      <c r="H148" s="140"/>
      <c r="I148" s="140"/>
      <c r="J148" s="140"/>
      <c r="K148" s="140"/>
      <c r="L148" s="140"/>
      <c r="R148" s="140"/>
    </row>
    <row r="149" spans="2:18" ht="15" customHeight="1">
      <c r="B149" s="138"/>
      <c r="C149" s="138"/>
      <c r="D149" s="139"/>
      <c r="E149" s="140"/>
      <c r="F149" s="140"/>
      <c r="G149" s="140"/>
      <c r="H149" s="140"/>
      <c r="I149" s="140"/>
      <c r="J149" s="140"/>
      <c r="K149" s="140"/>
      <c r="L149" s="140"/>
      <c r="R149" s="140"/>
    </row>
    <row r="150" spans="2:18" ht="15" customHeight="1">
      <c r="B150" s="138"/>
      <c r="C150" s="138"/>
      <c r="D150" s="139"/>
      <c r="E150" s="140"/>
      <c r="F150" s="140"/>
      <c r="G150" s="140"/>
      <c r="H150" s="140"/>
      <c r="I150" s="140"/>
      <c r="J150" s="140"/>
      <c r="K150" s="140"/>
      <c r="L150" s="140"/>
      <c r="R150" s="140"/>
    </row>
    <row r="151" spans="2:18" ht="15" customHeight="1">
      <c r="B151" s="138"/>
      <c r="C151" s="138"/>
      <c r="D151" s="139"/>
      <c r="E151" s="140"/>
      <c r="F151" s="140"/>
      <c r="G151" s="140"/>
      <c r="H151" s="140"/>
      <c r="I151" s="140"/>
      <c r="J151" s="140"/>
      <c r="K151" s="140"/>
      <c r="L151" s="140"/>
      <c r="R151" s="140"/>
    </row>
    <row r="152" spans="2:18" ht="15" customHeight="1">
      <c r="B152" s="138"/>
      <c r="C152" s="138"/>
      <c r="D152" s="139"/>
      <c r="E152" s="140"/>
      <c r="F152" s="140"/>
      <c r="G152" s="140"/>
      <c r="H152" s="140"/>
      <c r="I152" s="140"/>
      <c r="J152" s="140"/>
      <c r="K152" s="140"/>
      <c r="L152" s="140"/>
      <c r="R152" s="140"/>
    </row>
    <row r="153" spans="2:18" ht="15" customHeight="1">
      <c r="B153" s="138"/>
      <c r="C153" s="138"/>
      <c r="D153" s="139"/>
      <c r="E153" s="140"/>
      <c r="F153" s="140"/>
      <c r="G153" s="140"/>
      <c r="H153" s="140"/>
      <c r="I153" s="140"/>
      <c r="J153" s="140"/>
      <c r="K153" s="140"/>
      <c r="L153" s="140"/>
      <c r="R153" s="140"/>
    </row>
    <row r="154" spans="2:18" ht="15" customHeight="1">
      <c r="B154" s="138"/>
      <c r="C154" s="138"/>
      <c r="D154" s="139"/>
      <c r="E154" s="140"/>
      <c r="F154" s="140"/>
      <c r="G154" s="140"/>
      <c r="H154" s="140"/>
      <c r="I154" s="140"/>
      <c r="J154" s="140"/>
      <c r="K154" s="140"/>
      <c r="L154" s="140"/>
      <c r="R154" s="140"/>
    </row>
    <row r="155" spans="2:18" ht="15" customHeight="1">
      <c r="B155" s="138"/>
      <c r="C155" s="138"/>
      <c r="D155" s="139"/>
      <c r="E155" s="140"/>
      <c r="F155" s="140"/>
      <c r="G155" s="140"/>
      <c r="H155" s="140"/>
      <c r="I155" s="140"/>
      <c r="J155" s="140"/>
      <c r="K155" s="140"/>
      <c r="L155" s="140"/>
      <c r="R155" s="140"/>
    </row>
    <row r="156" spans="2:18" ht="15" customHeight="1">
      <c r="B156" s="138"/>
      <c r="C156" s="138"/>
      <c r="D156" s="139"/>
      <c r="E156" s="140"/>
      <c r="F156" s="140"/>
      <c r="G156" s="140"/>
      <c r="H156" s="140"/>
      <c r="I156" s="140"/>
      <c r="J156" s="140"/>
      <c r="K156" s="140"/>
      <c r="L156" s="140"/>
      <c r="R156" s="140"/>
    </row>
    <row r="157" spans="2:18" ht="15" customHeight="1">
      <c r="B157" s="138"/>
      <c r="C157" s="138"/>
      <c r="D157" s="139"/>
      <c r="E157" s="140"/>
      <c r="F157" s="140"/>
      <c r="G157" s="140"/>
      <c r="H157" s="140"/>
      <c r="I157" s="140"/>
      <c r="J157" s="140"/>
      <c r="K157" s="140"/>
      <c r="L157" s="140"/>
      <c r="R157" s="140"/>
    </row>
    <row r="158" spans="2:18" ht="15" customHeight="1">
      <c r="B158" s="138"/>
      <c r="C158" s="138"/>
      <c r="D158" s="139"/>
      <c r="E158" s="140"/>
      <c r="F158" s="140"/>
      <c r="G158" s="140"/>
      <c r="H158" s="140"/>
      <c r="I158" s="140"/>
      <c r="J158" s="140"/>
      <c r="K158" s="140"/>
      <c r="L158" s="140"/>
      <c r="R158" s="140"/>
    </row>
    <row r="159" spans="2:18" ht="15" customHeight="1">
      <c r="B159" s="138"/>
      <c r="C159" s="138"/>
      <c r="D159" s="139"/>
      <c r="E159" s="140"/>
      <c r="F159" s="140"/>
      <c r="G159" s="140"/>
      <c r="H159" s="140"/>
      <c r="I159" s="140"/>
      <c r="J159" s="140"/>
      <c r="K159" s="140"/>
      <c r="L159" s="140"/>
      <c r="R159" s="140"/>
    </row>
    <row r="160" spans="2:18" ht="15" customHeight="1">
      <c r="B160" s="138"/>
      <c r="C160" s="138"/>
      <c r="D160" s="139"/>
      <c r="E160" s="140"/>
      <c r="F160" s="140"/>
      <c r="G160" s="140"/>
      <c r="H160" s="140"/>
      <c r="I160" s="140"/>
      <c r="J160" s="140"/>
      <c r="K160" s="140"/>
      <c r="L160" s="140"/>
      <c r="R160" s="140"/>
    </row>
    <row r="161" spans="2:18" ht="15" customHeight="1">
      <c r="B161" s="138"/>
      <c r="C161" s="138"/>
      <c r="D161" s="139"/>
      <c r="E161" s="140"/>
      <c r="F161" s="140"/>
      <c r="G161" s="140"/>
      <c r="H161" s="140"/>
      <c r="I161" s="140"/>
      <c r="J161" s="140"/>
      <c r="K161" s="140"/>
      <c r="L161" s="140"/>
      <c r="R161" s="140"/>
    </row>
    <row r="162" spans="2:18" ht="15" customHeight="1">
      <c r="B162" s="138"/>
      <c r="C162" s="138"/>
      <c r="D162" s="139"/>
      <c r="E162" s="140"/>
      <c r="F162" s="140"/>
      <c r="G162" s="140"/>
      <c r="H162" s="140"/>
      <c r="I162" s="140"/>
      <c r="J162" s="140"/>
      <c r="K162" s="140"/>
      <c r="L162" s="140"/>
      <c r="R162" s="140"/>
    </row>
    <row r="163" spans="2:18" ht="15" customHeight="1">
      <c r="B163" s="138"/>
      <c r="C163" s="138"/>
      <c r="D163" s="139"/>
      <c r="E163" s="140"/>
      <c r="F163" s="140"/>
      <c r="G163" s="140"/>
      <c r="H163" s="140"/>
      <c r="I163" s="140"/>
      <c r="J163" s="140"/>
      <c r="K163" s="140"/>
      <c r="L163" s="140"/>
      <c r="R163" s="140"/>
    </row>
    <row r="164" spans="2:18" ht="15" customHeight="1">
      <c r="B164" s="138"/>
      <c r="C164" s="138"/>
      <c r="D164" s="139"/>
      <c r="E164" s="140"/>
      <c r="F164" s="140"/>
      <c r="G164" s="140"/>
      <c r="H164" s="140"/>
      <c r="I164" s="140"/>
      <c r="J164" s="140"/>
      <c r="K164" s="140"/>
      <c r="L164" s="140"/>
      <c r="R164" s="140"/>
    </row>
    <row r="165" spans="2:18" ht="15" customHeight="1">
      <c r="B165" s="138"/>
      <c r="C165" s="138"/>
      <c r="D165" s="139"/>
      <c r="E165" s="140"/>
      <c r="F165" s="140"/>
      <c r="G165" s="140"/>
      <c r="H165" s="140"/>
      <c r="I165" s="140"/>
      <c r="J165" s="140"/>
      <c r="K165" s="140"/>
      <c r="L165" s="140"/>
      <c r="R165" s="140"/>
    </row>
    <row r="166" spans="2:18" ht="15" customHeight="1">
      <c r="B166" s="138"/>
      <c r="C166" s="138"/>
      <c r="D166" s="139"/>
      <c r="E166" s="140"/>
      <c r="F166" s="140"/>
      <c r="G166" s="140"/>
      <c r="H166" s="140"/>
      <c r="I166" s="140"/>
      <c r="J166" s="140"/>
      <c r="K166" s="140"/>
      <c r="L166" s="140"/>
      <c r="R166" s="140"/>
    </row>
    <row r="167" spans="2:18" ht="15" customHeight="1">
      <c r="B167" s="138"/>
      <c r="C167" s="138"/>
      <c r="D167" s="139"/>
      <c r="E167" s="140"/>
      <c r="F167" s="140"/>
      <c r="G167" s="140"/>
      <c r="H167" s="140"/>
      <c r="I167" s="140"/>
      <c r="J167" s="140"/>
      <c r="K167" s="140"/>
      <c r="L167" s="140"/>
      <c r="R167" s="140"/>
    </row>
    <row r="168" spans="2:18" ht="15" customHeight="1">
      <c r="B168" s="138"/>
      <c r="C168" s="138"/>
      <c r="D168" s="139"/>
      <c r="E168" s="140"/>
      <c r="F168" s="140"/>
      <c r="G168" s="140"/>
      <c r="H168" s="140"/>
      <c r="I168" s="140"/>
      <c r="J168" s="140"/>
      <c r="K168" s="140"/>
      <c r="L168" s="140"/>
      <c r="R168" s="140"/>
    </row>
    <row r="169" spans="2:18" ht="15" customHeight="1">
      <c r="B169" s="138"/>
      <c r="C169" s="138"/>
      <c r="D169" s="139"/>
      <c r="E169" s="140"/>
      <c r="F169" s="140"/>
      <c r="G169" s="140"/>
      <c r="H169" s="140"/>
      <c r="I169" s="140"/>
      <c r="J169" s="140"/>
      <c r="K169" s="140"/>
      <c r="L169" s="140"/>
      <c r="R169" s="140"/>
    </row>
    <row r="170" spans="2:18" ht="15" customHeight="1">
      <c r="B170" s="138"/>
      <c r="C170" s="138"/>
      <c r="D170" s="139"/>
      <c r="E170" s="140"/>
      <c r="F170" s="140"/>
      <c r="G170" s="140"/>
      <c r="H170" s="140"/>
      <c r="I170" s="140"/>
      <c r="J170" s="140"/>
      <c r="K170" s="140"/>
      <c r="L170" s="140"/>
      <c r="R170" s="140"/>
    </row>
    <row r="171" spans="2:18" ht="15" customHeight="1">
      <c r="B171" s="138"/>
      <c r="C171" s="138"/>
      <c r="D171" s="139"/>
      <c r="E171" s="140"/>
      <c r="F171" s="140"/>
      <c r="G171" s="140"/>
      <c r="H171" s="140"/>
      <c r="I171" s="140"/>
      <c r="J171" s="140"/>
      <c r="K171" s="140"/>
      <c r="L171" s="140"/>
      <c r="R171" s="140"/>
    </row>
    <row r="172" spans="2:18" ht="15" customHeight="1">
      <c r="B172" s="138"/>
      <c r="C172" s="138"/>
      <c r="D172" s="139"/>
      <c r="E172" s="140"/>
      <c r="F172" s="140"/>
      <c r="G172" s="140"/>
      <c r="H172" s="140"/>
      <c r="I172" s="140"/>
      <c r="J172" s="140"/>
      <c r="K172" s="140"/>
      <c r="L172" s="140"/>
      <c r="R172" s="140"/>
    </row>
    <row r="173" spans="2:18" ht="15" customHeight="1">
      <c r="B173" s="138"/>
      <c r="C173" s="138"/>
      <c r="D173" s="139"/>
      <c r="E173" s="140"/>
      <c r="F173" s="140"/>
      <c r="G173" s="140"/>
      <c r="H173" s="140"/>
      <c r="I173" s="140"/>
      <c r="J173" s="140"/>
      <c r="K173" s="140"/>
      <c r="L173" s="140"/>
      <c r="R173" s="140"/>
    </row>
  </sheetData>
  <mergeCells count="6">
    <mergeCell ref="K1:M1"/>
    <mergeCell ref="E11:J11"/>
    <mergeCell ref="L11:Q11"/>
    <mergeCell ref="L7:M7"/>
    <mergeCell ref="E10:J10"/>
    <mergeCell ref="L10:Q10"/>
  </mergeCells>
  <printOptions horizontalCentered="1"/>
  <pageMargins left="0.39370078740157483" right="0.39370078740157483" top="0.51181102362204722" bottom="0.39370078740157483" header="0.31496062992125984" footer="0.31496062992125984"/>
  <pageSetup paperSize="9" scale="75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173"/>
  <sheetViews>
    <sheetView tabSelected="1" view="pageBreakPreview" zoomScale="71" zoomScaleNormal="84" zoomScaleSheetLayoutView="71" workbookViewId="0">
      <selection activeCell="M12" sqref="M12"/>
    </sheetView>
  </sheetViews>
  <sheetFormatPr defaultColWidth="7.140625" defaultRowHeight="13.5"/>
  <cols>
    <col min="1" max="1" width="1.7109375" style="116" customWidth="1"/>
    <col min="2" max="2" width="12.7109375" style="116" customWidth="1"/>
    <col min="3" max="3" width="7.28515625" style="116" customWidth="1"/>
    <col min="4" max="4" width="10.7109375" style="116" customWidth="1"/>
    <col min="5" max="10" width="7.5703125" style="116" customWidth="1"/>
    <col min="11" max="11" width="1.5703125" style="116" customWidth="1"/>
    <col min="12" max="16" width="7.5703125" style="116" customWidth="1"/>
    <col min="17" max="17" width="7.5703125" style="177" customWidth="1"/>
    <col min="18" max="18" width="1.7109375" style="116" customWidth="1"/>
    <col min="19" max="16384" width="7.140625" style="116"/>
  </cols>
  <sheetData>
    <row r="1" spans="1:18" s="1" customFormat="1" ht="15" customHeight="1">
      <c r="B1" s="2"/>
      <c r="C1" s="2"/>
      <c r="D1" s="3"/>
      <c r="E1" s="201"/>
      <c r="F1" s="201"/>
      <c r="G1" s="201"/>
      <c r="H1" s="201"/>
      <c r="I1" s="201"/>
      <c r="J1" s="201"/>
      <c r="K1" s="297"/>
      <c r="L1" s="297"/>
      <c r="M1" s="297"/>
    </row>
    <row r="2" spans="1:18" s="1" customFormat="1">
      <c r="B2" s="2"/>
      <c r="C2" s="2"/>
      <c r="D2" s="3"/>
      <c r="E2" s="201"/>
      <c r="F2" s="201"/>
      <c r="G2" s="201"/>
      <c r="H2" s="201"/>
      <c r="I2" s="201"/>
      <c r="J2" s="201"/>
      <c r="K2" s="201"/>
      <c r="L2" s="201"/>
      <c r="R2" s="4" t="s">
        <v>7</v>
      </c>
    </row>
    <row r="3" spans="1:18" s="1" customFormat="1">
      <c r="B3" s="2"/>
      <c r="C3" s="2"/>
      <c r="D3" s="3"/>
      <c r="E3" s="201"/>
      <c r="F3" s="201"/>
      <c r="G3" s="201"/>
      <c r="H3" s="201"/>
      <c r="I3" s="201"/>
      <c r="J3" s="201"/>
      <c r="K3" s="201"/>
      <c r="L3" s="201"/>
      <c r="R3" s="5" t="s">
        <v>55</v>
      </c>
    </row>
    <row r="4" spans="1:18" s="1" customFormat="1">
      <c r="B4" s="7"/>
      <c r="C4" s="7"/>
      <c r="D4" s="3"/>
    </row>
    <row r="5" spans="1:18" ht="15" customHeight="1">
      <c r="B5" s="8" t="s">
        <v>120</v>
      </c>
      <c r="C5" s="9" t="s">
        <v>144</v>
      </c>
      <c r="D5" s="117"/>
      <c r="E5" s="118"/>
      <c r="F5" s="118"/>
      <c r="G5" s="118"/>
      <c r="H5" s="118"/>
      <c r="I5" s="118"/>
      <c r="J5" s="118"/>
      <c r="K5" s="118"/>
      <c r="L5" s="118"/>
      <c r="R5" s="118"/>
    </row>
    <row r="6" spans="1:18" ht="15" customHeight="1">
      <c r="B6" s="12" t="s">
        <v>121</v>
      </c>
      <c r="C6" s="13" t="s">
        <v>145</v>
      </c>
      <c r="D6" s="114"/>
      <c r="E6" s="115"/>
      <c r="F6" s="115"/>
      <c r="G6" s="115"/>
      <c r="H6" s="115"/>
      <c r="I6" s="115"/>
      <c r="J6" s="115"/>
      <c r="K6" s="115"/>
      <c r="L6" s="115"/>
      <c r="R6" s="115"/>
    </row>
    <row r="7" spans="1:18" ht="8.1" customHeight="1">
      <c r="B7" s="112"/>
      <c r="C7" s="113"/>
      <c r="D7" s="114"/>
      <c r="E7" s="115"/>
      <c r="F7" s="115"/>
      <c r="G7" s="115"/>
      <c r="H7" s="115"/>
      <c r="I7" s="115"/>
      <c r="J7" s="115"/>
      <c r="K7" s="115"/>
      <c r="L7" s="298"/>
      <c r="M7" s="298"/>
      <c r="R7" s="115"/>
    </row>
    <row r="8" spans="1:18" ht="15.95" customHeight="1" thickBot="1">
      <c r="B8" s="116" t="s">
        <v>106</v>
      </c>
      <c r="D8" s="117"/>
      <c r="E8" s="118"/>
      <c r="F8" s="118"/>
      <c r="G8" s="118"/>
      <c r="H8" s="118"/>
      <c r="I8" s="118"/>
      <c r="J8" s="118"/>
      <c r="K8" s="118"/>
      <c r="L8" s="118"/>
      <c r="N8" s="118"/>
      <c r="O8" s="118"/>
      <c r="P8" s="118"/>
      <c r="Q8" s="116"/>
      <c r="R8" s="118"/>
    </row>
    <row r="9" spans="1:18" ht="8.1" customHeight="1" thickTop="1">
      <c r="A9" s="119"/>
      <c r="B9" s="120"/>
      <c r="C9" s="121"/>
      <c r="D9" s="122"/>
      <c r="E9" s="123"/>
      <c r="F9" s="123"/>
      <c r="G9" s="123"/>
      <c r="H9" s="123"/>
      <c r="I9" s="123"/>
      <c r="J9" s="123"/>
      <c r="K9" s="123"/>
      <c r="L9" s="123"/>
      <c r="M9" s="119"/>
      <c r="N9" s="123"/>
      <c r="O9" s="123"/>
      <c r="P9" s="123"/>
      <c r="Q9" s="119"/>
      <c r="R9" s="123"/>
    </row>
    <row r="10" spans="1:18" ht="15" customHeight="1">
      <c r="A10" s="124"/>
      <c r="B10" s="125" t="s">
        <v>90</v>
      </c>
      <c r="C10" s="126"/>
      <c r="D10" s="127" t="s">
        <v>91</v>
      </c>
      <c r="E10" s="290" t="s">
        <v>147</v>
      </c>
      <c r="F10" s="290"/>
      <c r="G10" s="290"/>
      <c r="H10" s="290"/>
      <c r="I10" s="290"/>
      <c r="J10" s="290"/>
      <c r="K10" s="127"/>
      <c r="L10" s="292" t="s">
        <v>126</v>
      </c>
      <c r="M10" s="292"/>
      <c r="N10" s="292"/>
      <c r="O10" s="292"/>
      <c r="P10" s="292"/>
      <c r="Q10" s="292"/>
      <c r="R10" s="127"/>
    </row>
    <row r="11" spans="1:18" ht="15" customHeight="1">
      <c r="A11" s="124"/>
      <c r="B11" s="129" t="s">
        <v>92</v>
      </c>
      <c r="C11" s="126"/>
      <c r="D11" s="130" t="s">
        <v>93</v>
      </c>
      <c r="E11" s="291"/>
      <c r="F11" s="291"/>
      <c r="G11" s="291"/>
      <c r="H11" s="291"/>
      <c r="I11" s="291"/>
      <c r="J11" s="291"/>
      <c r="K11" s="128"/>
      <c r="L11" s="293" t="s">
        <v>134</v>
      </c>
      <c r="M11" s="293"/>
      <c r="N11" s="293"/>
      <c r="O11" s="293"/>
      <c r="P11" s="293"/>
      <c r="Q11" s="293"/>
      <c r="R11" s="128"/>
    </row>
    <row r="12" spans="1:18" ht="15" customHeight="1">
      <c r="A12" s="124"/>
      <c r="B12" s="125"/>
      <c r="C12" s="126"/>
      <c r="D12" s="127"/>
      <c r="E12" s="172"/>
      <c r="F12" s="172"/>
      <c r="G12" s="192"/>
      <c r="H12" s="192"/>
      <c r="I12" s="192"/>
      <c r="J12" s="192"/>
      <c r="K12" s="192"/>
      <c r="L12" s="192"/>
      <c r="M12" s="192"/>
      <c r="N12" s="192"/>
      <c r="O12" s="192"/>
      <c r="P12" s="192"/>
      <c r="Q12" s="192"/>
      <c r="R12" s="192"/>
    </row>
    <row r="13" spans="1:18" ht="15" customHeight="1">
      <c r="A13" s="124"/>
      <c r="B13" s="125"/>
      <c r="C13" s="126"/>
      <c r="D13" s="127"/>
      <c r="E13" s="278" t="s">
        <v>112</v>
      </c>
      <c r="F13" s="278" t="s">
        <v>113</v>
      </c>
      <c r="G13" s="278" t="s">
        <v>114</v>
      </c>
      <c r="H13" s="278" t="s">
        <v>115</v>
      </c>
      <c r="I13" s="278" t="s">
        <v>116</v>
      </c>
      <c r="J13" s="278" t="s">
        <v>132</v>
      </c>
      <c r="K13" s="278"/>
      <c r="L13" s="278" t="s">
        <v>112</v>
      </c>
      <c r="M13" s="278" t="s">
        <v>113</v>
      </c>
      <c r="N13" s="278" t="s">
        <v>114</v>
      </c>
      <c r="O13" s="278" t="s">
        <v>115</v>
      </c>
      <c r="P13" s="278" t="s">
        <v>116</v>
      </c>
      <c r="Q13" s="278" t="s">
        <v>132</v>
      </c>
      <c r="R13" s="230"/>
    </row>
    <row r="14" spans="1:18" ht="8.1" customHeight="1">
      <c r="A14" s="135"/>
      <c r="B14" s="136"/>
      <c r="C14" s="135"/>
      <c r="D14" s="135"/>
      <c r="E14" s="137"/>
      <c r="F14" s="137"/>
      <c r="G14" s="137"/>
      <c r="H14" s="137"/>
      <c r="I14" s="137"/>
      <c r="J14" s="137"/>
      <c r="K14" s="137"/>
      <c r="L14" s="137"/>
      <c r="M14" s="135"/>
      <c r="N14" s="135"/>
      <c r="O14" s="224"/>
      <c r="P14" s="224"/>
      <c r="Q14" s="224"/>
      <c r="R14" s="137"/>
    </row>
    <row r="15" spans="1:18" ht="8.1" customHeight="1">
      <c r="A15" s="138"/>
      <c r="B15" s="138"/>
      <c r="C15" s="138"/>
      <c r="D15" s="146"/>
      <c r="E15" s="140"/>
      <c r="F15" s="140"/>
      <c r="G15" s="140"/>
      <c r="H15" s="141"/>
      <c r="I15" s="142"/>
      <c r="J15" s="142"/>
      <c r="K15" s="142"/>
      <c r="L15" s="143"/>
      <c r="M15" s="142"/>
      <c r="N15" s="142"/>
      <c r="R15" s="142"/>
    </row>
    <row r="16" spans="1:18" ht="15" customHeight="1">
      <c r="B16" s="144" t="s">
        <v>107</v>
      </c>
      <c r="C16" s="145"/>
      <c r="D16" s="147">
        <v>2021</v>
      </c>
      <c r="E16" s="211">
        <f>SUM(E20,E24,E28,E32,E36,E40,E44,E48,E52,E56,E60,E64,E68,E72)</f>
        <v>10</v>
      </c>
      <c r="F16" s="211">
        <f t="shared" ref="F16:Q18" si="0">SUM(F20,F24,F28,F32,F36,F40,F44,F48,F52,F56,F60,F64,F68,F72)</f>
        <v>42</v>
      </c>
      <c r="G16" s="211">
        <f t="shared" si="0"/>
        <v>55</v>
      </c>
      <c r="H16" s="211">
        <f t="shared" si="0"/>
        <v>53</v>
      </c>
      <c r="I16" s="211">
        <f t="shared" si="0"/>
        <v>53</v>
      </c>
      <c r="J16" s="211">
        <f t="shared" si="0"/>
        <v>48</v>
      </c>
      <c r="K16" s="211"/>
      <c r="L16" s="211">
        <f t="shared" si="0"/>
        <v>577</v>
      </c>
      <c r="M16" s="211">
        <f t="shared" si="0"/>
        <v>1819</v>
      </c>
      <c r="N16" s="211">
        <f t="shared" si="0"/>
        <v>1226</v>
      </c>
      <c r="O16" s="211">
        <f t="shared" si="0"/>
        <v>884</v>
      </c>
      <c r="P16" s="211">
        <f t="shared" si="0"/>
        <v>406</v>
      </c>
      <c r="Q16" s="211">
        <f t="shared" si="0"/>
        <v>84</v>
      </c>
      <c r="R16" s="211"/>
    </row>
    <row r="17" spans="2:18" ht="15" customHeight="1">
      <c r="B17" s="145"/>
      <c r="C17" s="145"/>
      <c r="D17" s="146">
        <v>2022</v>
      </c>
      <c r="E17" s="211">
        <f t="shared" ref="E17:E18" si="1">SUM(E21,E25,E29,E33,E37,E41,E45,E49,E53,E57,E61,E65,E69,E73)</f>
        <v>7</v>
      </c>
      <c r="F17" s="211">
        <f t="shared" si="0"/>
        <v>31</v>
      </c>
      <c r="G17" s="211">
        <f t="shared" si="0"/>
        <v>29</v>
      </c>
      <c r="H17" s="211">
        <f t="shared" si="0"/>
        <v>30</v>
      </c>
      <c r="I17" s="211">
        <f t="shared" si="0"/>
        <v>27</v>
      </c>
      <c r="J17" s="211">
        <f t="shared" si="0"/>
        <v>34</v>
      </c>
      <c r="K17" s="211"/>
      <c r="L17" s="211">
        <f t="shared" si="0"/>
        <v>367</v>
      </c>
      <c r="M17" s="211">
        <f t="shared" si="0"/>
        <v>1390</v>
      </c>
      <c r="N17" s="211">
        <f t="shared" si="0"/>
        <v>1063</v>
      </c>
      <c r="O17" s="211">
        <f t="shared" si="0"/>
        <v>704</v>
      </c>
      <c r="P17" s="211">
        <f t="shared" si="0"/>
        <v>333</v>
      </c>
      <c r="Q17" s="211">
        <f t="shared" si="0"/>
        <v>87</v>
      </c>
      <c r="R17" s="211"/>
    </row>
    <row r="18" spans="2:18" ht="15" customHeight="1">
      <c r="B18" s="145"/>
      <c r="C18" s="145"/>
      <c r="D18" s="146">
        <v>2023</v>
      </c>
      <c r="E18" s="211">
        <f t="shared" si="1"/>
        <v>7</v>
      </c>
      <c r="F18" s="211">
        <f t="shared" si="0"/>
        <v>34</v>
      </c>
      <c r="G18" s="211">
        <f t="shared" si="0"/>
        <v>28</v>
      </c>
      <c r="H18" s="211">
        <f t="shared" si="0"/>
        <v>42</v>
      </c>
      <c r="I18" s="211">
        <f t="shared" si="0"/>
        <v>43</v>
      </c>
      <c r="J18" s="211">
        <f t="shared" si="0"/>
        <v>50</v>
      </c>
      <c r="K18" s="211"/>
      <c r="L18" s="211">
        <f t="shared" si="0"/>
        <v>471</v>
      </c>
      <c r="M18" s="211">
        <f t="shared" si="0"/>
        <v>1888</v>
      </c>
      <c r="N18" s="211">
        <f t="shared" si="0"/>
        <v>1514</v>
      </c>
      <c r="O18" s="211">
        <f t="shared" si="0"/>
        <v>1050</v>
      </c>
      <c r="P18" s="211">
        <f t="shared" si="0"/>
        <v>579</v>
      </c>
      <c r="Q18" s="211">
        <f t="shared" si="0"/>
        <v>199</v>
      </c>
      <c r="R18" s="211"/>
    </row>
    <row r="19" spans="2:18" ht="8.1" customHeight="1">
      <c r="B19" s="145"/>
      <c r="C19" s="148"/>
      <c r="D19" s="149"/>
      <c r="E19" s="179"/>
      <c r="F19" s="184"/>
      <c r="G19" s="184"/>
      <c r="H19" s="184"/>
      <c r="I19" s="184"/>
      <c r="J19" s="184"/>
      <c r="K19" s="184"/>
      <c r="L19" s="184"/>
      <c r="M19" s="185"/>
      <c r="N19" s="185"/>
      <c r="O19" s="186"/>
      <c r="P19" s="186"/>
      <c r="Q19" s="186"/>
      <c r="R19" s="184"/>
    </row>
    <row r="20" spans="2:18" ht="15" customHeight="1">
      <c r="B20" s="151" t="s">
        <v>94</v>
      </c>
      <c r="C20" s="152"/>
      <c r="D20" s="149">
        <v>2021</v>
      </c>
      <c r="E20" s="231" t="s">
        <v>22</v>
      </c>
      <c r="F20" s="223">
        <v>1</v>
      </c>
      <c r="G20" s="223">
        <v>1</v>
      </c>
      <c r="H20" s="223">
        <v>8</v>
      </c>
      <c r="I20" s="223">
        <v>4</v>
      </c>
      <c r="J20" s="223">
        <v>7</v>
      </c>
      <c r="K20" s="223"/>
      <c r="L20" s="223">
        <v>37</v>
      </c>
      <c r="M20" s="223">
        <v>163</v>
      </c>
      <c r="N20" s="223">
        <v>101</v>
      </c>
      <c r="O20" s="223">
        <v>82</v>
      </c>
      <c r="P20" s="223">
        <v>37</v>
      </c>
      <c r="Q20" s="223">
        <v>9</v>
      </c>
      <c r="R20" s="222"/>
    </row>
    <row r="21" spans="2:18" ht="15" customHeight="1">
      <c r="B21" s="153"/>
      <c r="C21" s="152"/>
      <c r="D21" s="149">
        <v>2022</v>
      </c>
      <c r="E21" s="231" t="s">
        <v>22</v>
      </c>
      <c r="F21" s="223">
        <v>3</v>
      </c>
      <c r="G21" s="223">
        <v>3</v>
      </c>
      <c r="H21" s="223">
        <v>1</v>
      </c>
      <c r="I21" s="223">
        <v>3</v>
      </c>
      <c r="J21" s="223">
        <v>4</v>
      </c>
      <c r="K21" s="223"/>
      <c r="L21" s="223">
        <v>37</v>
      </c>
      <c r="M21" s="223">
        <v>122</v>
      </c>
      <c r="N21" s="223">
        <v>99</v>
      </c>
      <c r="O21" s="223">
        <v>88</v>
      </c>
      <c r="P21" s="223">
        <v>32</v>
      </c>
      <c r="Q21" s="223">
        <v>6</v>
      </c>
      <c r="R21" s="222"/>
    </row>
    <row r="22" spans="2:18" ht="15" customHeight="1">
      <c r="B22" s="153"/>
      <c r="C22" s="152"/>
      <c r="D22" s="149">
        <v>2023</v>
      </c>
      <c r="E22" s="231" t="s">
        <v>22</v>
      </c>
      <c r="F22" s="223">
        <v>2</v>
      </c>
      <c r="G22" s="223">
        <v>1</v>
      </c>
      <c r="H22" s="223">
        <v>4</v>
      </c>
      <c r="I22" s="223">
        <v>8</v>
      </c>
      <c r="J22" s="223">
        <v>6</v>
      </c>
      <c r="K22" s="223"/>
      <c r="L22" s="274">
        <v>32</v>
      </c>
      <c r="M22" s="274">
        <v>167</v>
      </c>
      <c r="N22" s="274">
        <v>156</v>
      </c>
      <c r="O22" s="274">
        <v>118</v>
      </c>
      <c r="P22" s="274">
        <v>56</v>
      </c>
      <c r="Q22" s="274">
        <v>18</v>
      </c>
      <c r="R22" s="222"/>
    </row>
    <row r="23" spans="2:18" ht="8.1" customHeight="1">
      <c r="B23" s="153"/>
      <c r="C23" s="154"/>
      <c r="D23" s="149"/>
      <c r="E23" s="150"/>
      <c r="F23" s="203"/>
      <c r="G23" s="203"/>
      <c r="H23" s="203"/>
      <c r="I23" s="203"/>
      <c r="J23" s="203"/>
      <c r="K23" s="203"/>
      <c r="L23" s="203"/>
      <c r="M23" s="204"/>
      <c r="N23" s="204"/>
      <c r="O23" s="204"/>
      <c r="P23" s="204"/>
      <c r="Q23" s="204"/>
      <c r="R23" s="203"/>
    </row>
    <row r="24" spans="2:18" ht="15" customHeight="1">
      <c r="B24" s="151" t="s">
        <v>95</v>
      </c>
      <c r="C24" s="152"/>
      <c r="D24" s="149">
        <v>2021</v>
      </c>
      <c r="E24" s="231" t="s">
        <v>22</v>
      </c>
      <c r="F24" s="223">
        <v>5</v>
      </c>
      <c r="G24" s="223">
        <v>3</v>
      </c>
      <c r="H24" s="223">
        <v>1</v>
      </c>
      <c r="I24" s="223">
        <v>3</v>
      </c>
      <c r="J24" s="223">
        <v>7</v>
      </c>
      <c r="K24" s="223"/>
      <c r="L24" s="223">
        <v>38</v>
      </c>
      <c r="M24" s="223">
        <v>132</v>
      </c>
      <c r="N24" s="223">
        <v>74</v>
      </c>
      <c r="O24" s="223">
        <v>45</v>
      </c>
      <c r="P24" s="223">
        <v>26</v>
      </c>
      <c r="Q24" s="223">
        <v>3</v>
      </c>
      <c r="R24" s="222"/>
    </row>
    <row r="25" spans="2:18" ht="15" customHeight="1">
      <c r="B25" s="151"/>
      <c r="C25" s="152"/>
      <c r="D25" s="149">
        <v>2022</v>
      </c>
      <c r="E25" s="231" t="s">
        <v>22</v>
      </c>
      <c r="F25" s="223">
        <v>4</v>
      </c>
      <c r="G25" s="223">
        <v>2</v>
      </c>
      <c r="H25" s="223">
        <v>2</v>
      </c>
      <c r="I25" s="223">
        <v>3</v>
      </c>
      <c r="J25" s="223">
        <v>2</v>
      </c>
      <c r="K25" s="223"/>
      <c r="L25" s="223">
        <v>32</v>
      </c>
      <c r="M25" s="223">
        <v>86</v>
      </c>
      <c r="N25" s="223">
        <v>54</v>
      </c>
      <c r="O25" s="223">
        <v>36</v>
      </c>
      <c r="P25" s="223">
        <v>23</v>
      </c>
      <c r="Q25" s="223">
        <v>4</v>
      </c>
      <c r="R25" s="222"/>
    </row>
    <row r="26" spans="2:18" ht="15" customHeight="1">
      <c r="B26" s="151"/>
      <c r="C26" s="152"/>
      <c r="D26" s="149">
        <v>2023</v>
      </c>
      <c r="E26" s="231" t="s">
        <v>22</v>
      </c>
      <c r="F26" s="231">
        <v>3</v>
      </c>
      <c r="G26" s="223">
        <v>2</v>
      </c>
      <c r="H26" s="231">
        <v>4</v>
      </c>
      <c r="I26" s="231">
        <v>1</v>
      </c>
      <c r="J26" s="223">
        <v>4</v>
      </c>
      <c r="K26" s="223"/>
      <c r="L26" s="274">
        <v>30</v>
      </c>
      <c r="M26" s="274">
        <v>93</v>
      </c>
      <c r="N26" s="274">
        <v>77</v>
      </c>
      <c r="O26" s="274">
        <v>54</v>
      </c>
      <c r="P26" s="274">
        <v>30</v>
      </c>
      <c r="Q26" s="274">
        <v>7</v>
      </c>
      <c r="R26" s="222"/>
    </row>
    <row r="27" spans="2:18" ht="8.1" customHeight="1">
      <c r="B27" s="151"/>
      <c r="C27" s="154"/>
      <c r="D27" s="149"/>
      <c r="E27" s="150"/>
      <c r="F27" s="203"/>
      <c r="G27" s="203"/>
      <c r="H27" s="203"/>
      <c r="I27" s="203"/>
      <c r="J27" s="203"/>
      <c r="K27" s="203"/>
      <c r="L27" s="203"/>
      <c r="M27" s="204"/>
      <c r="N27" s="204"/>
      <c r="O27" s="204"/>
      <c r="P27" s="204"/>
      <c r="Q27" s="204"/>
      <c r="R27" s="203"/>
    </row>
    <row r="28" spans="2:18" ht="15" customHeight="1">
      <c r="B28" s="151" t="s">
        <v>96</v>
      </c>
      <c r="C28" s="152"/>
      <c r="D28" s="149">
        <v>2021</v>
      </c>
      <c r="E28" s="223">
        <v>1</v>
      </c>
      <c r="F28" s="223">
        <v>1</v>
      </c>
      <c r="G28" s="223">
        <v>2</v>
      </c>
      <c r="H28" s="223">
        <v>3</v>
      </c>
      <c r="I28" s="223">
        <v>1</v>
      </c>
      <c r="J28" s="231" t="s">
        <v>22</v>
      </c>
      <c r="K28" s="223"/>
      <c r="L28" s="223">
        <v>34</v>
      </c>
      <c r="M28" s="223">
        <v>63</v>
      </c>
      <c r="N28" s="223">
        <v>34</v>
      </c>
      <c r="O28" s="223">
        <v>26</v>
      </c>
      <c r="P28" s="223">
        <v>14</v>
      </c>
      <c r="Q28" s="231" t="s">
        <v>22</v>
      </c>
      <c r="R28" s="222"/>
    </row>
    <row r="29" spans="2:18" ht="15" customHeight="1">
      <c r="B29" s="153"/>
      <c r="C29" s="152"/>
      <c r="D29" s="149">
        <v>2022</v>
      </c>
      <c r="E29" s="223">
        <v>1</v>
      </c>
      <c r="F29" s="231" t="s">
        <v>22</v>
      </c>
      <c r="G29" s="223">
        <v>2</v>
      </c>
      <c r="H29" s="223">
        <v>2</v>
      </c>
      <c r="I29" s="223">
        <v>1</v>
      </c>
      <c r="J29" s="231" t="s">
        <v>22</v>
      </c>
      <c r="K29" s="223"/>
      <c r="L29" s="223">
        <v>10</v>
      </c>
      <c r="M29" s="223">
        <v>51</v>
      </c>
      <c r="N29" s="223">
        <v>27</v>
      </c>
      <c r="O29" s="223">
        <v>18</v>
      </c>
      <c r="P29" s="223">
        <v>7</v>
      </c>
      <c r="Q29" s="223">
        <v>1</v>
      </c>
      <c r="R29" s="222"/>
    </row>
    <row r="30" spans="2:18" ht="15" customHeight="1">
      <c r="B30" s="153"/>
      <c r="C30" s="152"/>
      <c r="D30" s="149">
        <v>2023</v>
      </c>
      <c r="E30" s="231" t="s">
        <v>22</v>
      </c>
      <c r="F30" s="231" t="s">
        <v>22</v>
      </c>
      <c r="G30" s="231" t="s">
        <v>22</v>
      </c>
      <c r="H30" s="223">
        <v>3</v>
      </c>
      <c r="I30" s="223">
        <v>1</v>
      </c>
      <c r="J30" s="231" t="s">
        <v>22</v>
      </c>
      <c r="K30" s="223"/>
      <c r="L30" s="274">
        <v>12</v>
      </c>
      <c r="M30" s="274">
        <v>47</v>
      </c>
      <c r="N30" s="274">
        <v>47</v>
      </c>
      <c r="O30" s="274">
        <v>34</v>
      </c>
      <c r="P30" s="274">
        <v>12</v>
      </c>
      <c r="Q30" s="274">
        <v>4</v>
      </c>
      <c r="R30" s="222"/>
    </row>
    <row r="31" spans="2:18" ht="8.1" customHeight="1">
      <c r="B31" s="153"/>
      <c r="C31" s="148"/>
      <c r="D31" s="149"/>
      <c r="E31" s="150"/>
      <c r="F31" s="203"/>
      <c r="G31" s="203"/>
      <c r="H31" s="203"/>
      <c r="I31" s="203"/>
      <c r="J31" s="203"/>
      <c r="K31" s="203"/>
      <c r="L31" s="203"/>
      <c r="M31" s="204"/>
      <c r="N31" s="204"/>
      <c r="O31" s="205"/>
      <c r="P31" s="206"/>
      <c r="Q31" s="206"/>
      <c r="R31" s="203"/>
    </row>
    <row r="32" spans="2:18" ht="15" customHeight="1">
      <c r="B32" s="151" t="s">
        <v>97</v>
      </c>
      <c r="C32" s="152"/>
      <c r="D32" s="149">
        <v>2021</v>
      </c>
      <c r="E32" s="231" t="s">
        <v>22</v>
      </c>
      <c r="F32" s="223">
        <v>2</v>
      </c>
      <c r="G32" s="223">
        <v>5</v>
      </c>
      <c r="H32" s="223">
        <v>4</v>
      </c>
      <c r="I32" s="223">
        <v>1</v>
      </c>
      <c r="J32" s="223">
        <v>3</v>
      </c>
      <c r="K32" s="223"/>
      <c r="L32" s="223">
        <v>22</v>
      </c>
      <c r="M32" s="223">
        <v>59</v>
      </c>
      <c r="N32" s="223">
        <v>41</v>
      </c>
      <c r="O32" s="223">
        <v>30</v>
      </c>
      <c r="P32" s="223">
        <v>12</v>
      </c>
      <c r="Q32" s="223">
        <v>4</v>
      </c>
      <c r="R32" s="222"/>
    </row>
    <row r="33" spans="2:18" ht="15" customHeight="1">
      <c r="B33" s="153"/>
      <c r="C33" s="152"/>
      <c r="D33" s="149">
        <v>2022</v>
      </c>
      <c r="E33" s="231" t="s">
        <v>22</v>
      </c>
      <c r="F33" s="223">
        <v>1</v>
      </c>
      <c r="G33" s="223">
        <v>4</v>
      </c>
      <c r="H33" s="223">
        <v>1</v>
      </c>
      <c r="I33" s="223">
        <v>2</v>
      </c>
      <c r="J33" s="223">
        <v>1</v>
      </c>
      <c r="K33" s="223"/>
      <c r="L33" s="223">
        <v>29</v>
      </c>
      <c r="M33" s="223">
        <v>85</v>
      </c>
      <c r="N33" s="223">
        <v>42</v>
      </c>
      <c r="O33" s="223">
        <v>30</v>
      </c>
      <c r="P33" s="223">
        <v>20</v>
      </c>
      <c r="Q33" s="223">
        <v>1</v>
      </c>
      <c r="R33" s="222"/>
    </row>
    <row r="34" spans="2:18" ht="15" customHeight="1">
      <c r="B34" s="153"/>
      <c r="C34" s="152"/>
      <c r="D34" s="149">
        <v>2023</v>
      </c>
      <c r="E34" s="231" t="s">
        <v>22</v>
      </c>
      <c r="F34" s="223">
        <v>3</v>
      </c>
      <c r="G34" s="231" t="s">
        <v>22</v>
      </c>
      <c r="H34" s="223">
        <v>3</v>
      </c>
      <c r="I34" s="223">
        <v>2</v>
      </c>
      <c r="J34" s="223">
        <v>2</v>
      </c>
      <c r="K34" s="223"/>
      <c r="L34" s="274">
        <v>30</v>
      </c>
      <c r="M34" s="274">
        <v>115</v>
      </c>
      <c r="N34" s="274">
        <v>56</v>
      </c>
      <c r="O34" s="274">
        <v>41</v>
      </c>
      <c r="P34" s="274">
        <v>31</v>
      </c>
      <c r="Q34" s="274">
        <v>14</v>
      </c>
      <c r="R34" s="222"/>
    </row>
    <row r="35" spans="2:18" ht="8.1" customHeight="1">
      <c r="B35" s="153"/>
      <c r="C35" s="154"/>
      <c r="D35" s="149"/>
      <c r="E35" s="150"/>
      <c r="F35" s="203"/>
      <c r="G35" s="203"/>
      <c r="H35" s="203"/>
      <c r="I35" s="203"/>
      <c r="J35" s="203"/>
      <c r="K35" s="203"/>
      <c r="L35" s="203"/>
      <c r="M35" s="204"/>
      <c r="N35" s="204"/>
      <c r="O35" s="205"/>
      <c r="P35" s="206"/>
      <c r="Q35" s="206"/>
      <c r="R35" s="203"/>
    </row>
    <row r="36" spans="2:18" ht="15" customHeight="1">
      <c r="B36" s="151" t="s">
        <v>98</v>
      </c>
      <c r="C36" s="152"/>
      <c r="D36" s="149">
        <v>2021</v>
      </c>
      <c r="E36" s="223">
        <v>1</v>
      </c>
      <c r="F36" s="223">
        <v>8</v>
      </c>
      <c r="G36" s="231" t="s">
        <v>22</v>
      </c>
      <c r="H36" s="223">
        <v>3</v>
      </c>
      <c r="I36" s="223">
        <v>5</v>
      </c>
      <c r="J36" s="223">
        <v>5</v>
      </c>
      <c r="K36" s="223"/>
      <c r="L36" s="223">
        <v>78</v>
      </c>
      <c r="M36" s="223">
        <v>174</v>
      </c>
      <c r="N36" s="223">
        <v>127</v>
      </c>
      <c r="O36" s="223">
        <v>91</v>
      </c>
      <c r="P36" s="223">
        <v>40</v>
      </c>
      <c r="Q36" s="223">
        <v>8</v>
      </c>
      <c r="R36" s="222"/>
    </row>
    <row r="37" spans="2:18" ht="15" customHeight="1">
      <c r="B37" s="153"/>
      <c r="C37" s="152"/>
      <c r="D37" s="149">
        <v>2022</v>
      </c>
      <c r="E37" s="231" t="s">
        <v>22</v>
      </c>
      <c r="F37" s="223">
        <v>3</v>
      </c>
      <c r="G37" s="223">
        <v>2</v>
      </c>
      <c r="H37" s="223">
        <v>3</v>
      </c>
      <c r="I37" s="223">
        <v>3</v>
      </c>
      <c r="J37" s="223">
        <v>4</v>
      </c>
      <c r="K37" s="223"/>
      <c r="L37" s="223">
        <v>36</v>
      </c>
      <c r="M37" s="223">
        <v>113</v>
      </c>
      <c r="N37" s="223">
        <v>82</v>
      </c>
      <c r="O37" s="223">
        <v>62</v>
      </c>
      <c r="P37" s="223">
        <v>28</v>
      </c>
      <c r="Q37" s="223">
        <v>13</v>
      </c>
      <c r="R37" s="222"/>
    </row>
    <row r="38" spans="2:18" ht="15" customHeight="1">
      <c r="B38" s="153"/>
      <c r="C38" s="152"/>
      <c r="D38" s="149">
        <v>2023</v>
      </c>
      <c r="E38" s="223">
        <v>2</v>
      </c>
      <c r="F38" s="223">
        <v>1</v>
      </c>
      <c r="G38" s="223">
        <v>2</v>
      </c>
      <c r="H38" s="223">
        <v>2</v>
      </c>
      <c r="I38" s="223">
        <v>4</v>
      </c>
      <c r="J38" s="223">
        <v>5</v>
      </c>
      <c r="K38" s="223"/>
      <c r="L38" s="274">
        <v>59</v>
      </c>
      <c r="M38" s="274">
        <v>149</v>
      </c>
      <c r="N38" s="274">
        <v>135</v>
      </c>
      <c r="O38" s="274">
        <v>80</v>
      </c>
      <c r="P38" s="274">
        <v>45</v>
      </c>
      <c r="Q38" s="274">
        <v>18</v>
      </c>
      <c r="R38" s="222"/>
    </row>
    <row r="39" spans="2:18" ht="8.1" customHeight="1">
      <c r="B39" s="153"/>
      <c r="C39" s="154"/>
      <c r="D39" s="149"/>
      <c r="E39" s="150"/>
      <c r="F39" s="203"/>
      <c r="G39" s="203"/>
      <c r="H39" s="203"/>
      <c r="I39" s="203"/>
      <c r="J39" s="203"/>
      <c r="K39" s="203"/>
      <c r="L39" s="203"/>
      <c r="M39" s="204"/>
      <c r="N39" s="204"/>
      <c r="O39" s="205"/>
      <c r="P39" s="206"/>
      <c r="Q39" s="206"/>
      <c r="R39" s="203"/>
    </row>
    <row r="40" spans="2:18" ht="15" customHeight="1">
      <c r="B40" s="151" t="s">
        <v>99</v>
      </c>
      <c r="C40" s="152"/>
      <c r="D40" s="149">
        <v>2021</v>
      </c>
      <c r="E40" s="231" t="s">
        <v>22</v>
      </c>
      <c r="F40" s="223">
        <v>4</v>
      </c>
      <c r="G40" s="223">
        <v>1</v>
      </c>
      <c r="H40" s="223">
        <v>2</v>
      </c>
      <c r="I40" s="223">
        <v>6</v>
      </c>
      <c r="J40" s="223">
        <v>2</v>
      </c>
      <c r="K40" s="223"/>
      <c r="L40" s="223">
        <v>33</v>
      </c>
      <c r="M40" s="223">
        <v>116</v>
      </c>
      <c r="N40" s="223">
        <v>96</v>
      </c>
      <c r="O40" s="223">
        <v>46</v>
      </c>
      <c r="P40" s="223">
        <v>39</v>
      </c>
      <c r="Q40" s="223">
        <v>3</v>
      </c>
      <c r="R40" s="222"/>
    </row>
    <row r="41" spans="2:18" ht="15" customHeight="1">
      <c r="B41" s="153"/>
      <c r="C41" s="152"/>
      <c r="D41" s="149">
        <v>2022</v>
      </c>
      <c r="E41" s="231" t="s">
        <v>22</v>
      </c>
      <c r="F41" s="223">
        <v>5</v>
      </c>
      <c r="G41" s="223">
        <v>1</v>
      </c>
      <c r="H41" s="223">
        <v>4</v>
      </c>
      <c r="I41" s="223">
        <v>1</v>
      </c>
      <c r="J41" s="223">
        <v>2</v>
      </c>
      <c r="K41" s="223"/>
      <c r="L41" s="223">
        <v>39</v>
      </c>
      <c r="M41" s="223">
        <v>110</v>
      </c>
      <c r="N41" s="223">
        <v>73</v>
      </c>
      <c r="O41" s="223">
        <v>62</v>
      </c>
      <c r="P41" s="223">
        <v>21</v>
      </c>
      <c r="Q41" s="223">
        <v>11</v>
      </c>
      <c r="R41" s="222"/>
    </row>
    <row r="42" spans="2:18" ht="15" customHeight="1">
      <c r="B42" s="153"/>
      <c r="C42" s="152"/>
      <c r="D42" s="149">
        <v>2023</v>
      </c>
      <c r="E42" s="223">
        <v>1</v>
      </c>
      <c r="F42" s="223">
        <v>2</v>
      </c>
      <c r="G42" s="223">
        <v>3</v>
      </c>
      <c r="H42" s="223">
        <v>4</v>
      </c>
      <c r="I42" s="223">
        <v>2</v>
      </c>
      <c r="J42" s="223">
        <v>2</v>
      </c>
      <c r="K42" s="223"/>
      <c r="L42" s="274">
        <v>43</v>
      </c>
      <c r="M42" s="274">
        <v>120</v>
      </c>
      <c r="N42" s="274">
        <v>96</v>
      </c>
      <c r="O42" s="274">
        <v>67</v>
      </c>
      <c r="P42" s="274">
        <v>44</v>
      </c>
      <c r="Q42" s="274">
        <v>8</v>
      </c>
      <c r="R42" s="222"/>
    </row>
    <row r="43" spans="2:18" ht="8.1" customHeight="1">
      <c r="B43" s="153"/>
      <c r="C43" s="148"/>
      <c r="D43" s="149"/>
      <c r="E43" s="150"/>
      <c r="F43" s="203"/>
      <c r="G43" s="203"/>
      <c r="H43" s="203"/>
      <c r="I43" s="203"/>
      <c r="J43" s="203"/>
      <c r="K43" s="203"/>
      <c r="L43" s="203"/>
      <c r="M43" s="204"/>
      <c r="N43" s="204"/>
      <c r="O43" s="204"/>
      <c r="P43" s="204"/>
      <c r="Q43" s="204"/>
      <c r="R43" s="203"/>
    </row>
    <row r="44" spans="2:18" ht="15" customHeight="1">
      <c r="B44" s="151" t="s">
        <v>100</v>
      </c>
      <c r="C44" s="152"/>
      <c r="D44" s="149">
        <v>2021</v>
      </c>
      <c r="E44" s="223">
        <v>1</v>
      </c>
      <c r="F44" s="223">
        <v>2</v>
      </c>
      <c r="G44" s="223">
        <v>8</v>
      </c>
      <c r="H44" s="223">
        <v>6</v>
      </c>
      <c r="I44" s="223">
        <v>8</v>
      </c>
      <c r="J44" s="223">
        <v>3</v>
      </c>
      <c r="K44" s="223"/>
      <c r="L44" s="223">
        <v>61</v>
      </c>
      <c r="M44" s="223">
        <v>217</v>
      </c>
      <c r="N44" s="223">
        <v>106</v>
      </c>
      <c r="O44" s="223">
        <v>83</v>
      </c>
      <c r="P44" s="223">
        <v>28</v>
      </c>
      <c r="Q44" s="223">
        <v>6</v>
      </c>
      <c r="R44" s="222"/>
    </row>
    <row r="45" spans="2:18" ht="15" customHeight="1">
      <c r="B45" s="151"/>
      <c r="C45" s="152"/>
      <c r="D45" s="149">
        <v>2022</v>
      </c>
      <c r="E45" s="223">
        <v>1</v>
      </c>
      <c r="F45" s="223">
        <v>2</v>
      </c>
      <c r="G45" s="223">
        <v>2</v>
      </c>
      <c r="H45" s="223">
        <v>2</v>
      </c>
      <c r="I45" s="223">
        <v>2</v>
      </c>
      <c r="J45" s="223">
        <v>2</v>
      </c>
      <c r="K45" s="223"/>
      <c r="L45" s="223">
        <v>34</v>
      </c>
      <c r="M45" s="223">
        <v>138</v>
      </c>
      <c r="N45" s="223">
        <v>86</v>
      </c>
      <c r="O45" s="223">
        <v>53</v>
      </c>
      <c r="P45" s="223">
        <v>28</v>
      </c>
      <c r="Q45" s="223">
        <v>10</v>
      </c>
      <c r="R45" s="222"/>
    </row>
    <row r="46" spans="2:18" ht="15" customHeight="1">
      <c r="B46" s="151"/>
      <c r="C46" s="152"/>
      <c r="D46" s="149">
        <v>2023</v>
      </c>
      <c r="E46" s="223">
        <v>1</v>
      </c>
      <c r="F46" s="223">
        <v>3</v>
      </c>
      <c r="G46" s="223">
        <v>3</v>
      </c>
      <c r="H46" s="223">
        <v>3</v>
      </c>
      <c r="I46" s="223">
        <v>3</v>
      </c>
      <c r="J46" s="223">
        <v>1</v>
      </c>
      <c r="K46" s="223"/>
      <c r="L46" s="274">
        <v>30</v>
      </c>
      <c r="M46" s="274">
        <v>194</v>
      </c>
      <c r="N46" s="274">
        <v>110</v>
      </c>
      <c r="O46" s="274">
        <v>104</v>
      </c>
      <c r="P46" s="274">
        <v>46</v>
      </c>
      <c r="Q46" s="274">
        <v>12</v>
      </c>
      <c r="R46" s="222"/>
    </row>
    <row r="47" spans="2:18" ht="8.1" customHeight="1">
      <c r="B47" s="151"/>
      <c r="C47" s="154"/>
      <c r="D47" s="149"/>
      <c r="E47" s="150"/>
      <c r="F47" s="203"/>
      <c r="G47" s="203"/>
      <c r="H47" s="203"/>
      <c r="I47" s="203"/>
      <c r="J47" s="203"/>
      <c r="K47" s="203"/>
      <c r="L47" s="203"/>
      <c r="M47" s="204"/>
      <c r="N47" s="204"/>
      <c r="O47" s="204"/>
      <c r="P47" s="204"/>
      <c r="Q47" s="204"/>
      <c r="R47" s="203"/>
    </row>
    <row r="48" spans="2:18" ht="15" customHeight="1">
      <c r="B48" s="151" t="s">
        <v>101</v>
      </c>
      <c r="C48" s="152"/>
      <c r="D48" s="149">
        <v>2021</v>
      </c>
      <c r="E48" s="223">
        <v>1</v>
      </c>
      <c r="F48" s="223">
        <v>2</v>
      </c>
      <c r="G48" s="223">
        <v>3</v>
      </c>
      <c r="H48" s="223">
        <v>2</v>
      </c>
      <c r="I48" s="223">
        <v>5</v>
      </c>
      <c r="J48" s="223">
        <v>4</v>
      </c>
      <c r="K48" s="223"/>
      <c r="L48" s="223">
        <v>48</v>
      </c>
      <c r="M48" s="223">
        <v>125</v>
      </c>
      <c r="N48" s="223">
        <v>88</v>
      </c>
      <c r="O48" s="223">
        <v>63</v>
      </c>
      <c r="P48" s="223">
        <v>31</v>
      </c>
      <c r="Q48" s="223">
        <v>7</v>
      </c>
      <c r="R48" s="222"/>
    </row>
    <row r="49" spans="2:18" ht="15" customHeight="1">
      <c r="B49" s="153"/>
      <c r="C49" s="152"/>
      <c r="D49" s="149">
        <v>2022</v>
      </c>
      <c r="E49" s="223">
        <v>1</v>
      </c>
      <c r="F49" s="223">
        <v>1</v>
      </c>
      <c r="G49" s="223">
        <v>2</v>
      </c>
      <c r="H49" s="223">
        <v>3</v>
      </c>
      <c r="I49" s="231" t="s">
        <v>22</v>
      </c>
      <c r="J49" s="223">
        <v>2</v>
      </c>
      <c r="K49" s="223"/>
      <c r="L49" s="223">
        <v>24</v>
      </c>
      <c r="M49" s="223">
        <v>86</v>
      </c>
      <c r="N49" s="223">
        <v>93</v>
      </c>
      <c r="O49" s="223">
        <v>49</v>
      </c>
      <c r="P49" s="223">
        <v>13</v>
      </c>
      <c r="Q49" s="223">
        <v>8</v>
      </c>
      <c r="R49" s="222"/>
    </row>
    <row r="50" spans="2:18" ht="15" customHeight="1">
      <c r="B50" s="153"/>
      <c r="C50" s="152"/>
      <c r="D50" s="149">
        <v>2023</v>
      </c>
      <c r="E50" s="223">
        <v>2</v>
      </c>
      <c r="F50" s="223">
        <v>2</v>
      </c>
      <c r="G50" s="223">
        <v>3</v>
      </c>
      <c r="H50" s="223">
        <v>1</v>
      </c>
      <c r="I50" s="223">
        <v>6</v>
      </c>
      <c r="J50" s="223">
        <v>8</v>
      </c>
      <c r="K50" s="223"/>
      <c r="L50" s="274">
        <v>41</v>
      </c>
      <c r="M50" s="274">
        <v>139</v>
      </c>
      <c r="N50" s="274">
        <v>92</v>
      </c>
      <c r="O50" s="274">
        <v>64</v>
      </c>
      <c r="P50" s="274">
        <v>39</v>
      </c>
      <c r="Q50" s="274">
        <v>11</v>
      </c>
      <c r="R50" s="222"/>
    </row>
    <row r="51" spans="2:18" ht="8.1" customHeight="1">
      <c r="B51" s="153"/>
      <c r="C51" s="138"/>
      <c r="D51" s="149"/>
      <c r="E51" s="150"/>
      <c r="F51" s="203"/>
      <c r="G51" s="203"/>
      <c r="H51" s="203"/>
      <c r="I51" s="203"/>
      <c r="J51" s="203"/>
      <c r="K51" s="203"/>
      <c r="L51" s="203"/>
      <c r="M51" s="207"/>
      <c r="N51" s="207"/>
      <c r="O51" s="204"/>
      <c r="P51" s="204"/>
      <c r="Q51" s="204"/>
      <c r="R51" s="203"/>
    </row>
    <row r="52" spans="2:18" ht="15" customHeight="1">
      <c r="B52" s="151" t="s">
        <v>102</v>
      </c>
      <c r="C52" s="152"/>
      <c r="D52" s="149">
        <v>2021</v>
      </c>
      <c r="E52" s="223">
        <v>1</v>
      </c>
      <c r="F52" s="231" t="s">
        <v>22</v>
      </c>
      <c r="G52" s="223">
        <v>1</v>
      </c>
      <c r="H52" s="223">
        <v>1</v>
      </c>
      <c r="I52" s="223">
        <v>1</v>
      </c>
      <c r="J52" s="231" t="s">
        <v>22</v>
      </c>
      <c r="K52" s="223"/>
      <c r="L52" s="223">
        <v>11</v>
      </c>
      <c r="M52" s="223">
        <v>30</v>
      </c>
      <c r="N52" s="223">
        <v>17</v>
      </c>
      <c r="O52" s="223">
        <v>11</v>
      </c>
      <c r="P52" s="223">
        <v>7</v>
      </c>
      <c r="Q52" s="223">
        <v>1</v>
      </c>
      <c r="R52" s="222"/>
    </row>
    <row r="53" spans="2:18" ht="15" customHeight="1">
      <c r="B53" s="153"/>
      <c r="C53" s="152"/>
      <c r="D53" s="149">
        <v>2022</v>
      </c>
      <c r="E53" s="231" t="s">
        <v>22</v>
      </c>
      <c r="F53" s="223">
        <v>1</v>
      </c>
      <c r="G53" s="231" t="s">
        <v>22</v>
      </c>
      <c r="H53" s="223">
        <v>1</v>
      </c>
      <c r="I53" s="231" t="s">
        <v>22</v>
      </c>
      <c r="J53" s="231" t="s">
        <v>22</v>
      </c>
      <c r="K53" s="223"/>
      <c r="L53" s="223">
        <v>11</v>
      </c>
      <c r="M53" s="223">
        <v>15</v>
      </c>
      <c r="N53" s="223">
        <v>15</v>
      </c>
      <c r="O53" s="223">
        <v>7</v>
      </c>
      <c r="P53" s="223">
        <v>7</v>
      </c>
      <c r="Q53" s="231" t="s">
        <v>22</v>
      </c>
      <c r="R53" s="222"/>
    </row>
    <row r="54" spans="2:18" ht="15" customHeight="1">
      <c r="B54" s="153"/>
      <c r="C54" s="152"/>
      <c r="D54" s="149">
        <v>2023</v>
      </c>
      <c r="E54" s="231" t="s">
        <v>22</v>
      </c>
      <c r="F54" s="231" t="s">
        <v>22</v>
      </c>
      <c r="G54" s="231" t="s">
        <v>22</v>
      </c>
      <c r="H54" s="231" t="s">
        <v>22</v>
      </c>
      <c r="I54" s="231" t="s">
        <v>22</v>
      </c>
      <c r="J54" s="223">
        <v>2</v>
      </c>
      <c r="K54" s="223"/>
      <c r="L54" s="274">
        <v>11</v>
      </c>
      <c r="M54" s="274">
        <v>20</v>
      </c>
      <c r="N54" s="274">
        <v>14</v>
      </c>
      <c r="O54" s="274">
        <v>7</v>
      </c>
      <c r="P54" s="274">
        <v>7</v>
      </c>
      <c r="Q54" s="274">
        <v>1</v>
      </c>
      <c r="R54" s="222"/>
    </row>
    <row r="55" spans="2:18" ht="8.1" customHeight="1">
      <c r="B55" s="153"/>
      <c r="C55" s="154"/>
      <c r="D55" s="149"/>
      <c r="E55" s="150"/>
      <c r="F55" s="203"/>
      <c r="G55" s="203"/>
      <c r="H55" s="203"/>
      <c r="I55" s="203"/>
      <c r="J55" s="203"/>
      <c r="K55" s="203"/>
      <c r="L55" s="203"/>
      <c r="M55" s="204"/>
      <c r="N55" s="204"/>
      <c r="O55" s="204"/>
      <c r="P55" s="204"/>
      <c r="Q55" s="204"/>
      <c r="R55" s="203"/>
    </row>
    <row r="56" spans="2:18" ht="15" customHeight="1">
      <c r="B56" s="151" t="s">
        <v>103</v>
      </c>
      <c r="C56" s="152"/>
      <c r="D56" s="149">
        <v>2021</v>
      </c>
      <c r="E56" s="223">
        <v>2</v>
      </c>
      <c r="F56" s="223">
        <v>8</v>
      </c>
      <c r="G56" s="223">
        <v>11</v>
      </c>
      <c r="H56" s="223">
        <v>9</v>
      </c>
      <c r="I56" s="223">
        <v>10</v>
      </c>
      <c r="J56" s="223">
        <v>7</v>
      </c>
      <c r="K56" s="223"/>
      <c r="L56" s="223">
        <v>59</v>
      </c>
      <c r="M56" s="223">
        <v>210</v>
      </c>
      <c r="N56" s="223">
        <v>167</v>
      </c>
      <c r="O56" s="223">
        <v>136</v>
      </c>
      <c r="P56" s="223">
        <v>57</v>
      </c>
      <c r="Q56" s="223">
        <v>13</v>
      </c>
      <c r="R56" s="222"/>
    </row>
    <row r="57" spans="2:18" ht="15" customHeight="1">
      <c r="B57" s="153"/>
      <c r="C57" s="152"/>
      <c r="D57" s="149">
        <v>2022</v>
      </c>
      <c r="E57" s="223">
        <v>1</v>
      </c>
      <c r="F57" s="223">
        <v>5</v>
      </c>
      <c r="G57" s="223">
        <v>1</v>
      </c>
      <c r="H57" s="223">
        <v>3</v>
      </c>
      <c r="I57" s="223">
        <v>7</v>
      </c>
      <c r="J57" s="223">
        <v>4</v>
      </c>
      <c r="K57" s="223"/>
      <c r="L57" s="223">
        <v>18</v>
      </c>
      <c r="M57" s="223">
        <v>149</v>
      </c>
      <c r="N57" s="223">
        <v>132</v>
      </c>
      <c r="O57" s="223">
        <v>75</v>
      </c>
      <c r="P57" s="223">
        <v>43</v>
      </c>
      <c r="Q57" s="223">
        <v>8</v>
      </c>
      <c r="R57" s="222"/>
    </row>
    <row r="58" spans="2:18" ht="15" customHeight="1">
      <c r="B58" s="153"/>
      <c r="C58" s="152"/>
      <c r="D58" s="149">
        <v>2023</v>
      </c>
      <c r="E58" s="231" t="s">
        <v>22</v>
      </c>
      <c r="F58" s="223">
        <v>3</v>
      </c>
      <c r="G58" s="223">
        <v>3</v>
      </c>
      <c r="H58" s="223">
        <v>8</v>
      </c>
      <c r="I58" s="223">
        <v>6</v>
      </c>
      <c r="J58" s="223">
        <v>9</v>
      </c>
      <c r="K58" s="223"/>
      <c r="L58" s="274">
        <v>73</v>
      </c>
      <c r="M58" s="274">
        <v>323</v>
      </c>
      <c r="N58" s="274">
        <v>259</v>
      </c>
      <c r="O58" s="274">
        <v>165</v>
      </c>
      <c r="P58" s="274">
        <v>103</v>
      </c>
      <c r="Q58" s="274">
        <v>53</v>
      </c>
      <c r="R58" s="222"/>
    </row>
    <row r="59" spans="2:18" ht="8.1" customHeight="1">
      <c r="B59" s="153"/>
      <c r="C59" s="148"/>
      <c r="D59" s="149"/>
      <c r="E59" s="150"/>
      <c r="F59" s="203"/>
      <c r="G59" s="203"/>
      <c r="H59" s="203"/>
      <c r="I59" s="203"/>
      <c r="J59" s="203"/>
      <c r="K59" s="203"/>
      <c r="L59" s="203"/>
      <c r="M59" s="204"/>
      <c r="N59" s="204"/>
      <c r="O59" s="204"/>
      <c r="P59" s="204"/>
      <c r="Q59" s="204"/>
      <c r="R59" s="203"/>
    </row>
    <row r="60" spans="2:18" ht="15" customHeight="1">
      <c r="B60" s="151" t="s">
        <v>104</v>
      </c>
      <c r="C60" s="152"/>
      <c r="D60" s="149">
        <v>2021</v>
      </c>
      <c r="E60" s="231" t="s">
        <v>22</v>
      </c>
      <c r="F60" s="223">
        <v>2</v>
      </c>
      <c r="G60" s="223">
        <v>3</v>
      </c>
      <c r="H60" s="223">
        <v>2</v>
      </c>
      <c r="I60" s="223">
        <v>2</v>
      </c>
      <c r="J60" s="231" t="s">
        <v>22</v>
      </c>
      <c r="K60" s="223"/>
      <c r="L60" s="223">
        <v>38</v>
      </c>
      <c r="M60" s="223">
        <v>86</v>
      </c>
      <c r="N60" s="223">
        <v>61</v>
      </c>
      <c r="O60" s="223">
        <v>46</v>
      </c>
      <c r="P60" s="223">
        <v>17</v>
      </c>
      <c r="Q60" s="223">
        <v>3</v>
      </c>
      <c r="R60" s="222"/>
    </row>
    <row r="61" spans="2:18" ht="15" customHeight="1">
      <c r="B61" s="153"/>
      <c r="C61" s="152"/>
      <c r="D61" s="149">
        <v>2022</v>
      </c>
      <c r="E61" s="223">
        <v>1</v>
      </c>
      <c r="F61" s="223">
        <v>1</v>
      </c>
      <c r="G61" s="223">
        <v>2</v>
      </c>
      <c r="H61" s="223">
        <v>2</v>
      </c>
      <c r="I61" s="231" t="s">
        <v>22</v>
      </c>
      <c r="J61" s="231" t="s">
        <v>22</v>
      </c>
      <c r="K61" s="223"/>
      <c r="L61" s="223">
        <v>20</v>
      </c>
      <c r="M61" s="223">
        <v>65</v>
      </c>
      <c r="N61" s="223">
        <v>51</v>
      </c>
      <c r="O61" s="223">
        <v>34</v>
      </c>
      <c r="P61" s="223">
        <v>19</v>
      </c>
      <c r="Q61" s="223">
        <v>1</v>
      </c>
      <c r="R61" s="222"/>
    </row>
    <row r="62" spans="2:18" ht="15" customHeight="1">
      <c r="B62" s="153"/>
      <c r="C62" s="152"/>
      <c r="D62" s="149">
        <v>2023</v>
      </c>
      <c r="E62" s="231" t="s">
        <v>22</v>
      </c>
      <c r="F62" s="231" t="s">
        <v>22</v>
      </c>
      <c r="G62" s="223">
        <v>2</v>
      </c>
      <c r="H62" s="223">
        <v>1</v>
      </c>
      <c r="I62" s="223">
        <v>1</v>
      </c>
      <c r="J62" s="223">
        <v>1</v>
      </c>
      <c r="K62" s="223"/>
      <c r="L62" s="274">
        <v>22</v>
      </c>
      <c r="M62" s="274">
        <v>60</v>
      </c>
      <c r="N62" s="274">
        <v>43</v>
      </c>
      <c r="O62" s="274">
        <v>35</v>
      </c>
      <c r="P62" s="274">
        <v>22</v>
      </c>
      <c r="Q62" s="274" t="s">
        <v>22</v>
      </c>
      <c r="R62" s="222"/>
    </row>
    <row r="63" spans="2:18" ht="8.1" customHeight="1">
      <c r="B63" s="153"/>
      <c r="C63" s="154"/>
      <c r="D63" s="149"/>
      <c r="E63" s="150"/>
      <c r="F63" s="203"/>
      <c r="G63" s="203"/>
      <c r="H63" s="203"/>
      <c r="I63" s="203"/>
      <c r="J63" s="203"/>
      <c r="K63" s="203"/>
      <c r="L63" s="203"/>
      <c r="M63" s="204"/>
      <c r="N63" s="204"/>
      <c r="O63" s="204"/>
      <c r="P63" s="208"/>
      <c r="Q63" s="208"/>
      <c r="R63" s="203"/>
    </row>
    <row r="64" spans="2:18" ht="15" customHeight="1">
      <c r="B64" s="151" t="s">
        <v>108</v>
      </c>
      <c r="C64" s="152"/>
      <c r="D64" s="149">
        <v>2021</v>
      </c>
      <c r="E64" s="231" t="s">
        <v>22</v>
      </c>
      <c r="F64" s="231" t="s">
        <v>22</v>
      </c>
      <c r="G64" s="223">
        <v>7</v>
      </c>
      <c r="H64" s="223">
        <v>2</v>
      </c>
      <c r="I64" s="223">
        <v>1</v>
      </c>
      <c r="J64" s="231" t="s">
        <v>22</v>
      </c>
      <c r="K64" s="223"/>
      <c r="L64" s="223">
        <v>19</v>
      </c>
      <c r="M64" s="223">
        <v>78</v>
      </c>
      <c r="N64" s="223">
        <v>57</v>
      </c>
      <c r="O64" s="223">
        <v>59</v>
      </c>
      <c r="P64" s="223">
        <v>29</v>
      </c>
      <c r="Q64" s="223">
        <v>4</v>
      </c>
      <c r="R64" s="222"/>
    </row>
    <row r="65" spans="1:18" ht="15" customHeight="1">
      <c r="B65" s="153"/>
      <c r="C65" s="152"/>
      <c r="D65" s="149">
        <v>2022</v>
      </c>
      <c r="E65" s="223">
        <v>1</v>
      </c>
      <c r="F65" s="231" t="s">
        <v>22</v>
      </c>
      <c r="G65" s="223">
        <v>2</v>
      </c>
      <c r="H65" s="223">
        <v>2</v>
      </c>
      <c r="I65" s="223">
        <v>1</v>
      </c>
      <c r="J65" s="231" t="s">
        <v>22</v>
      </c>
      <c r="K65" s="223"/>
      <c r="L65" s="223">
        <v>9</v>
      </c>
      <c r="M65" s="223">
        <v>60</v>
      </c>
      <c r="N65" s="223">
        <v>57</v>
      </c>
      <c r="O65" s="223">
        <v>51</v>
      </c>
      <c r="P65" s="223">
        <v>25</v>
      </c>
      <c r="Q65" s="223">
        <v>10</v>
      </c>
      <c r="R65" s="222"/>
    </row>
    <row r="66" spans="1:18" ht="15" customHeight="1">
      <c r="B66" s="153"/>
      <c r="C66" s="152"/>
      <c r="D66" s="149">
        <v>2023</v>
      </c>
      <c r="E66" s="231" t="s">
        <v>22</v>
      </c>
      <c r="F66" s="223">
        <v>2</v>
      </c>
      <c r="G66" s="223">
        <v>1</v>
      </c>
      <c r="H66" s="223">
        <v>2</v>
      </c>
      <c r="I66" s="223">
        <v>3</v>
      </c>
      <c r="J66" s="231" t="s">
        <v>22</v>
      </c>
      <c r="K66" s="223"/>
      <c r="L66" s="274">
        <v>13</v>
      </c>
      <c r="M66" s="274">
        <v>95</v>
      </c>
      <c r="N66" s="274">
        <v>118</v>
      </c>
      <c r="O66" s="274">
        <v>84</v>
      </c>
      <c r="P66" s="274">
        <v>47</v>
      </c>
      <c r="Q66" s="274">
        <v>18</v>
      </c>
      <c r="R66" s="222"/>
    </row>
    <row r="67" spans="1:18" ht="8.1" customHeight="1">
      <c r="B67" s="155"/>
      <c r="C67" s="145"/>
      <c r="D67" s="149"/>
      <c r="E67" s="150"/>
      <c r="F67" s="203"/>
      <c r="G67" s="203"/>
      <c r="H67" s="203"/>
      <c r="I67" s="203"/>
      <c r="J67" s="203"/>
      <c r="K67" s="203"/>
      <c r="L67" s="203"/>
      <c r="M67" s="208"/>
      <c r="N67" s="208"/>
      <c r="O67" s="204"/>
      <c r="P67" s="204"/>
      <c r="Q67" s="204"/>
      <c r="R67" s="203"/>
    </row>
    <row r="68" spans="1:18" ht="15" customHeight="1">
      <c r="B68" s="151" t="s">
        <v>105</v>
      </c>
      <c r="C68" s="152"/>
      <c r="D68" s="149">
        <v>2021</v>
      </c>
      <c r="E68" s="231" t="s">
        <v>22</v>
      </c>
      <c r="F68" s="223">
        <v>3</v>
      </c>
      <c r="G68" s="223">
        <v>4</v>
      </c>
      <c r="H68" s="223">
        <v>6</v>
      </c>
      <c r="I68" s="223">
        <v>1</v>
      </c>
      <c r="J68" s="223">
        <v>5</v>
      </c>
      <c r="K68" s="223"/>
      <c r="L68" s="223">
        <v>53</v>
      </c>
      <c r="M68" s="223">
        <v>141</v>
      </c>
      <c r="N68" s="223">
        <v>113</v>
      </c>
      <c r="O68" s="223">
        <v>86</v>
      </c>
      <c r="P68" s="223">
        <v>33</v>
      </c>
      <c r="Q68" s="223">
        <v>9</v>
      </c>
      <c r="R68" s="222"/>
    </row>
    <row r="69" spans="1:18" ht="15" customHeight="1">
      <c r="B69" s="153"/>
      <c r="C69" s="152"/>
      <c r="D69" s="149">
        <v>2022</v>
      </c>
      <c r="E69" s="223">
        <v>1</v>
      </c>
      <c r="F69" s="223">
        <v>2</v>
      </c>
      <c r="G69" s="223">
        <v>1</v>
      </c>
      <c r="H69" s="223">
        <v>3</v>
      </c>
      <c r="I69" s="223">
        <v>2</v>
      </c>
      <c r="J69" s="223">
        <v>4</v>
      </c>
      <c r="K69" s="223"/>
      <c r="L69" s="223">
        <v>37</v>
      </c>
      <c r="M69" s="223">
        <v>97</v>
      </c>
      <c r="N69" s="223">
        <v>97</v>
      </c>
      <c r="O69" s="223">
        <v>66</v>
      </c>
      <c r="P69" s="223">
        <v>35</v>
      </c>
      <c r="Q69" s="223">
        <v>9</v>
      </c>
      <c r="R69" s="222"/>
    </row>
    <row r="70" spans="1:18" ht="15" customHeight="1">
      <c r="B70" s="153"/>
      <c r="C70" s="152"/>
      <c r="D70" s="149">
        <v>2023</v>
      </c>
      <c r="E70" s="231" t="s">
        <v>22</v>
      </c>
      <c r="F70" s="223">
        <v>6</v>
      </c>
      <c r="G70" s="223">
        <v>1</v>
      </c>
      <c r="H70" s="223">
        <v>1</v>
      </c>
      <c r="I70" s="223">
        <v>1</v>
      </c>
      <c r="J70" s="223">
        <v>7</v>
      </c>
      <c r="K70" s="223"/>
      <c r="L70" s="274">
        <v>43</v>
      </c>
      <c r="M70" s="274">
        <v>148</v>
      </c>
      <c r="N70" s="274">
        <v>131</v>
      </c>
      <c r="O70" s="274">
        <v>109</v>
      </c>
      <c r="P70" s="274">
        <v>63</v>
      </c>
      <c r="Q70" s="274">
        <v>13</v>
      </c>
      <c r="R70" s="222"/>
    </row>
    <row r="71" spans="1:18" ht="8.1" customHeight="1">
      <c r="B71" s="153"/>
      <c r="C71" s="151"/>
      <c r="D71" s="149"/>
      <c r="E71" s="150"/>
      <c r="F71" s="203"/>
      <c r="G71" s="203"/>
      <c r="H71" s="203"/>
      <c r="I71" s="203"/>
      <c r="J71" s="203"/>
      <c r="K71" s="203"/>
      <c r="L71" s="203"/>
      <c r="M71" s="204"/>
      <c r="N71" s="204"/>
      <c r="O71" s="204"/>
      <c r="P71" s="208"/>
      <c r="Q71" s="208"/>
      <c r="R71" s="203"/>
    </row>
    <row r="72" spans="1:18" ht="15" customHeight="1">
      <c r="B72" s="151" t="s">
        <v>109</v>
      </c>
      <c r="C72" s="152"/>
      <c r="D72" s="149">
        <v>2021</v>
      </c>
      <c r="E72" s="223">
        <v>3</v>
      </c>
      <c r="F72" s="223">
        <v>4</v>
      </c>
      <c r="G72" s="223">
        <v>6</v>
      </c>
      <c r="H72" s="223">
        <v>4</v>
      </c>
      <c r="I72" s="223">
        <v>5</v>
      </c>
      <c r="J72" s="223">
        <v>5</v>
      </c>
      <c r="K72" s="223"/>
      <c r="L72" s="223">
        <v>46</v>
      </c>
      <c r="M72" s="223">
        <v>225</v>
      </c>
      <c r="N72" s="223">
        <v>144</v>
      </c>
      <c r="O72" s="223">
        <v>80</v>
      </c>
      <c r="P72" s="223">
        <v>36</v>
      </c>
      <c r="Q72" s="223">
        <v>14</v>
      </c>
      <c r="R72" s="222"/>
    </row>
    <row r="73" spans="1:18" ht="15" customHeight="1">
      <c r="B73" s="153"/>
      <c r="C73" s="152"/>
      <c r="D73" s="149">
        <v>2022</v>
      </c>
      <c r="E73" s="231" t="s">
        <v>22</v>
      </c>
      <c r="F73" s="223">
        <v>3</v>
      </c>
      <c r="G73" s="223">
        <v>5</v>
      </c>
      <c r="H73" s="223">
        <v>1</v>
      </c>
      <c r="I73" s="223">
        <v>2</v>
      </c>
      <c r="J73" s="223">
        <v>9</v>
      </c>
      <c r="K73" s="223"/>
      <c r="L73" s="223">
        <v>31</v>
      </c>
      <c r="M73" s="223">
        <v>213</v>
      </c>
      <c r="N73" s="223">
        <v>155</v>
      </c>
      <c r="O73" s="223">
        <v>73</v>
      </c>
      <c r="P73" s="223">
        <v>32</v>
      </c>
      <c r="Q73" s="223">
        <v>5</v>
      </c>
      <c r="R73" s="222"/>
    </row>
    <row r="74" spans="1:18" ht="15" customHeight="1">
      <c r="A74" s="177"/>
      <c r="B74" s="225"/>
      <c r="C74" s="226"/>
      <c r="D74" s="227">
        <v>2023</v>
      </c>
      <c r="E74" s="223">
        <v>1</v>
      </c>
      <c r="F74" s="223">
        <v>7</v>
      </c>
      <c r="G74" s="223">
        <v>7</v>
      </c>
      <c r="H74" s="223">
        <v>6</v>
      </c>
      <c r="I74" s="223">
        <v>5</v>
      </c>
      <c r="J74" s="223">
        <v>3</v>
      </c>
      <c r="K74" s="223"/>
      <c r="L74" s="274">
        <v>32</v>
      </c>
      <c r="M74" s="274">
        <v>218</v>
      </c>
      <c r="N74" s="274">
        <v>180</v>
      </c>
      <c r="O74" s="274">
        <v>88</v>
      </c>
      <c r="P74" s="274">
        <v>34</v>
      </c>
      <c r="Q74" s="274">
        <v>22</v>
      </c>
      <c r="R74" s="222"/>
    </row>
    <row r="75" spans="1:18" ht="8.1" customHeight="1" thickBot="1">
      <c r="A75" s="156"/>
      <c r="B75" s="156"/>
      <c r="C75" s="156"/>
      <c r="D75" s="157"/>
      <c r="E75" s="158"/>
      <c r="F75" s="158"/>
      <c r="G75" s="158"/>
      <c r="H75" s="158"/>
      <c r="I75" s="158"/>
      <c r="J75" s="158"/>
      <c r="K75" s="158"/>
      <c r="L75" s="158"/>
      <c r="M75" s="228"/>
      <c r="N75" s="228"/>
      <c r="O75" s="229"/>
      <c r="P75" s="229"/>
      <c r="Q75" s="229"/>
      <c r="R75" s="158"/>
    </row>
    <row r="76" spans="1:18" s="87" customFormat="1" ht="15.95" customHeight="1">
      <c r="B76" s="88"/>
      <c r="C76" s="89"/>
      <c r="D76" s="90"/>
      <c r="E76" s="91"/>
      <c r="F76" s="91"/>
      <c r="R76" s="92" t="s">
        <v>19</v>
      </c>
    </row>
    <row r="77" spans="1:18" s="87" customFormat="1" ht="15.95" customHeight="1">
      <c r="B77" s="88"/>
      <c r="C77" s="89"/>
      <c r="D77" s="90"/>
      <c r="E77" s="91"/>
      <c r="F77" s="91"/>
      <c r="R77" s="93" t="s">
        <v>20</v>
      </c>
    </row>
    <row r="78" spans="1:18" ht="15" customHeight="1">
      <c r="B78" s="212"/>
      <c r="C78" s="213"/>
      <c r="D78" s="214"/>
      <c r="E78" s="219"/>
      <c r="F78" s="220"/>
      <c r="G78" s="220"/>
      <c r="H78" s="220"/>
      <c r="I78" s="220"/>
      <c r="J78" s="220"/>
      <c r="K78" s="220"/>
      <c r="L78" s="220"/>
      <c r="M78" s="221"/>
      <c r="N78" s="221"/>
      <c r="O78" s="196"/>
      <c r="P78" s="196"/>
      <c r="Q78" s="196"/>
      <c r="R78" s="220"/>
    </row>
    <row r="79" spans="1:18" ht="15" customHeight="1">
      <c r="D79" s="217"/>
      <c r="E79" s="216"/>
      <c r="F79" s="216"/>
      <c r="G79" s="216"/>
      <c r="H79" s="216"/>
      <c r="L79" s="215"/>
      <c r="M79" s="218"/>
      <c r="N79" s="218"/>
    </row>
    <row r="80" spans="1:18" ht="15" customHeight="1">
      <c r="B80" s="138"/>
      <c r="C80" s="138"/>
      <c r="D80" s="139"/>
      <c r="E80" s="140"/>
      <c r="F80" s="140"/>
      <c r="G80" s="140"/>
      <c r="H80" s="140"/>
      <c r="I80" s="140"/>
      <c r="J80" s="140"/>
      <c r="K80" s="140"/>
      <c r="L80" s="140"/>
      <c r="R80" s="140"/>
    </row>
    <row r="81" spans="2:18" ht="15" customHeight="1">
      <c r="B81" s="138"/>
      <c r="C81" s="138"/>
      <c r="D81" s="139"/>
      <c r="E81" s="140"/>
      <c r="F81" s="140"/>
      <c r="G81" s="140"/>
      <c r="H81" s="140"/>
      <c r="I81" s="140"/>
      <c r="J81" s="140"/>
      <c r="K81" s="140"/>
      <c r="L81" s="140"/>
      <c r="R81" s="140"/>
    </row>
    <row r="82" spans="2:18" ht="15" customHeight="1">
      <c r="B82" s="138"/>
      <c r="C82" s="138"/>
      <c r="D82" s="139"/>
      <c r="E82" s="140"/>
      <c r="F82" s="140"/>
      <c r="G82" s="140"/>
      <c r="H82" s="140"/>
      <c r="I82" s="140"/>
      <c r="J82" s="140"/>
      <c r="K82" s="140"/>
      <c r="L82" s="140"/>
      <c r="R82" s="140"/>
    </row>
    <row r="83" spans="2:18" ht="15" customHeight="1">
      <c r="B83" s="138"/>
      <c r="C83" s="138"/>
      <c r="D83" s="139"/>
      <c r="E83" s="140"/>
      <c r="F83" s="140"/>
      <c r="G83" s="140"/>
      <c r="H83" s="140"/>
      <c r="I83" s="140"/>
      <c r="J83" s="140"/>
      <c r="K83" s="140"/>
      <c r="L83" s="140"/>
      <c r="R83" s="140"/>
    </row>
    <row r="84" spans="2:18" ht="15" customHeight="1">
      <c r="B84" s="138"/>
      <c r="C84" s="138"/>
      <c r="D84" s="139"/>
      <c r="E84" s="140"/>
      <c r="F84" s="140"/>
      <c r="G84" s="140"/>
      <c r="H84" s="140"/>
      <c r="I84" s="140"/>
      <c r="J84" s="140"/>
      <c r="K84" s="140"/>
      <c r="L84" s="140"/>
      <c r="R84" s="140"/>
    </row>
    <row r="85" spans="2:18" ht="15" customHeight="1">
      <c r="B85" s="138"/>
      <c r="C85" s="138"/>
      <c r="D85" s="139"/>
      <c r="E85" s="140"/>
      <c r="F85" s="140"/>
      <c r="G85" s="140"/>
      <c r="H85" s="140"/>
      <c r="I85" s="140"/>
      <c r="J85" s="140"/>
      <c r="K85" s="140"/>
      <c r="L85" s="140"/>
      <c r="R85" s="140"/>
    </row>
    <row r="86" spans="2:18" ht="15" customHeight="1">
      <c r="B86" s="138"/>
      <c r="C86" s="138"/>
      <c r="D86" s="139"/>
      <c r="E86" s="140"/>
      <c r="F86" s="140"/>
      <c r="G86" s="140"/>
      <c r="H86" s="140"/>
      <c r="I86" s="140"/>
      <c r="J86" s="140"/>
      <c r="K86" s="140"/>
      <c r="L86" s="140"/>
      <c r="R86" s="140"/>
    </row>
    <row r="87" spans="2:18" ht="15" customHeight="1">
      <c r="B87" s="138"/>
      <c r="C87" s="138"/>
      <c r="D87" s="139"/>
      <c r="E87" s="140"/>
      <c r="F87" s="140"/>
      <c r="G87" s="140"/>
      <c r="H87" s="140"/>
      <c r="I87" s="140"/>
      <c r="J87" s="140"/>
      <c r="K87" s="140"/>
      <c r="L87" s="140"/>
      <c r="R87" s="140"/>
    </row>
    <row r="88" spans="2:18" ht="15" customHeight="1">
      <c r="B88" s="138"/>
      <c r="C88" s="138"/>
      <c r="D88" s="139"/>
      <c r="E88" s="140"/>
      <c r="F88" s="140"/>
      <c r="G88" s="140"/>
      <c r="H88" s="140"/>
      <c r="I88" s="140"/>
      <c r="J88" s="140"/>
      <c r="K88" s="140"/>
      <c r="L88" s="140"/>
      <c r="R88" s="140"/>
    </row>
    <row r="89" spans="2:18" ht="15" customHeight="1">
      <c r="B89" s="138"/>
      <c r="C89" s="138"/>
      <c r="D89" s="139"/>
      <c r="E89" s="140"/>
      <c r="F89" s="140"/>
      <c r="G89" s="140"/>
      <c r="H89" s="140"/>
      <c r="I89" s="140"/>
      <c r="J89" s="140"/>
      <c r="K89" s="140"/>
      <c r="L89" s="140"/>
      <c r="R89" s="140"/>
    </row>
    <row r="90" spans="2:18" ht="15" customHeight="1">
      <c r="B90" s="138"/>
      <c r="C90" s="138"/>
      <c r="D90" s="139"/>
      <c r="E90" s="140"/>
      <c r="F90" s="140"/>
      <c r="G90" s="140"/>
      <c r="H90" s="140"/>
      <c r="I90" s="140"/>
      <c r="J90" s="140"/>
      <c r="K90" s="140"/>
      <c r="L90" s="140"/>
      <c r="R90" s="140"/>
    </row>
    <row r="91" spans="2:18" ht="15" customHeight="1">
      <c r="B91" s="138"/>
      <c r="C91" s="138"/>
      <c r="D91" s="139"/>
      <c r="E91" s="140"/>
      <c r="F91" s="140"/>
      <c r="G91" s="140"/>
      <c r="H91" s="140"/>
      <c r="I91" s="140"/>
      <c r="J91" s="140"/>
      <c r="K91" s="140"/>
      <c r="L91" s="140"/>
      <c r="R91" s="140"/>
    </row>
    <row r="92" spans="2:18" ht="15" customHeight="1">
      <c r="B92" s="138"/>
      <c r="C92" s="138"/>
      <c r="D92" s="139"/>
      <c r="E92" s="140"/>
      <c r="F92" s="140"/>
      <c r="G92" s="140"/>
      <c r="H92" s="140"/>
      <c r="I92" s="140"/>
      <c r="J92" s="140"/>
      <c r="K92" s="140"/>
      <c r="L92" s="140"/>
      <c r="R92" s="140"/>
    </row>
    <row r="93" spans="2:18" ht="15" customHeight="1">
      <c r="B93" s="138"/>
      <c r="C93" s="138"/>
      <c r="D93" s="139"/>
      <c r="E93" s="140"/>
      <c r="F93" s="140"/>
      <c r="G93" s="140"/>
      <c r="H93" s="140"/>
      <c r="I93" s="140"/>
      <c r="J93" s="140"/>
      <c r="K93" s="140"/>
      <c r="L93" s="140"/>
      <c r="R93" s="140"/>
    </row>
    <row r="94" spans="2:18" ht="15" customHeight="1">
      <c r="B94" s="138"/>
      <c r="C94" s="138"/>
      <c r="D94" s="139"/>
      <c r="E94" s="140"/>
      <c r="F94" s="140"/>
      <c r="G94" s="140"/>
      <c r="H94" s="140"/>
      <c r="I94" s="140"/>
      <c r="J94" s="140"/>
      <c r="K94" s="140"/>
      <c r="L94" s="140"/>
      <c r="R94" s="140"/>
    </row>
    <row r="95" spans="2:18" ht="15" customHeight="1">
      <c r="B95" s="138"/>
      <c r="C95" s="138"/>
      <c r="D95" s="139"/>
      <c r="E95" s="140"/>
      <c r="F95" s="140"/>
      <c r="G95" s="140"/>
      <c r="H95" s="140"/>
      <c r="I95" s="140"/>
      <c r="J95" s="140"/>
      <c r="K95" s="140"/>
      <c r="L95" s="140"/>
      <c r="R95" s="140"/>
    </row>
    <row r="96" spans="2:18" ht="15" customHeight="1">
      <c r="B96" s="138"/>
      <c r="C96" s="138"/>
      <c r="D96" s="139"/>
      <c r="E96" s="140"/>
      <c r="F96" s="140"/>
      <c r="G96" s="140"/>
      <c r="H96" s="140"/>
      <c r="I96" s="140"/>
      <c r="J96" s="140"/>
      <c r="K96" s="140"/>
      <c r="L96" s="140"/>
      <c r="R96" s="140"/>
    </row>
    <row r="97" spans="2:18" ht="15" customHeight="1">
      <c r="B97" s="138"/>
      <c r="C97" s="138"/>
      <c r="D97" s="139"/>
      <c r="E97" s="140"/>
      <c r="F97" s="140"/>
      <c r="G97" s="140"/>
      <c r="H97" s="140"/>
      <c r="I97" s="140"/>
      <c r="J97" s="140"/>
      <c r="K97" s="140"/>
      <c r="L97" s="140"/>
      <c r="R97" s="140"/>
    </row>
    <row r="98" spans="2:18" ht="15" customHeight="1">
      <c r="B98" s="138"/>
      <c r="C98" s="138"/>
      <c r="D98" s="139"/>
      <c r="E98" s="140"/>
      <c r="F98" s="140"/>
      <c r="G98" s="140"/>
      <c r="H98" s="140"/>
      <c r="I98" s="140"/>
      <c r="J98" s="140"/>
      <c r="K98" s="140"/>
      <c r="L98" s="140"/>
      <c r="R98" s="140"/>
    </row>
    <row r="99" spans="2:18" ht="15" customHeight="1">
      <c r="B99" s="138"/>
      <c r="C99" s="138"/>
      <c r="D99" s="139"/>
      <c r="E99" s="140"/>
      <c r="F99" s="140"/>
      <c r="G99" s="140"/>
      <c r="H99" s="140"/>
      <c r="I99" s="140"/>
      <c r="J99" s="140"/>
      <c r="K99" s="140"/>
      <c r="L99" s="140"/>
      <c r="R99" s="140"/>
    </row>
    <row r="100" spans="2:18" ht="15" customHeight="1">
      <c r="B100" s="138"/>
      <c r="C100" s="138"/>
      <c r="D100" s="139"/>
      <c r="E100" s="140"/>
      <c r="F100" s="140"/>
      <c r="G100" s="140"/>
      <c r="H100" s="140"/>
      <c r="I100" s="140"/>
      <c r="J100" s="140"/>
      <c r="K100" s="140"/>
      <c r="L100" s="140"/>
      <c r="R100" s="140"/>
    </row>
    <row r="101" spans="2:18" ht="15" customHeight="1">
      <c r="B101" s="138"/>
      <c r="C101" s="138"/>
      <c r="D101" s="139"/>
      <c r="E101" s="140"/>
      <c r="F101" s="140"/>
      <c r="G101" s="140"/>
      <c r="H101" s="140"/>
      <c r="I101" s="140"/>
      <c r="J101" s="140"/>
      <c r="K101" s="140"/>
      <c r="L101" s="140"/>
      <c r="R101" s="140"/>
    </row>
    <row r="102" spans="2:18" ht="15" customHeight="1">
      <c r="B102" s="138"/>
      <c r="C102" s="138"/>
      <c r="D102" s="139"/>
      <c r="E102" s="140"/>
      <c r="F102" s="140"/>
      <c r="G102" s="140"/>
      <c r="H102" s="140"/>
      <c r="I102" s="140"/>
      <c r="J102" s="140"/>
      <c r="K102" s="140"/>
      <c r="L102" s="140"/>
      <c r="R102" s="140"/>
    </row>
    <row r="103" spans="2:18" ht="15" customHeight="1">
      <c r="B103" s="138"/>
      <c r="C103" s="138"/>
      <c r="D103" s="139"/>
      <c r="E103" s="140"/>
      <c r="F103" s="140"/>
      <c r="G103" s="140"/>
      <c r="H103" s="140"/>
      <c r="I103" s="140"/>
      <c r="J103" s="140"/>
      <c r="K103" s="140"/>
      <c r="L103" s="140"/>
      <c r="R103" s="140"/>
    </row>
    <row r="104" spans="2:18" ht="15" customHeight="1">
      <c r="B104" s="138"/>
      <c r="C104" s="138"/>
      <c r="D104" s="139"/>
      <c r="E104" s="140"/>
      <c r="F104" s="140"/>
      <c r="G104" s="140"/>
      <c r="H104" s="140"/>
      <c r="I104" s="140"/>
      <c r="J104" s="140"/>
      <c r="K104" s="140"/>
      <c r="L104" s="140"/>
      <c r="R104" s="140"/>
    </row>
    <row r="105" spans="2:18" ht="15" customHeight="1">
      <c r="B105" s="138"/>
      <c r="C105" s="138"/>
      <c r="D105" s="139"/>
      <c r="E105" s="140"/>
      <c r="F105" s="140"/>
      <c r="G105" s="140"/>
      <c r="H105" s="140"/>
      <c r="I105" s="140"/>
      <c r="J105" s="140"/>
      <c r="K105" s="140"/>
      <c r="L105" s="140"/>
      <c r="R105" s="140"/>
    </row>
    <row r="106" spans="2:18" ht="15" customHeight="1">
      <c r="B106" s="138"/>
      <c r="C106" s="138"/>
      <c r="D106" s="139"/>
      <c r="E106" s="140"/>
      <c r="F106" s="140"/>
      <c r="G106" s="140"/>
      <c r="H106" s="140"/>
      <c r="I106" s="140"/>
      <c r="J106" s="140"/>
      <c r="K106" s="140"/>
      <c r="L106" s="140"/>
      <c r="R106" s="140"/>
    </row>
    <row r="107" spans="2:18" ht="15" customHeight="1">
      <c r="B107" s="138"/>
      <c r="C107" s="138"/>
      <c r="D107" s="139"/>
      <c r="E107" s="140"/>
      <c r="F107" s="140"/>
      <c r="G107" s="140"/>
      <c r="H107" s="140"/>
      <c r="I107" s="140"/>
      <c r="J107" s="140"/>
      <c r="K107" s="140"/>
      <c r="L107" s="140"/>
      <c r="R107" s="140"/>
    </row>
    <row r="108" spans="2:18" ht="15" customHeight="1">
      <c r="B108" s="138"/>
      <c r="C108" s="138"/>
      <c r="D108" s="139"/>
      <c r="E108" s="140"/>
      <c r="F108" s="140"/>
      <c r="G108" s="140"/>
      <c r="H108" s="140"/>
      <c r="I108" s="140"/>
      <c r="J108" s="140"/>
      <c r="K108" s="140"/>
      <c r="L108" s="140"/>
      <c r="R108" s="140"/>
    </row>
    <row r="109" spans="2:18" ht="15" customHeight="1">
      <c r="B109" s="138"/>
      <c r="C109" s="138"/>
      <c r="D109" s="139"/>
      <c r="E109" s="140"/>
      <c r="F109" s="140"/>
      <c r="G109" s="140"/>
      <c r="H109" s="140"/>
      <c r="I109" s="140"/>
      <c r="J109" s="140"/>
      <c r="K109" s="140"/>
      <c r="L109" s="140"/>
      <c r="R109" s="140"/>
    </row>
    <row r="110" spans="2:18" ht="15" customHeight="1">
      <c r="B110" s="138"/>
      <c r="C110" s="138"/>
      <c r="D110" s="139"/>
      <c r="E110" s="140"/>
      <c r="F110" s="140"/>
      <c r="G110" s="140"/>
      <c r="H110" s="140"/>
      <c r="I110" s="140"/>
      <c r="J110" s="140"/>
      <c r="K110" s="140"/>
      <c r="L110" s="140"/>
      <c r="R110" s="140"/>
    </row>
    <row r="111" spans="2:18" ht="15" customHeight="1">
      <c r="B111" s="138"/>
      <c r="C111" s="138"/>
      <c r="D111" s="139"/>
      <c r="E111" s="140"/>
      <c r="F111" s="140"/>
      <c r="G111" s="140"/>
      <c r="H111" s="140"/>
      <c r="I111" s="140"/>
      <c r="J111" s="140"/>
      <c r="K111" s="140"/>
      <c r="L111" s="140"/>
      <c r="R111" s="140"/>
    </row>
    <row r="112" spans="2:18" ht="15" customHeight="1">
      <c r="B112" s="138"/>
      <c r="C112" s="138"/>
      <c r="D112" s="139"/>
      <c r="E112" s="140"/>
      <c r="F112" s="140"/>
      <c r="G112" s="140"/>
      <c r="H112" s="140"/>
      <c r="I112" s="140"/>
      <c r="J112" s="140"/>
      <c r="K112" s="140"/>
      <c r="L112" s="140"/>
      <c r="R112" s="140"/>
    </row>
    <row r="113" spans="2:18" ht="15" customHeight="1">
      <c r="B113" s="138"/>
      <c r="C113" s="138"/>
      <c r="D113" s="139"/>
      <c r="E113" s="140"/>
      <c r="F113" s="140"/>
      <c r="G113" s="140"/>
      <c r="H113" s="140"/>
      <c r="I113" s="140"/>
      <c r="J113" s="140"/>
      <c r="K113" s="140"/>
      <c r="L113" s="140"/>
      <c r="R113" s="140"/>
    </row>
    <row r="114" spans="2:18" ht="15" customHeight="1">
      <c r="B114" s="138"/>
      <c r="C114" s="138"/>
      <c r="D114" s="139"/>
      <c r="E114" s="140"/>
      <c r="F114" s="140"/>
      <c r="G114" s="140"/>
      <c r="H114" s="140"/>
      <c r="I114" s="140"/>
      <c r="J114" s="140"/>
      <c r="K114" s="140"/>
      <c r="L114" s="140"/>
      <c r="R114" s="140"/>
    </row>
    <row r="115" spans="2:18" ht="15" customHeight="1">
      <c r="B115" s="138"/>
      <c r="C115" s="138"/>
      <c r="D115" s="139"/>
      <c r="E115" s="140"/>
      <c r="F115" s="140"/>
      <c r="G115" s="140"/>
      <c r="H115" s="140"/>
      <c r="I115" s="140"/>
      <c r="J115" s="140"/>
      <c r="K115" s="140"/>
      <c r="L115" s="140"/>
      <c r="R115" s="140"/>
    </row>
    <row r="116" spans="2:18" ht="15" customHeight="1">
      <c r="B116" s="138"/>
      <c r="C116" s="138"/>
      <c r="D116" s="139"/>
      <c r="E116" s="140"/>
      <c r="F116" s="140"/>
      <c r="G116" s="140"/>
      <c r="H116" s="140"/>
      <c r="I116" s="140"/>
      <c r="J116" s="140"/>
      <c r="K116" s="140"/>
      <c r="L116" s="140"/>
      <c r="R116" s="140"/>
    </row>
    <row r="117" spans="2:18" ht="15" customHeight="1">
      <c r="B117" s="138"/>
      <c r="C117" s="138"/>
      <c r="D117" s="139"/>
      <c r="E117" s="140"/>
      <c r="F117" s="140"/>
      <c r="G117" s="140"/>
      <c r="H117" s="140"/>
      <c r="I117" s="140"/>
      <c r="J117" s="140"/>
      <c r="K117" s="140"/>
      <c r="L117" s="140"/>
      <c r="R117" s="140"/>
    </row>
    <row r="118" spans="2:18" ht="15" customHeight="1">
      <c r="B118" s="138"/>
      <c r="C118" s="138"/>
      <c r="D118" s="139"/>
      <c r="E118" s="140"/>
      <c r="F118" s="140"/>
      <c r="G118" s="140"/>
      <c r="H118" s="140"/>
      <c r="I118" s="140"/>
      <c r="J118" s="140"/>
      <c r="K118" s="140"/>
      <c r="L118" s="140"/>
      <c r="R118" s="140"/>
    </row>
    <row r="119" spans="2:18" ht="15" customHeight="1">
      <c r="B119" s="138"/>
      <c r="C119" s="138"/>
      <c r="D119" s="139"/>
      <c r="E119" s="140"/>
      <c r="F119" s="140"/>
      <c r="G119" s="140"/>
      <c r="H119" s="140"/>
      <c r="I119" s="140"/>
      <c r="J119" s="140"/>
      <c r="K119" s="140"/>
      <c r="L119" s="140"/>
      <c r="R119" s="140"/>
    </row>
    <row r="120" spans="2:18" ht="15" customHeight="1">
      <c r="B120" s="138"/>
      <c r="C120" s="138"/>
      <c r="D120" s="139"/>
      <c r="E120" s="140"/>
      <c r="F120" s="140"/>
      <c r="G120" s="140"/>
      <c r="H120" s="140"/>
      <c r="I120" s="140"/>
      <c r="J120" s="140"/>
      <c r="K120" s="140"/>
      <c r="L120" s="140"/>
      <c r="R120" s="140"/>
    </row>
    <row r="121" spans="2:18" ht="15" customHeight="1">
      <c r="B121" s="138"/>
      <c r="C121" s="138"/>
      <c r="D121" s="139"/>
      <c r="E121" s="140"/>
      <c r="F121" s="140"/>
      <c r="G121" s="140"/>
      <c r="H121" s="140"/>
      <c r="I121" s="140"/>
      <c r="J121" s="140"/>
      <c r="K121" s="140"/>
      <c r="L121" s="140"/>
      <c r="R121" s="140"/>
    </row>
    <row r="122" spans="2:18" ht="15" customHeight="1">
      <c r="B122" s="138"/>
      <c r="C122" s="138"/>
      <c r="D122" s="139"/>
      <c r="E122" s="140"/>
      <c r="F122" s="140"/>
      <c r="G122" s="140"/>
      <c r="H122" s="140"/>
      <c r="I122" s="140"/>
      <c r="J122" s="140"/>
      <c r="K122" s="140"/>
      <c r="L122" s="140"/>
      <c r="R122" s="140"/>
    </row>
    <row r="123" spans="2:18" ht="15" customHeight="1">
      <c r="B123" s="138"/>
      <c r="C123" s="138"/>
      <c r="D123" s="139"/>
      <c r="E123" s="140"/>
      <c r="F123" s="140"/>
      <c r="G123" s="140"/>
      <c r="H123" s="140"/>
      <c r="I123" s="140"/>
      <c r="J123" s="140"/>
      <c r="K123" s="140"/>
      <c r="L123" s="140"/>
      <c r="R123" s="140"/>
    </row>
    <row r="124" spans="2:18" ht="15" customHeight="1">
      <c r="B124" s="138"/>
      <c r="C124" s="138"/>
      <c r="D124" s="139"/>
      <c r="E124" s="140"/>
      <c r="F124" s="140"/>
      <c r="G124" s="140"/>
      <c r="H124" s="140"/>
      <c r="I124" s="140"/>
      <c r="J124" s="140"/>
      <c r="K124" s="140"/>
      <c r="L124" s="140"/>
      <c r="R124" s="140"/>
    </row>
    <row r="125" spans="2:18" ht="15" customHeight="1">
      <c r="B125" s="138"/>
      <c r="C125" s="138"/>
      <c r="D125" s="139"/>
      <c r="E125" s="140"/>
      <c r="F125" s="140"/>
      <c r="G125" s="140"/>
      <c r="H125" s="140"/>
      <c r="I125" s="140"/>
      <c r="J125" s="140"/>
      <c r="K125" s="140"/>
      <c r="L125" s="140"/>
      <c r="R125" s="140"/>
    </row>
    <row r="126" spans="2:18" ht="15" customHeight="1">
      <c r="B126" s="138"/>
      <c r="C126" s="138"/>
      <c r="D126" s="139"/>
      <c r="E126" s="140"/>
      <c r="F126" s="140"/>
      <c r="G126" s="140"/>
      <c r="H126" s="140"/>
      <c r="I126" s="140"/>
      <c r="J126" s="140"/>
      <c r="K126" s="140"/>
      <c r="L126" s="140"/>
      <c r="R126" s="140"/>
    </row>
    <row r="127" spans="2:18" ht="15" customHeight="1">
      <c r="B127" s="138"/>
      <c r="C127" s="138"/>
      <c r="D127" s="139"/>
      <c r="E127" s="140"/>
      <c r="F127" s="140"/>
      <c r="G127" s="140"/>
      <c r="H127" s="140"/>
      <c r="I127" s="140"/>
      <c r="J127" s="140"/>
      <c r="K127" s="140"/>
      <c r="L127" s="140"/>
      <c r="R127" s="140"/>
    </row>
    <row r="128" spans="2:18" ht="15" customHeight="1">
      <c r="B128" s="138"/>
      <c r="C128" s="138"/>
      <c r="D128" s="139"/>
      <c r="E128" s="140"/>
      <c r="F128" s="140"/>
      <c r="G128" s="140"/>
      <c r="H128" s="140"/>
      <c r="I128" s="140"/>
      <c r="J128" s="140"/>
      <c r="K128" s="140"/>
      <c r="L128" s="140"/>
      <c r="R128" s="140"/>
    </row>
    <row r="129" spans="2:18" ht="15" customHeight="1">
      <c r="B129" s="138"/>
      <c r="C129" s="138"/>
      <c r="D129" s="139"/>
      <c r="E129" s="140"/>
      <c r="F129" s="140"/>
      <c r="G129" s="140"/>
      <c r="H129" s="140"/>
      <c r="I129" s="140"/>
      <c r="J129" s="140"/>
      <c r="K129" s="140"/>
      <c r="L129" s="140"/>
      <c r="R129" s="140"/>
    </row>
    <row r="130" spans="2:18" ht="15" customHeight="1">
      <c r="B130" s="138"/>
      <c r="C130" s="138"/>
      <c r="D130" s="139"/>
      <c r="E130" s="140"/>
      <c r="F130" s="140"/>
      <c r="G130" s="140"/>
      <c r="H130" s="140"/>
      <c r="I130" s="140"/>
      <c r="J130" s="140"/>
      <c r="K130" s="140"/>
      <c r="L130" s="140"/>
      <c r="R130" s="140"/>
    </row>
    <row r="131" spans="2:18" ht="15" customHeight="1">
      <c r="B131" s="138"/>
      <c r="C131" s="138"/>
      <c r="D131" s="139"/>
      <c r="E131" s="140"/>
      <c r="F131" s="140"/>
      <c r="G131" s="140"/>
      <c r="H131" s="140"/>
      <c r="I131" s="140"/>
      <c r="J131" s="140"/>
      <c r="K131" s="140"/>
      <c r="L131" s="140"/>
      <c r="R131" s="140"/>
    </row>
    <row r="132" spans="2:18" ht="15" customHeight="1">
      <c r="B132" s="138"/>
      <c r="C132" s="138"/>
      <c r="D132" s="139"/>
      <c r="E132" s="140"/>
      <c r="F132" s="140"/>
      <c r="G132" s="140"/>
      <c r="H132" s="140"/>
      <c r="I132" s="140"/>
      <c r="J132" s="140"/>
      <c r="K132" s="140"/>
      <c r="L132" s="140"/>
      <c r="R132" s="140"/>
    </row>
    <row r="133" spans="2:18" ht="15" customHeight="1">
      <c r="B133" s="138"/>
      <c r="C133" s="138"/>
      <c r="D133" s="139"/>
      <c r="E133" s="140"/>
      <c r="F133" s="140"/>
      <c r="G133" s="140"/>
      <c r="H133" s="140"/>
      <c r="I133" s="140"/>
      <c r="J133" s="140"/>
      <c r="K133" s="140"/>
      <c r="L133" s="140"/>
      <c r="R133" s="140"/>
    </row>
    <row r="134" spans="2:18" ht="15" customHeight="1">
      <c r="B134" s="138"/>
      <c r="C134" s="138"/>
      <c r="D134" s="139"/>
      <c r="E134" s="140"/>
      <c r="F134" s="140"/>
      <c r="G134" s="140"/>
      <c r="H134" s="140"/>
      <c r="I134" s="140"/>
      <c r="J134" s="140"/>
      <c r="K134" s="140"/>
      <c r="L134" s="140"/>
      <c r="R134" s="140"/>
    </row>
    <row r="135" spans="2:18" ht="15" customHeight="1">
      <c r="B135" s="138"/>
      <c r="C135" s="138"/>
      <c r="D135" s="139"/>
      <c r="E135" s="140"/>
      <c r="F135" s="140"/>
      <c r="G135" s="140"/>
      <c r="H135" s="140"/>
      <c r="I135" s="140"/>
      <c r="J135" s="140"/>
      <c r="K135" s="140"/>
      <c r="L135" s="140"/>
      <c r="R135" s="140"/>
    </row>
    <row r="136" spans="2:18" ht="15" customHeight="1">
      <c r="B136" s="138"/>
      <c r="C136" s="138"/>
      <c r="D136" s="139"/>
      <c r="E136" s="140"/>
      <c r="F136" s="140"/>
      <c r="G136" s="140"/>
      <c r="H136" s="140"/>
      <c r="I136" s="140"/>
      <c r="J136" s="140"/>
      <c r="K136" s="140"/>
      <c r="L136" s="140"/>
      <c r="R136" s="140"/>
    </row>
    <row r="137" spans="2:18" ht="15" customHeight="1">
      <c r="B137" s="138"/>
      <c r="C137" s="138"/>
      <c r="D137" s="139"/>
      <c r="E137" s="140"/>
      <c r="F137" s="140"/>
      <c r="G137" s="140"/>
      <c r="H137" s="140"/>
      <c r="I137" s="140"/>
      <c r="J137" s="140"/>
      <c r="K137" s="140"/>
      <c r="L137" s="140"/>
      <c r="R137" s="140"/>
    </row>
    <row r="138" spans="2:18" ht="15" customHeight="1">
      <c r="B138" s="138"/>
      <c r="C138" s="138"/>
      <c r="D138" s="139"/>
      <c r="E138" s="140"/>
      <c r="F138" s="140"/>
      <c r="G138" s="140"/>
      <c r="H138" s="140"/>
      <c r="I138" s="140"/>
      <c r="J138" s="140"/>
      <c r="K138" s="140"/>
      <c r="L138" s="140"/>
      <c r="R138" s="140"/>
    </row>
    <row r="139" spans="2:18" ht="15" customHeight="1">
      <c r="B139" s="138"/>
      <c r="C139" s="138"/>
      <c r="D139" s="139"/>
      <c r="E139" s="140"/>
      <c r="F139" s="140"/>
      <c r="G139" s="140"/>
      <c r="H139" s="140"/>
      <c r="I139" s="140"/>
      <c r="J139" s="140"/>
      <c r="K139" s="140"/>
      <c r="L139" s="140"/>
      <c r="R139" s="140"/>
    </row>
    <row r="140" spans="2:18" ht="15" customHeight="1">
      <c r="B140" s="138"/>
      <c r="C140" s="138"/>
      <c r="D140" s="139"/>
      <c r="E140" s="140"/>
      <c r="F140" s="140"/>
      <c r="G140" s="140"/>
      <c r="H140" s="140"/>
      <c r="I140" s="140"/>
      <c r="J140" s="140"/>
      <c r="K140" s="140"/>
      <c r="L140" s="140"/>
      <c r="R140" s="140"/>
    </row>
    <row r="141" spans="2:18" ht="15" customHeight="1">
      <c r="B141" s="138"/>
      <c r="C141" s="138"/>
      <c r="D141" s="139"/>
      <c r="E141" s="140"/>
      <c r="F141" s="140"/>
      <c r="G141" s="140"/>
      <c r="H141" s="140"/>
      <c r="I141" s="140"/>
      <c r="J141" s="140"/>
      <c r="K141" s="140"/>
      <c r="L141" s="140"/>
      <c r="R141" s="140"/>
    </row>
    <row r="142" spans="2:18" ht="15" customHeight="1">
      <c r="B142" s="138"/>
      <c r="C142" s="138"/>
      <c r="D142" s="139"/>
      <c r="E142" s="140"/>
      <c r="F142" s="140"/>
      <c r="G142" s="140"/>
      <c r="H142" s="140"/>
      <c r="I142" s="140"/>
      <c r="J142" s="140"/>
      <c r="K142" s="140"/>
      <c r="L142" s="140"/>
      <c r="R142" s="140"/>
    </row>
    <row r="143" spans="2:18" ht="15" customHeight="1">
      <c r="B143" s="138"/>
      <c r="C143" s="138"/>
      <c r="D143" s="139"/>
      <c r="E143" s="140"/>
      <c r="F143" s="140"/>
      <c r="G143" s="140"/>
      <c r="H143" s="140"/>
      <c r="I143" s="140"/>
      <c r="J143" s="140"/>
      <c r="K143" s="140"/>
      <c r="L143" s="140"/>
      <c r="R143" s="140"/>
    </row>
    <row r="144" spans="2:18" ht="15" customHeight="1">
      <c r="B144" s="138"/>
      <c r="C144" s="138"/>
      <c r="D144" s="139"/>
      <c r="E144" s="140"/>
      <c r="F144" s="140"/>
      <c r="G144" s="140"/>
      <c r="H144" s="140"/>
      <c r="I144" s="140"/>
      <c r="J144" s="140"/>
      <c r="K144" s="140"/>
      <c r="L144" s="140"/>
      <c r="R144" s="140"/>
    </row>
    <row r="145" spans="2:18" ht="15" customHeight="1">
      <c r="B145" s="138"/>
      <c r="C145" s="138"/>
      <c r="D145" s="139"/>
      <c r="E145" s="140"/>
      <c r="F145" s="140"/>
      <c r="G145" s="140"/>
      <c r="H145" s="140"/>
      <c r="I145" s="140"/>
      <c r="J145" s="140"/>
      <c r="K145" s="140"/>
      <c r="L145" s="140"/>
      <c r="R145" s="140"/>
    </row>
    <row r="146" spans="2:18" ht="15" customHeight="1">
      <c r="B146" s="138"/>
      <c r="C146" s="138"/>
      <c r="D146" s="139"/>
      <c r="E146" s="140"/>
      <c r="F146" s="140"/>
      <c r="G146" s="140"/>
      <c r="H146" s="140"/>
      <c r="I146" s="140"/>
      <c r="J146" s="140"/>
      <c r="K146" s="140"/>
      <c r="L146" s="140"/>
      <c r="R146" s="140"/>
    </row>
    <row r="147" spans="2:18" ht="15" customHeight="1">
      <c r="B147" s="138"/>
      <c r="C147" s="138"/>
      <c r="D147" s="139"/>
      <c r="E147" s="140"/>
      <c r="F147" s="140"/>
      <c r="G147" s="140"/>
      <c r="H147" s="140"/>
      <c r="I147" s="140"/>
      <c r="J147" s="140"/>
      <c r="K147" s="140"/>
      <c r="L147" s="140"/>
      <c r="R147" s="140"/>
    </row>
    <row r="148" spans="2:18" ht="15" customHeight="1">
      <c r="B148" s="138"/>
      <c r="C148" s="138"/>
      <c r="D148" s="139"/>
      <c r="E148" s="140"/>
      <c r="F148" s="140"/>
      <c r="G148" s="140"/>
      <c r="H148" s="140"/>
      <c r="I148" s="140"/>
      <c r="J148" s="140"/>
      <c r="K148" s="140"/>
      <c r="L148" s="140"/>
      <c r="R148" s="140"/>
    </row>
    <row r="149" spans="2:18" ht="15" customHeight="1">
      <c r="B149" s="138"/>
      <c r="C149" s="138"/>
      <c r="D149" s="139"/>
      <c r="E149" s="140"/>
      <c r="F149" s="140"/>
      <c r="G149" s="140"/>
      <c r="H149" s="140"/>
      <c r="I149" s="140"/>
      <c r="J149" s="140"/>
      <c r="K149" s="140"/>
      <c r="L149" s="140"/>
      <c r="R149" s="140"/>
    </row>
    <row r="150" spans="2:18" ht="15" customHeight="1">
      <c r="B150" s="138"/>
      <c r="C150" s="138"/>
      <c r="D150" s="139"/>
      <c r="E150" s="140"/>
      <c r="F150" s="140"/>
      <c r="G150" s="140"/>
      <c r="H150" s="140"/>
      <c r="I150" s="140"/>
      <c r="J150" s="140"/>
      <c r="K150" s="140"/>
      <c r="L150" s="140"/>
      <c r="R150" s="140"/>
    </row>
    <row r="151" spans="2:18" ht="15" customHeight="1">
      <c r="B151" s="138"/>
      <c r="C151" s="138"/>
      <c r="D151" s="139"/>
      <c r="E151" s="140"/>
      <c r="F151" s="140"/>
      <c r="G151" s="140"/>
      <c r="H151" s="140"/>
      <c r="I151" s="140"/>
      <c r="J151" s="140"/>
      <c r="K151" s="140"/>
      <c r="L151" s="140"/>
      <c r="R151" s="140"/>
    </row>
    <row r="152" spans="2:18" ht="15" customHeight="1">
      <c r="B152" s="138"/>
      <c r="C152" s="138"/>
      <c r="D152" s="139"/>
      <c r="E152" s="140"/>
      <c r="F152" s="140"/>
      <c r="G152" s="140"/>
      <c r="H152" s="140"/>
      <c r="I152" s="140"/>
      <c r="J152" s="140"/>
      <c r="K152" s="140"/>
      <c r="L152" s="140"/>
      <c r="R152" s="140"/>
    </row>
    <row r="153" spans="2:18" ht="15" customHeight="1">
      <c r="B153" s="138"/>
      <c r="C153" s="138"/>
      <c r="D153" s="139"/>
      <c r="E153" s="140"/>
      <c r="F153" s="140"/>
      <c r="G153" s="140"/>
      <c r="H153" s="140"/>
      <c r="I153" s="140"/>
      <c r="J153" s="140"/>
      <c r="K153" s="140"/>
      <c r="L153" s="140"/>
      <c r="R153" s="140"/>
    </row>
    <row r="154" spans="2:18" ht="15" customHeight="1">
      <c r="B154" s="138"/>
      <c r="C154" s="138"/>
      <c r="D154" s="139"/>
      <c r="E154" s="140"/>
      <c r="F154" s="140"/>
      <c r="G154" s="140"/>
      <c r="H154" s="140"/>
      <c r="I154" s="140"/>
      <c r="J154" s="140"/>
      <c r="K154" s="140"/>
      <c r="L154" s="140"/>
      <c r="R154" s="140"/>
    </row>
    <row r="155" spans="2:18" ht="15" customHeight="1">
      <c r="B155" s="138"/>
      <c r="C155" s="138"/>
      <c r="D155" s="139"/>
      <c r="E155" s="140"/>
      <c r="F155" s="140"/>
      <c r="G155" s="140"/>
      <c r="H155" s="140"/>
      <c r="I155" s="140"/>
      <c r="J155" s="140"/>
      <c r="K155" s="140"/>
      <c r="L155" s="140"/>
      <c r="R155" s="140"/>
    </row>
    <row r="156" spans="2:18" ht="15" customHeight="1">
      <c r="B156" s="138"/>
      <c r="C156" s="138"/>
      <c r="D156" s="139"/>
      <c r="E156" s="140"/>
      <c r="F156" s="140"/>
      <c r="G156" s="140"/>
      <c r="H156" s="140"/>
      <c r="I156" s="140"/>
      <c r="J156" s="140"/>
      <c r="K156" s="140"/>
      <c r="L156" s="140"/>
      <c r="R156" s="140"/>
    </row>
    <row r="157" spans="2:18" ht="15" customHeight="1">
      <c r="B157" s="138"/>
      <c r="C157" s="138"/>
      <c r="D157" s="139"/>
      <c r="E157" s="140"/>
      <c r="F157" s="140"/>
      <c r="G157" s="140"/>
      <c r="H157" s="140"/>
      <c r="I157" s="140"/>
      <c r="J157" s="140"/>
      <c r="K157" s="140"/>
      <c r="L157" s="140"/>
      <c r="R157" s="140"/>
    </row>
    <row r="158" spans="2:18" ht="15" customHeight="1">
      <c r="B158" s="138"/>
      <c r="C158" s="138"/>
      <c r="D158" s="139"/>
      <c r="E158" s="140"/>
      <c r="F158" s="140"/>
      <c r="G158" s="140"/>
      <c r="H158" s="140"/>
      <c r="I158" s="140"/>
      <c r="J158" s="140"/>
      <c r="K158" s="140"/>
      <c r="L158" s="140"/>
      <c r="R158" s="140"/>
    </row>
    <row r="159" spans="2:18" ht="15" customHeight="1">
      <c r="B159" s="138"/>
      <c r="C159" s="138"/>
      <c r="D159" s="139"/>
      <c r="E159" s="140"/>
      <c r="F159" s="140"/>
      <c r="G159" s="140"/>
      <c r="H159" s="140"/>
      <c r="I159" s="140"/>
      <c r="J159" s="140"/>
      <c r="K159" s="140"/>
      <c r="L159" s="140"/>
      <c r="R159" s="140"/>
    </row>
    <row r="160" spans="2:18" ht="15" customHeight="1">
      <c r="B160" s="138"/>
      <c r="C160" s="138"/>
      <c r="D160" s="139"/>
      <c r="E160" s="140"/>
      <c r="F160" s="140"/>
      <c r="G160" s="140"/>
      <c r="H160" s="140"/>
      <c r="I160" s="140"/>
      <c r="J160" s="140"/>
      <c r="K160" s="140"/>
      <c r="L160" s="140"/>
      <c r="R160" s="140"/>
    </row>
    <row r="161" spans="2:18" ht="15" customHeight="1">
      <c r="B161" s="138"/>
      <c r="C161" s="138"/>
      <c r="D161" s="139"/>
      <c r="E161" s="140"/>
      <c r="F161" s="140"/>
      <c r="G161" s="140"/>
      <c r="H161" s="140"/>
      <c r="I161" s="140"/>
      <c r="J161" s="140"/>
      <c r="K161" s="140"/>
      <c r="L161" s="140"/>
      <c r="R161" s="140"/>
    </row>
    <row r="162" spans="2:18" ht="15" customHeight="1">
      <c r="B162" s="138"/>
      <c r="C162" s="138"/>
      <c r="D162" s="139"/>
      <c r="E162" s="140"/>
      <c r="F162" s="140"/>
      <c r="G162" s="140"/>
      <c r="H162" s="140"/>
      <c r="I162" s="140"/>
      <c r="J162" s="140"/>
      <c r="K162" s="140"/>
      <c r="L162" s="140"/>
      <c r="R162" s="140"/>
    </row>
    <row r="163" spans="2:18" ht="15" customHeight="1">
      <c r="B163" s="138"/>
      <c r="C163" s="138"/>
      <c r="D163" s="139"/>
      <c r="E163" s="140"/>
      <c r="F163" s="140"/>
      <c r="G163" s="140"/>
      <c r="H163" s="140"/>
      <c r="I163" s="140"/>
      <c r="J163" s="140"/>
      <c r="K163" s="140"/>
      <c r="L163" s="140"/>
      <c r="R163" s="140"/>
    </row>
    <row r="164" spans="2:18" ht="15" customHeight="1">
      <c r="B164" s="138"/>
      <c r="C164" s="138"/>
      <c r="D164" s="139"/>
      <c r="E164" s="140"/>
      <c r="F164" s="140"/>
      <c r="G164" s="140"/>
      <c r="H164" s="140"/>
      <c r="I164" s="140"/>
      <c r="J164" s="140"/>
      <c r="K164" s="140"/>
      <c r="L164" s="140"/>
      <c r="R164" s="140"/>
    </row>
    <row r="165" spans="2:18" ht="15" customHeight="1">
      <c r="B165" s="138"/>
      <c r="C165" s="138"/>
      <c r="D165" s="139"/>
      <c r="E165" s="140"/>
      <c r="F165" s="140"/>
      <c r="G165" s="140"/>
      <c r="H165" s="140"/>
      <c r="I165" s="140"/>
      <c r="J165" s="140"/>
      <c r="K165" s="140"/>
      <c r="L165" s="140"/>
      <c r="R165" s="140"/>
    </row>
    <row r="166" spans="2:18" ht="15" customHeight="1">
      <c r="B166" s="138"/>
      <c r="C166" s="138"/>
      <c r="D166" s="139"/>
      <c r="E166" s="140"/>
      <c r="F166" s="140"/>
      <c r="G166" s="140"/>
      <c r="H166" s="140"/>
      <c r="I166" s="140"/>
      <c r="J166" s="140"/>
      <c r="K166" s="140"/>
      <c r="L166" s="140"/>
      <c r="R166" s="140"/>
    </row>
    <row r="167" spans="2:18" ht="15" customHeight="1">
      <c r="B167" s="138"/>
      <c r="C167" s="138"/>
      <c r="D167" s="139"/>
      <c r="E167" s="140"/>
      <c r="F167" s="140"/>
      <c r="G167" s="140"/>
      <c r="H167" s="140"/>
      <c r="I167" s="140"/>
      <c r="J167" s="140"/>
      <c r="K167" s="140"/>
      <c r="L167" s="140"/>
      <c r="R167" s="140"/>
    </row>
    <row r="168" spans="2:18" ht="15" customHeight="1">
      <c r="B168" s="138"/>
      <c r="C168" s="138"/>
      <c r="D168" s="139"/>
      <c r="E168" s="140"/>
      <c r="F168" s="140"/>
      <c r="G168" s="140"/>
      <c r="H168" s="140"/>
      <c r="I168" s="140"/>
      <c r="J168" s="140"/>
      <c r="K168" s="140"/>
      <c r="L168" s="140"/>
      <c r="R168" s="140"/>
    </row>
    <row r="169" spans="2:18" ht="15" customHeight="1">
      <c r="B169" s="138"/>
      <c r="C169" s="138"/>
      <c r="D169" s="139"/>
      <c r="E169" s="140"/>
      <c r="F169" s="140"/>
      <c r="G169" s="140"/>
      <c r="H169" s="140"/>
      <c r="I169" s="140"/>
      <c r="J169" s="140"/>
      <c r="K169" s="140"/>
      <c r="L169" s="140"/>
      <c r="R169" s="140"/>
    </row>
    <row r="170" spans="2:18" ht="15" customHeight="1">
      <c r="B170" s="138"/>
      <c r="C170" s="138"/>
      <c r="D170" s="139"/>
      <c r="E170" s="140"/>
      <c r="F170" s="140"/>
      <c r="G170" s="140"/>
      <c r="H170" s="140"/>
      <c r="I170" s="140"/>
      <c r="J170" s="140"/>
      <c r="K170" s="140"/>
      <c r="L170" s="140"/>
      <c r="R170" s="140"/>
    </row>
    <row r="171" spans="2:18" ht="15" customHeight="1">
      <c r="B171" s="138"/>
      <c r="C171" s="138"/>
      <c r="D171" s="139"/>
      <c r="E171" s="140"/>
      <c r="F171" s="140"/>
      <c r="G171" s="140"/>
      <c r="H171" s="140"/>
      <c r="I171" s="140"/>
      <c r="J171" s="140"/>
      <c r="K171" s="140"/>
      <c r="L171" s="140"/>
      <c r="R171" s="140"/>
    </row>
    <row r="172" spans="2:18" ht="15" customHeight="1">
      <c r="B172" s="138"/>
      <c r="C172" s="138"/>
      <c r="D172" s="139"/>
      <c r="E172" s="140"/>
      <c r="F172" s="140"/>
      <c r="G172" s="140"/>
      <c r="H172" s="140"/>
      <c r="I172" s="140"/>
      <c r="J172" s="140"/>
      <c r="K172" s="140"/>
      <c r="L172" s="140"/>
      <c r="R172" s="140"/>
    </row>
    <row r="173" spans="2:18" ht="15" customHeight="1">
      <c r="B173" s="138"/>
      <c r="C173" s="138"/>
      <c r="D173" s="139"/>
      <c r="E173" s="140"/>
      <c r="F173" s="140"/>
      <c r="G173" s="140"/>
      <c r="H173" s="140"/>
      <c r="I173" s="140"/>
      <c r="J173" s="140"/>
      <c r="K173" s="140"/>
      <c r="L173" s="140"/>
      <c r="R173" s="140"/>
    </row>
  </sheetData>
  <mergeCells count="6">
    <mergeCell ref="K1:M1"/>
    <mergeCell ref="L7:M7"/>
    <mergeCell ref="E10:J10"/>
    <mergeCell ref="L10:Q10"/>
    <mergeCell ref="L11:Q11"/>
    <mergeCell ref="E11:J11"/>
  </mergeCells>
  <printOptions horizontalCentered="1"/>
  <pageMargins left="0.39370078740157483" right="0.39370078740157483" top="0.51181102362204722" bottom="0.39370078740157483" header="0.31496062992125984" footer="0.31496062992125984"/>
  <pageSetup paperSize="9" scale="75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173"/>
  <sheetViews>
    <sheetView tabSelected="1" view="pageBreakPreview" zoomScale="95" zoomScaleNormal="84" zoomScaleSheetLayoutView="95" workbookViewId="0">
      <selection activeCell="M12" sqref="M12"/>
    </sheetView>
  </sheetViews>
  <sheetFormatPr defaultColWidth="7.140625" defaultRowHeight="13.5"/>
  <cols>
    <col min="1" max="1" width="1.7109375" style="116" customWidth="1"/>
    <col min="2" max="2" width="13.140625" style="116" customWidth="1"/>
    <col min="3" max="3" width="7.28515625" style="116" customWidth="1"/>
    <col min="4" max="4" width="9.7109375" style="116" customWidth="1"/>
    <col min="5" max="10" width="7.5703125" style="116" customWidth="1"/>
    <col min="11" max="11" width="1.5703125" style="116" customWidth="1"/>
    <col min="12" max="16" width="7.5703125" style="116" customWidth="1"/>
    <col min="17" max="17" width="7.5703125" style="177" customWidth="1"/>
    <col min="18" max="18" width="1.7109375" style="116" customWidth="1"/>
    <col min="19" max="16384" width="7.140625" style="116"/>
  </cols>
  <sheetData>
    <row r="1" spans="1:18" s="1" customFormat="1" ht="15" customHeight="1">
      <c r="B1" s="2"/>
      <c r="C1" s="2"/>
      <c r="D1" s="3"/>
      <c r="E1" s="201"/>
      <c r="F1" s="201"/>
      <c r="G1" s="201"/>
      <c r="H1" s="201"/>
      <c r="I1" s="201"/>
      <c r="J1" s="201"/>
      <c r="K1" s="297"/>
      <c r="L1" s="297"/>
      <c r="M1" s="297"/>
    </row>
    <row r="2" spans="1:18" s="1" customFormat="1">
      <c r="B2" s="2"/>
      <c r="C2" s="2"/>
      <c r="D2" s="3"/>
      <c r="E2" s="201"/>
      <c r="F2" s="201"/>
      <c r="G2" s="201"/>
      <c r="H2" s="201"/>
      <c r="I2" s="201"/>
      <c r="J2" s="201"/>
      <c r="K2" s="201"/>
      <c r="L2" s="201"/>
      <c r="R2" s="4" t="s">
        <v>7</v>
      </c>
    </row>
    <row r="3" spans="1:18" s="1" customFormat="1">
      <c r="B3" s="2"/>
      <c r="C3" s="2"/>
      <c r="D3" s="3"/>
      <c r="E3" s="201"/>
      <c r="F3" s="201"/>
      <c r="G3" s="201"/>
      <c r="H3" s="201"/>
      <c r="I3" s="201"/>
      <c r="J3" s="201"/>
      <c r="K3" s="201"/>
      <c r="L3" s="201"/>
      <c r="R3" s="5" t="s">
        <v>55</v>
      </c>
    </row>
    <row r="4" spans="1:18" s="1" customFormat="1">
      <c r="B4" s="7"/>
      <c r="C4" s="7"/>
      <c r="D4" s="3"/>
    </row>
    <row r="5" spans="1:18" ht="15" customHeight="1">
      <c r="B5" s="8" t="s">
        <v>120</v>
      </c>
      <c r="C5" s="9" t="s">
        <v>144</v>
      </c>
      <c r="D5" s="117"/>
      <c r="E5" s="118"/>
      <c r="F5" s="118"/>
      <c r="G5" s="118"/>
      <c r="H5" s="118"/>
      <c r="I5" s="118"/>
      <c r="J5" s="118"/>
      <c r="K5" s="118"/>
      <c r="L5" s="118"/>
      <c r="R5" s="118"/>
    </row>
    <row r="6" spans="1:18" ht="15" customHeight="1">
      <c r="B6" s="12" t="s">
        <v>121</v>
      </c>
      <c r="C6" s="13" t="s">
        <v>145</v>
      </c>
      <c r="D6" s="114"/>
      <c r="E6" s="115"/>
      <c r="F6" s="115"/>
      <c r="G6" s="115"/>
      <c r="H6" s="115"/>
      <c r="I6" s="115"/>
      <c r="J6" s="115"/>
      <c r="K6" s="115"/>
      <c r="L6" s="115"/>
      <c r="R6" s="115"/>
    </row>
    <row r="7" spans="1:18" ht="8.1" customHeight="1">
      <c r="B7" s="112"/>
      <c r="C7" s="113"/>
      <c r="D7" s="114"/>
      <c r="E7" s="115"/>
      <c r="F7" s="115"/>
      <c r="G7" s="115"/>
      <c r="H7" s="115"/>
      <c r="I7" s="115"/>
      <c r="J7" s="115"/>
      <c r="K7" s="115"/>
      <c r="L7" s="298"/>
      <c r="M7" s="298"/>
      <c r="R7" s="115"/>
    </row>
    <row r="8" spans="1:18" ht="15.95" customHeight="1" thickBot="1">
      <c r="B8" s="116" t="s">
        <v>106</v>
      </c>
      <c r="D8" s="117"/>
      <c r="E8" s="118"/>
      <c r="F8" s="118"/>
      <c r="G8" s="118"/>
      <c r="H8" s="118"/>
      <c r="I8" s="118"/>
      <c r="J8" s="118"/>
      <c r="K8" s="118"/>
      <c r="L8" s="118"/>
      <c r="N8" s="118"/>
      <c r="O8" s="118"/>
      <c r="P8" s="118"/>
      <c r="Q8" s="116"/>
      <c r="R8" s="118"/>
    </row>
    <row r="9" spans="1:18" ht="8.1" customHeight="1" thickTop="1">
      <c r="A9" s="119"/>
      <c r="B9" s="120"/>
      <c r="C9" s="121"/>
      <c r="D9" s="122"/>
      <c r="E9" s="123"/>
      <c r="F9" s="123"/>
      <c r="G9" s="123"/>
      <c r="H9" s="123"/>
      <c r="I9" s="123"/>
      <c r="J9" s="123"/>
      <c r="K9" s="123"/>
      <c r="L9" s="123"/>
      <c r="M9" s="119"/>
      <c r="N9" s="123"/>
      <c r="O9" s="123"/>
      <c r="P9" s="123"/>
      <c r="Q9" s="119"/>
      <c r="R9" s="123"/>
    </row>
    <row r="10" spans="1:18" ht="15" customHeight="1">
      <c r="A10" s="124"/>
      <c r="B10" s="125" t="s">
        <v>90</v>
      </c>
      <c r="C10" s="126"/>
      <c r="D10" s="127" t="s">
        <v>91</v>
      </c>
      <c r="E10" s="300" t="s">
        <v>127</v>
      </c>
      <c r="F10" s="300"/>
      <c r="G10" s="300"/>
      <c r="H10" s="300"/>
      <c r="I10" s="300"/>
      <c r="J10" s="300"/>
      <c r="K10" s="127"/>
      <c r="L10" s="301" t="s">
        <v>128</v>
      </c>
      <c r="M10" s="301"/>
      <c r="N10" s="301"/>
      <c r="O10" s="301"/>
      <c r="P10" s="301"/>
      <c r="Q10" s="301"/>
      <c r="R10" s="127"/>
    </row>
    <row r="11" spans="1:18" ht="15" customHeight="1">
      <c r="A11" s="124"/>
      <c r="B11" s="129" t="s">
        <v>92</v>
      </c>
      <c r="C11" s="126"/>
      <c r="D11" s="130" t="s">
        <v>93</v>
      </c>
      <c r="E11" s="294" t="s">
        <v>136</v>
      </c>
      <c r="F11" s="294"/>
      <c r="G11" s="294"/>
      <c r="H11" s="294"/>
      <c r="I11" s="294"/>
      <c r="J11" s="294"/>
      <c r="K11" s="128"/>
      <c r="L11" s="296" t="s">
        <v>137</v>
      </c>
      <c r="M11" s="296"/>
      <c r="N11" s="296"/>
      <c r="O11" s="296"/>
      <c r="P11" s="296"/>
      <c r="Q11" s="296"/>
      <c r="R11" s="128"/>
    </row>
    <row r="12" spans="1:18" ht="15" customHeight="1">
      <c r="A12" s="124"/>
      <c r="B12" s="125"/>
      <c r="C12" s="126"/>
      <c r="D12" s="127"/>
      <c r="E12" s="172"/>
      <c r="F12" s="172"/>
      <c r="G12" s="192"/>
      <c r="H12" s="192"/>
      <c r="I12" s="192"/>
      <c r="J12" s="192"/>
      <c r="K12" s="192"/>
      <c r="L12" s="192"/>
      <c r="M12" s="192"/>
      <c r="N12" s="192"/>
      <c r="O12" s="192"/>
      <c r="P12" s="192"/>
      <c r="Q12" s="192"/>
      <c r="R12" s="192"/>
    </row>
    <row r="13" spans="1:18" ht="15" customHeight="1">
      <c r="A13" s="124"/>
      <c r="B13" s="125"/>
      <c r="C13" s="126"/>
      <c r="D13" s="127"/>
      <c r="E13" s="278" t="s">
        <v>112</v>
      </c>
      <c r="F13" s="278" t="s">
        <v>113</v>
      </c>
      <c r="G13" s="278" t="s">
        <v>114</v>
      </c>
      <c r="H13" s="278" t="s">
        <v>115</v>
      </c>
      <c r="I13" s="278" t="s">
        <v>116</v>
      </c>
      <c r="J13" s="278" t="s">
        <v>132</v>
      </c>
      <c r="K13" s="278"/>
      <c r="L13" s="278" t="s">
        <v>112</v>
      </c>
      <c r="M13" s="278" t="s">
        <v>113</v>
      </c>
      <c r="N13" s="278" t="s">
        <v>114</v>
      </c>
      <c r="O13" s="278" t="s">
        <v>115</v>
      </c>
      <c r="P13" s="278" t="s">
        <v>116</v>
      </c>
      <c r="Q13" s="278" t="s">
        <v>132</v>
      </c>
      <c r="R13" s="230"/>
    </row>
    <row r="14" spans="1:18" ht="8.1" customHeight="1">
      <c r="A14" s="135"/>
      <c r="B14" s="136"/>
      <c r="C14" s="135"/>
      <c r="D14" s="135"/>
      <c r="E14" s="137"/>
      <c r="F14" s="137"/>
      <c r="G14" s="137"/>
      <c r="H14" s="137"/>
      <c r="I14" s="137"/>
      <c r="J14" s="137"/>
      <c r="K14" s="137"/>
      <c r="L14" s="137"/>
      <c r="M14" s="135"/>
      <c r="N14" s="135"/>
      <c r="O14" s="224"/>
      <c r="P14" s="224"/>
      <c r="Q14" s="224"/>
      <c r="R14" s="137"/>
    </row>
    <row r="15" spans="1:18" ht="8.1" customHeight="1">
      <c r="A15" s="138"/>
      <c r="B15" s="138"/>
      <c r="C15" s="138"/>
      <c r="D15" s="146"/>
      <c r="E15" s="140"/>
      <c r="F15" s="140"/>
      <c r="G15" s="140"/>
      <c r="H15" s="141"/>
      <c r="I15" s="142"/>
      <c r="J15" s="142"/>
      <c r="K15" s="142"/>
      <c r="L15" s="143"/>
      <c r="M15" s="142"/>
      <c r="N15" s="142"/>
      <c r="R15" s="142"/>
    </row>
    <row r="16" spans="1:18" ht="15" customHeight="1">
      <c r="B16" s="144" t="s">
        <v>107</v>
      </c>
      <c r="C16" s="145"/>
      <c r="D16" s="147">
        <v>2021</v>
      </c>
      <c r="E16" s="211">
        <f>SUM(E20,E24,E28,E32,E36,E40,E44,E48,E52,E56,E60,E64,E68,E72)</f>
        <v>169</v>
      </c>
      <c r="F16" s="211">
        <f t="shared" ref="F16:Q18" si="0">SUM(F20,F24,F28,F32,F36,F40,F44,F48,F52,F56,F60,F64,F68,F72)</f>
        <v>1058</v>
      </c>
      <c r="G16" s="211">
        <f t="shared" si="0"/>
        <v>694</v>
      </c>
      <c r="H16" s="211">
        <f t="shared" si="0"/>
        <v>437</v>
      </c>
      <c r="I16" s="211">
        <f t="shared" si="0"/>
        <v>217</v>
      </c>
      <c r="J16" s="211">
        <f t="shared" si="0"/>
        <v>110</v>
      </c>
      <c r="K16" s="211"/>
      <c r="L16" s="211">
        <f t="shared" si="0"/>
        <v>76</v>
      </c>
      <c r="M16" s="211">
        <f t="shared" si="0"/>
        <v>553</v>
      </c>
      <c r="N16" s="211">
        <f t="shared" si="0"/>
        <v>443</v>
      </c>
      <c r="O16" s="211">
        <f t="shared" si="0"/>
        <v>382</v>
      </c>
      <c r="P16" s="211">
        <f t="shared" si="0"/>
        <v>300</v>
      </c>
      <c r="Q16" s="211">
        <f t="shared" si="0"/>
        <v>129</v>
      </c>
      <c r="R16" s="211"/>
    </row>
    <row r="17" spans="2:18" ht="15" customHeight="1">
      <c r="B17" s="145"/>
      <c r="C17" s="145"/>
      <c r="D17" s="146">
        <v>2022</v>
      </c>
      <c r="E17" s="211">
        <f t="shared" ref="E17:E18" si="1">SUM(E21,E25,E29,E33,E37,E41,E45,E49,E53,E57,E61,E65,E69,E73)</f>
        <v>74</v>
      </c>
      <c r="F17" s="211">
        <f t="shared" si="0"/>
        <v>628</v>
      </c>
      <c r="G17" s="211">
        <f t="shared" si="0"/>
        <v>456</v>
      </c>
      <c r="H17" s="211">
        <f t="shared" si="0"/>
        <v>252</v>
      </c>
      <c r="I17" s="211">
        <f t="shared" si="0"/>
        <v>105</v>
      </c>
      <c r="J17" s="211">
        <f t="shared" si="0"/>
        <v>72</v>
      </c>
      <c r="K17" s="211"/>
      <c r="L17" s="211">
        <f t="shared" si="0"/>
        <v>64</v>
      </c>
      <c r="M17" s="211">
        <f t="shared" si="0"/>
        <v>379</v>
      </c>
      <c r="N17" s="211">
        <f t="shared" si="0"/>
        <v>416</v>
      </c>
      <c r="O17" s="211">
        <f t="shared" si="0"/>
        <v>345</v>
      </c>
      <c r="P17" s="211">
        <f t="shared" si="0"/>
        <v>263</v>
      </c>
      <c r="Q17" s="211">
        <f t="shared" si="0"/>
        <v>146</v>
      </c>
      <c r="R17" s="211"/>
    </row>
    <row r="18" spans="2:18" ht="15" customHeight="1">
      <c r="B18" s="145"/>
      <c r="C18" s="145"/>
      <c r="D18" s="146">
        <v>2023</v>
      </c>
      <c r="E18" s="211">
        <f t="shared" si="1"/>
        <v>67</v>
      </c>
      <c r="F18" s="211">
        <f t="shared" si="0"/>
        <v>754</v>
      </c>
      <c r="G18" s="211">
        <f t="shared" si="0"/>
        <v>674</v>
      </c>
      <c r="H18" s="211">
        <f t="shared" si="0"/>
        <v>411</v>
      </c>
      <c r="I18" s="211">
        <f t="shared" si="0"/>
        <v>191</v>
      </c>
      <c r="J18" s="211">
        <f t="shared" si="0"/>
        <v>96</v>
      </c>
      <c r="K18" s="211"/>
      <c r="L18" s="211">
        <f t="shared" si="0"/>
        <v>86</v>
      </c>
      <c r="M18" s="211">
        <f t="shared" si="0"/>
        <v>497</v>
      </c>
      <c r="N18" s="211">
        <f t="shared" si="0"/>
        <v>620</v>
      </c>
      <c r="O18" s="211">
        <f t="shared" si="0"/>
        <v>582</v>
      </c>
      <c r="P18" s="211">
        <f t="shared" si="0"/>
        <v>584</v>
      </c>
      <c r="Q18" s="211">
        <f t="shared" si="0"/>
        <v>437</v>
      </c>
      <c r="R18" s="211"/>
    </row>
    <row r="19" spans="2:18" ht="8.1" customHeight="1">
      <c r="B19" s="145"/>
      <c r="C19" s="148"/>
      <c r="D19" s="149"/>
      <c r="E19" s="179"/>
      <c r="F19" s="184"/>
      <c r="G19" s="184"/>
      <c r="H19" s="184"/>
      <c r="I19" s="184"/>
      <c r="J19" s="184"/>
      <c r="K19" s="184"/>
      <c r="L19" s="184"/>
      <c r="M19" s="185"/>
      <c r="N19" s="185"/>
      <c r="O19" s="186"/>
      <c r="P19" s="186"/>
      <c r="Q19" s="186"/>
      <c r="R19" s="184"/>
    </row>
    <row r="20" spans="2:18" ht="15" customHeight="1">
      <c r="B20" s="151" t="s">
        <v>94</v>
      </c>
      <c r="C20" s="152"/>
      <c r="D20" s="149">
        <v>2021</v>
      </c>
      <c r="E20" s="231">
        <v>18</v>
      </c>
      <c r="F20" s="223">
        <v>106</v>
      </c>
      <c r="G20" s="223">
        <v>79</v>
      </c>
      <c r="H20" s="223">
        <v>48</v>
      </c>
      <c r="I20" s="223">
        <v>24</v>
      </c>
      <c r="J20" s="223">
        <v>9</v>
      </c>
      <c r="K20" s="223"/>
      <c r="L20" s="223">
        <v>12</v>
      </c>
      <c r="M20" s="223">
        <v>70</v>
      </c>
      <c r="N20" s="223">
        <v>59</v>
      </c>
      <c r="O20" s="223">
        <v>49</v>
      </c>
      <c r="P20" s="223">
        <v>28</v>
      </c>
      <c r="Q20" s="223">
        <v>12</v>
      </c>
      <c r="R20" s="222"/>
    </row>
    <row r="21" spans="2:18" ht="15" customHeight="1">
      <c r="B21" s="153"/>
      <c r="C21" s="152"/>
      <c r="D21" s="149">
        <v>2022</v>
      </c>
      <c r="E21" s="231">
        <v>14</v>
      </c>
      <c r="F21" s="223">
        <v>69</v>
      </c>
      <c r="G21" s="223">
        <v>38</v>
      </c>
      <c r="H21" s="223">
        <v>31</v>
      </c>
      <c r="I21" s="223">
        <v>8</v>
      </c>
      <c r="J21" s="223">
        <v>5</v>
      </c>
      <c r="K21" s="223"/>
      <c r="L21" s="223">
        <v>3</v>
      </c>
      <c r="M21" s="223">
        <v>36</v>
      </c>
      <c r="N21" s="223">
        <v>22</v>
      </c>
      <c r="O21" s="223">
        <v>47</v>
      </c>
      <c r="P21" s="223">
        <v>24</v>
      </c>
      <c r="Q21" s="223">
        <v>13</v>
      </c>
      <c r="R21" s="222"/>
    </row>
    <row r="22" spans="2:18" ht="15" customHeight="1">
      <c r="B22" s="153"/>
      <c r="C22" s="152"/>
      <c r="D22" s="149">
        <v>2023</v>
      </c>
      <c r="E22" s="274">
        <v>7</v>
      </c>
      <c r="F22" s="274">
        <v>102</v>
      </c>
      <c r="G22" s="274">
        <v>86</v>
      </c>
      <c r="H22" s="274">
        <v>51</v>
      </c>
      <c r="I22" s="274">
        <v>21</v>
      </c>
      <c r="J22" s="274">
        <v>8</v>
      </c>
      <c r="K22" s="275"/>
      <c r="L22" s="274">
        <v>13</v>
      </c>
      <c r="M22" s="274">
        <v>57</v>
      </c>
      <c r="N22" s="274">
        <v>66</v>
      </c>
      <c r="O22" s="274">
        <v>66</v>
      </c>
      <c r="P22" s="274">
        <v>65</v>
      </c>
      <c r="Q22" s="276">
        <v>37</v>
      </c>
      <c r="R22" s="222"/>
    </row>
    <row r="23" spans="2:18" ht="8.1" customHeight="1">
      <c r="B23" s="153"/>
      <c r="C23" s="154"/>
      <c r="D23" s="149"/>
      <c r="E23" s="150"/>
      <c r="F23" s="203"/>
      <c r="G23" s="203"/>
      <c r="H23" s="203"/>
      <c r="I23" s="203"/>
      <c r="J23" s="203"/>
      <c r="K23" s="203"/>
      <c r="L23" s="203"/>
      <c r="M23" s="204"/>
      <c r="N23" s="204"/>
      <c r="O23" s="204"/>
      <c r="P23" s="204"/>
      <c r="Q23" s="204"/>
      <c r="R23" s="203"/>
    </row>
    <row r="24" spans="2:18" ht="15" customHeight="1">
      <c r="B24" s="151" t="s">
        <v>95</v>
      </c>
      <c r="C24" s="152"/>
      <c r="D24" s="149">
        <v>2021</v>
      </c>
      <c r="E24" s="231">
        <v>17</v>
      </c>
      <c r="F24" s="223">
        <v>60</v>
      </c>
      <c r="G24" s="223">
        <v>43</v>
      </c>
      <c r="H24" s="223">
        <v>17</v>
      </c>
      <c r="I24" s="223">
        <v>15</v>
      </c>
      <c r="J24" s="223">
        <v>6</v>
      </c>
      <c r="K24" s="223"/>
      <c r="L24" s="223">
        <v>7</v>
      </c>
      <c r="M24" s="223">
        <v>39</v>
      </c>
      <c r="N24" s="223">
        <v>40</v>
      </c>
      <c r="O24" s="223">
        <v>30</v>
      </c>
      <c r="P24" s="223">
        <v>19</v>
      </c>
      <c r="Q24" s="223">
        <v>9</v>
      </c>
      <c r="R24" s="222"/>
    </row>
    <row r="25" spans="2:18" ht="15" customHeight="1">
      <c r="B25" s="151"/>
      <c r="C25" s="152"/>
      <c r="D25" s="149">
        <v>2022</v>
      </c>
      <c r="E25" s="231">
        <v>8</v>
      </c>
      <c r="F25" s="223">
        <v>37</v>
      </c>
      <c r="G25" s="223">
        <v>32</v>
      </c>
      <c r="H25" s="223">
        <v>14</v>
      </c>
      <c r="I25" s="223">
        <v>8</v>
      </c>
      <c r="J25" s="223">
        <v>3</v>
      </c>
      <c r="K25" s="223"/>
      <c r="L25" s="223">
        <v>6</v>
      </c>
      <c r="M25" s="223">
        <v>27</v>
      </c>
      <c r="N25" s="223">
        <v>21</v>
      </c>
      <c r="O25" s="223">
        <v>24</v>
      </c>
      <c r="P25" s="223">
        <v>21</v>
      </c>
      <c r="Q25" s="223">
        <v>10</v>
      </c>
      <c r="R25" s="222"/>
    </row>
    <row r="26" spans="2:18" ht="15" customHeight="1">
      <c r="B26" s="151"/>
      <c r="C26" s="152"/>
      <c r="D26" s="149">
        <v>2023</v>
      </c>
      <c r="E26" s="274">
        <v>6</v>
      </c>
      <c r="F26" s="274">
        <v>56</v>
      </c>
      <c r="G26" s="274">
        <v>31</v>
      </c>
      <c r="H26" s="274">
        <v>27</v>
      </c>
      <c r="I26" s="274">
        <v>10</v>
      </c>
      <c r="J26" s="274">
        <v>5</v>
      </c>
      <c r="K26" s="275"/>
      <c r="L26" s="274">
        <v>7</v>
      </c>
      <c r="M26" s="274">
        <v>28</v>
      </c>
      <c r="N26" s="274">
        <v>23</v>
      </c>
      <c r="O26" s="274">
        <v>36</v>
      </c>
      <c r="P26" s="274">
        <v>41</v>
      </c>
      <c r="Q26" s="276">
        <v>30</v>
      </c>
      <c r="R26" s="222"/>
    </row>
    <row r="27" spans="2:18" ht="8.1" customHeight="1">
      <c r="B27" s="151"/>
      <c r="C27" s="154"/>
      <c r="D27" s="149"/>
      <c r="E27" s="150"/>
      <c r="F27" s="203"/>
      <c r="G27" s="203"/>
      <c r="H27" s="203"/>
      <c r="I27" s="203"/>
      <c r="J27" s="203"/>
      <c r="K27" s="203"/>
      <c r="L27" s="203"/>
      <c r="M27" s="204"/>
      <c r="N27" s="204"/>
      <c r="O27" s="204"/>
      <c r="P27" s="204"/>
      <c r="Q27" s="204"/>
      <c r="R27" s="203"/>
    </row>
    <row r="28" spans="2:18" ht="15" customHeight="1">
      <c r="B28" s="151" t="s">
        <v>96</v>
      </c>
      <c r="C28" s="152"/>
      <c r="D28" s="149">
        <v>2021</v>
      </c>
      <c r="E28" s="223">
        <v>1</v>
      </c>
      <c r="F28" s="223">
        <v>26</v>
      </c>
      <c r="G28" s="223">
        <v>15</v>
      </c>
      <c r="H28" s="223">
        <v>18</v>
      </c>
      <c r="I28" s="223">
        <v>9</v>
      </c>
      <c r="J28" s="231">
        <v>3</v>
      </c>
      <c r="K28" s="223"/>
      <c r="L28" s="223">
        <v>1</v>
      </c>
      <c r="M28" s="223">
        <v>9</v>
      </c>
      <c r="N28" s="223">
        <v>11</v>
      </c>
      <c r="O28" s="223">
        <v>12</v>
      </c>
      <c r="P28" s="223">
        <v>8</v>
      </c>
      <c r="Q28" s="231">
        <v>4</v>
      </c>
      <c r="R28" s="222"/>
    </row>
    <row r="29" spans="2:18" ht="15" customHeight="1">
      <c r="B29" s="153"/>
      <c r="C29" s="152"/>
      <c r="D29" s="149">
        <v>2022</v>
      </c>
      <c r="E29" s="223">
        <v>2</v>
      </c>
      <c r="F29" s="231">
        <v>22</v>
      </c>
      <c r="G29" s="223">
        <v>13</v>
      </c>
      <c r="H29" s="223">
        <v>5</v>
      </c>
      <c r="I29" s="223">
        <v>2</v>
      </c>
      <c r="J29" s="231">
        <v>3</v>
      </c>
      <c r="K29" s="223"/>
      <c r="L29" s="223">
        <v>4</v>
      </c>
      <c r="M29" s="223">
        <v>15</v>
      </c>
      <c r="N29" s="223">
        <v>16</v>
      </c>
      <c r="O29" s="223">
        <v>10</v>
      </c>
      <c r="P29" s="223">
        <v>13</v>
      </c>
      <c r="Q29" s="223">
        <v>6</v>
      </c>
      <c r="R29" s="222"/>
    </row>
    <row r="30" spans="2:18" ht="15" customHeight="1">
      <c r="B30" s="153"/>
      <c r="C30" s="152"/>
      <c r="D30" s="149">
        <v>2023</v>
      </c>
      <c r="E30" s="274" t="s">
        <v>22</v>
      </c>
      <c r="F30" s="274">
        <v>20</v>
      </c>
      <c r="G30" s="274">
        <v>16</v>
      </c>
      <c r="H30" s="274">
        <v>8</v>
      </c>
      <c r="I30" s="274">
        <v>5</v>
      </c>
      <c r="J30" s="274">
        <v>5</v>
      </c>
      <c r="K30" s="275"/>
      <c r="L30" s="274">
        <v>3</v>
      </c>
      <c r="M30" s="274">
        <v>8</v>
      </c>
      <c r="N30" s="274">
        <v>19</v>
      </c>
      <c r="O30" s="274">
        <v>17</v>
      </c>
      <c r="P30" s="274">
        <v>17</v>
      </c>
      <c r="Q30" s="276">
        <v>16</v>
      </c>
      <c r="R30" s="222"/>
    </row>
    <row r="31" spans="2:18" ht="8.1" customHeight="1">
      <c r="B31" s="153"/>
      <c r="C31" s="148"/>
      <c r="D31" s="149"/>
      <c r="E31" s="150"/>
      <c r="F31" s="203"/>
      <c r="G31" s="203"/>
      <c r="H31" s="203"/>
      <c r="I31" s="203"/>
      <c r="J31" s="203"/>
      <c r="K31" s="203"/>
      <c r="L31" s="203"/>
      <c r="M31" s="204"/>
      <c r="N31" s="204"/>
      <c r="O31" s="205"/>
      <c r="P31" s="206"/>
      <c r="Q31" s="206"/>
      <c r="R31" s="203"/>
    </row>
    <row r="32" spans="2:18" ht="15" customHeight="1">
      <c r="B32" s="151" t="s">
        <v>97</v>
      </c>
      <c r="C32" s="152"/>
      <c r="D32" s="149">
        <v>2021</v>
      </c>
      <c r="E32" s="231">
        <v>10</v>
      </c>
      <c r="F32" s="223">
        <v>52</v>
      </c>
      <c r="G32" s="223">
        <v>34</v>
      </c>
      <c r="H32" s="223">
        <v>16</v>
      </c>
      <c r="I32" s="223">
        <v>7</v>
      </c>
      <c r="J32" s="223">
        <v>2</v>
      </c>
      <c r="K32" s="223"/>
      <c r="L32" s="223">
        <v>2</v>
      </c>
      <c r="M32" s="223">
        <v>20</v>
      </c>
      <c r="N32" s="223">
        <v>21</v>
      </c>
      <c r="O32" s="223">
        <v>22</v>
      </c>
      <c r="P32" s="223">
        <v>14</v>
      </c>
      <c r="Q32" s="223">
        <v>11</v>
      </c>
      <c r="R32" s="222"/>
    </row>
    <row r="33" spans="2:18" ht="15" customHeight="1">
      <c r="B33" s="153"/>
      <c r="C33" s="152"/>
      <c r="D33" s="149">
        <v>2022</v>
      </c>
      <c r="E33" s="231">
        <v>4</v>
      </c>
      <c r="F33" s="223">
        <v>44</v>
      </c>
      <c r="G33" s="223">
        <v>22</v>
      </c>
      <c r="H33" s="223">
        <v>12</v>
      </c>
      <c r="I33" s="223">
        <v>3</v>
      </c>
      <c r="J33" s="223">
        <v>4</v>
      </c>
      <c r="K33" s="223"/>
      <c r="L33" s="223">
        <v>7</v>
      </c>
      <c r="M33" s="223">
        <v>25</v>
      </c>
      <c r="N33" s="223">
        <v>27</v>
      </c>
      <c r="O33" s="223">
        <v>10</v>
      </c>
      <c r="P33" s="223">
        <v>13</v>
      </c>
      <c r="Q33" s="223">
        <v>9</v>
      </c>
      <c r="R33" s="222"/>
    </row>
    <row r="34" spans="2:18" ht="15" customHeight="1">
      <c r="B34" s="153"/>
      <c r="C34" s="152"/>
      <c r="D34" s="149">
        <v>2023</v>
      </c>
      <c r="E34" s="274">
        <v>3</v>
      </c>
      <c r="F34" s="274">
        <v>55</v>
      </c>
      <c r="G34" s="274">
        <v>37</v>
      </c>
      <c r="H34" s="274">
        <v>20</v>
      </c>
      <c r="I34" s="274">
        <v>8</v>
      </c>
      <c r="J34" s="274">
        <v>6</v>
      </c>
      <c r="K34" s="275"/>
      <c r="L34" s="274">
        <v>5</v>
      </c>
      <c r="M34" s="274">
        <v>28</v>
      </c>
      <c r="N34" s="274">
        <v>38</v>
      </c>
      <c r="O34" s="274">
        <v>29</v>
      </c>
      <c r="P34" s="274">
        <v>31</v>
      </c>
      <c r="Q34" s="276">
        <v>23</v>
      </c>
      <c r="R34" s="222"/>
    </row>
    <row r="35" spans="2:18" ht="8.1" customHeight="1">
      <c r="B35" s="153"/>
      <c r="C35" s="154"/>
      <c r="D35" s="149"/>
      <c r="E35" s="150"/>
      <c r="F35" s="203"/>
      <c r="G35" s="203"/>
      <c r="H35" s="203"/>
      <c r="I35" s="203"/>
      <c r="J35" s="203"/>
      <c r="K35" s="203"/>
      <c r="L35" s="203"/>
      <c r="M35" s="204"/>
      <c r="N35" s="204"/>
      <c r="O35" s="205"/>
      <c r="P35" s="206"/>
      <c r="Q35" s="206"/>
      <c r="R35" s="203"/>
    </row>
    <row r="36" spans="2:18" ht="15" customHeight="1">
      <c r="B36" s="151" t="s">
        <v>98</v>
      </c>
      <c r="C36" s="152"/>
      <c r="D36" s="149">
        <v>2021</v>
      </c>
      <c r="E36" s="223">
        <v>16</v>
      </c>
      <c r="F36" s="223">
        <v>97</v>
      </c>
      <c r="G36" s="231">
        <v>55</v>
      </c>
      <c r="H36" s="223">
        <v>39</v>
      </c>
      <c r="I36" s="223">
        <v>21</v>
      </c>
      <c r="J36" s="223">
        <v>9</v>
      </c>
      <c r="K36" s="223"/>
      <c r="L36" s="223">
        <v>8</v>
      </c>
      <c r="M36" s="223">
        <v>38</v>
      </c>
      <c r="N36" s="223">
        <v>34</v>
      </c>
      <c r="O36" s="223">
        <v>24</v>
      </c>
      <c r="P36" s="223">
        <v>20</v>
      </c>
      <c r="Q36" s="223">
        <v>12</v>
      </c>
      <c r="R36" s="222"/>
    </row>
    <row r="37" spans="2:18" ht="15" customHeight="1">
      <c r="B37" s="153"/>
      <c r="C37" s="152"/>
      <c r="D37" s="149">
        <v>2022</v>
      </c>
      <c r="E37" s="231">
        <v>10</v>
      </c>
      <c r="F37" s="223">
        <v>54</v>
      </c>
      <c r="G37" s="223">
        <v>41</v>
      </c>
      <c r="H37" s="223">
        <v>28</v>
      </c>
      <c r="I37" s="223">
        <v>18</v>
      </c>
      <c r="J37" s="223">
        <v>7</v>
      </c>
      <c r="K37" s="223"/>
      <c r="L37" s="223">
        <v>3</v>
      </c>
      <c r="M37" s="223">
        <v>48</v>
      </c>
      <c r="N37" s="223">
        <v>40</v>
      </c>
      <c r="O37" s="223">
        <v>33</v>
      </c>
      <c r="P37" s="223">
        <v>23</v>
      </c>
      <c r="Q37" s="223">
        <v>14</v>
      </c>
      <c r="R37" s="222"/>
    </row>
    <row r="38" spans="2:18" ht="15" customHeight="1">
      <c r="B38" s="153"/>
      <c r="C38" s="152"/>
      <c r="D38" s="149">
        <v>2023</v>
      </c>
      <c r="E38" s="274">
        <v>3</v>
      </c>
      <c r="F38" s="274">
        <v>56</v>
      </c>
      <c r="G38" s="274">
        <v>48</v>
      </c>
      <c r="H38" s="274">
        <v>36</v>
      </c>
      <c r="I38" s="274">
        <v>23</v>
      </c>
      <c r="J38" s="274">
        <v>15</v>
      </c>
      <c r="K38" s="275"/>
      <c r="L38" s="274">
        <v>4</v>
      </c>
      <c r="M38" s="274">
        <v>41</v>
      </c>
      <c r="N38" s="274">
        <v>41</v>
      </c>
      <c r="O38" s="274">
        <v>44</v>
      </c>
      <c r="P38" s="274">
        <v>37</v>
      </c>
      <c r="Q38" s="276">
        <v>36</v>
      </c>
      <c r="R38" s="222"/>
    </row>
    <row r="39" spans="2:18" ht="8.1" customHeight="1">
      <c r="B39" s="153"/>
      <c r="C39" s="154"/>
      <c r="D39" s="149"/>
      <c r="E39" s="150"/>
      <c r="F39" s="203"/>
      <c r="G39" s="203"/>
      <c r="H39" s="203"/>
      <c r="I39" s="203"/>
      <c r="J39" s="203"/>
      <c r="K39" s="203"/>
      <c r="L39" s="203"/>
      <c r="M39" s="204"/>
      <c r="N39" s="204"/>
      <c r="O39" s="205"/>
      <c r="P39" s="206"/>
      <c r="Q39" s="206"/>
      <c r="R39" s="203"/>
    </row>
    <row r="40" spans="2:18" ht="15" customHeight="1">
      <c r="B40" s="151" t="s">
        <v>99</v>
      </c>
      <c r="C40" s="152"/>
      <c r="D40" s="149">
        <v>2021</v>
      </c>
      <c r="E40" s="231">
        <v>14</v>
      </c>
      <c r="F40" s="223">
        <v>69</v>
      </c>
      <c r="G40" s="223">
        <v>48</v>
      </c>
      <c r="H40" s="223">
        <v>26</v>
      </c>
      <c r="I40" s="223">
        <v>16</v>
      </c>
      <c r="J40" s="223">
        <v>14</v>
      </c>
      <c r="K40" s="223"/>
      <c r="L40" s="223">
        <v>7</v>
      </c>
      <c r="M40" s="223">
        <v>25</v>
      </c>
      <c r="N40" s="223">
        <v>19</v>
      </c>
      <c r="O40" s="223">
        <v>19</v>
      </c>
      <c r="P40" s="223">
        <v>18</v>
      </c>
      <c r="Q40" s="223">
        <v>9</v>
      </c>
      <c r="R40" s="222"/>
    </row>
    <row r="41" spans="2:18" ht="15" customHeight="1">
      <c r="B41" s="153"/>
      <c r="C41" s="152"/>
      <c r="D41" s="149">
        <v>2022</v>
      </c>
      <c r="E41" s="231">
        <v>3</v>
      </c>
      <c r="F41" s="223">
        <v>55</v>
      </c>
      <c r="G41" s="223">
        <v>35</v>
      </c>
      <c r="H41" s="223">
        <v>26</v>
      </c>
      <c r="I41" s="223">
        <v>8</v>
      </c>
      <c r="J41" s="223">
        <v>5</v>
      </c>
      <c r="K41" s="223"/>
      <c r="L41" s="223">
        <v>3</v>
      </c>
      <c r="M41" s="223">
        <v>30</v>
      </c>
      <c r="N41" s="223">
        <v>29</v>
      </c>
      <c r="O41" s="223">
        <v>24</v>
      </c>
      <c r="P41" s="223">
        <v>18</v>
      </c>
      <c r="Q41" s="223">
        <v>10</v>
      </c>
      <c r="R41" s="222"/>
    </row>
    <row r="42" spans="2:18" ht="15" customHeight="1">
      <c r="B42" s="153"/>
      <c r="C42" s="152"/>
      <c r="D42" s="149">
        <v>2023</v>
      </c>
      <c r="E42" s="274">
        <v>9</v>
      </c>
      <c r="F42" s="274">
        <v>64</v>
      </c>
      <c r="G42" s="274">
        <v>53</v>
      </c>
      <c r="H42" s="274">
        <v>24</v>
      </c>
      <c r="I42" s="274">
        <v>18</v>
      </c>
      <c r="J42" s="274">
        <v>3</v>
      </c>
      <c r="K42" s="275"/>
      <c r="L42" s="274">
        <v>9</v>
      </c>
      <c r="M42" s="274">
        <v>33</v>
      </c>
      <c r="N42" s="274">
        <v>40</v>
      </c>
      <c r="O42" s="274">
        <v>27</v>
      </c>
      <c r="P42" s="274">
        <v>39</v>
      </c>
      <c r="Q42" s="276">
        <v>25</v>
      </c>
      <c r="R42" s="222"/>
    </row>
    <row r="43" spans="2:18" ht="8.1" customHeight="1">
      <c r="B43" s="153"/>
      <c r="C43" s="148"/>
      <c r="D43" s="149"/>
      <c r="E43" s="150"/>
      <c r="F43" s="203"/>
      <c r="G43" s="203"/>
      <c r="H43" s="203"/>
      <c r="I43" s="203"/>
      <c r="J43" s="203"/>
      <c r="K43" s="203"/>
      <c r="L43" s="203"/>
      <c r="M43" s="204"/>
      <c r="N43" s="204"/>
      <c r="O43" s="204"/>
      <c r="P43" s="204"/>
      <c r="Q43" s="204"/>
      <c r="R43" s="203"/>
    </row>
    <row r="44" spans="2:18" ht="15" customHeight="1">
      <c r="B44" s="151" t="s">
        <v>100</v>
      </c>
      <c r="C44" s="152"/>
      <c r="D44" s="149">
        <v>2021</v>
      </c>
      <c r="E44" s="223">
        <v>9</v>
      </c>
      <c r="F44" s="223">
        <v>104</v>
      </c>
      <c r="G44" s="223">
        <v>61</v>
      </c>
      <c r="H44" s="223">
        <v>44</v>
      </c>
      <c r="I44" s="223">
        <v>15</v>
      </c>
      <c r="J44" s="223">
        <v>7</v>
      </c>
      <c r="K44" s="223"/>
      <c r="L44" s="223">
        <v>10</v>
      </c>
      <c r="M44" s="223">
        <v>82</v>
      </c>
      <c r="N44" s="223">
        <v>52</v>
      </c>
      <c r="O44" s="223">
        <v>51</v>
      </c>
      <c r="P44" s="223">
        <v>38</v>
      </c>
      <c r="Q44" s="223">
        <v>12</v>
      </c>
      <c r="R44" s="222"/>
    </row>
    <row r="45" spans="2:18" ht="15" customHeight="1">
      <c r="B45" s="151"/>
      <c r="C45" s="152"/>
      <c r="D45" s="149">
        <v>2022</v>
      </c>
      <c r="E45" s="223">
        <v>5</v>
      </c>
      <c r="F45" s="223">
        <v>63</v>
      </c>
      <c r="G45" s="223">
        <v>28</v>
      </c>
      <c r="H45" s="223">
        <v>20</v>
      </c>
      <c r="I45" s="223">
        <v>8</v>
      </c>
      <c r="J45" s="223">
        <v>6</v>
      </c>
      <c r="K45" s="223"/>
      <c r="L45" s="223">
        <v>8</v>
      </c>
      <c r="M45" s="223">
        <v>46</v>
      </c>
      <c r="N45" s="223">
        <v>28</v>
      </c>
      <c r="O45" s="223">
        <v>33</v>
      </c>
      <c r="P45" s="223">
        <v>17</v>
      </c>
      <c r="Q45" s="223">
        <v>11</v>
      </c>
      <c r="R45" s="222"/>
    </row>
    <row r="46" spans="2:18" ht="15" customHeight="1">
      <c r="B46" s="151"/>
      <c r="C46" s="152"/>
      <c r="D46" s="149">
        <v>2023</v>
      </c>
      <c r="E46" s="274">
        <v>8</v>
      </c>
      <c r="F46" s="274">
        <v>80</v>
      </c>
      <c r="G46" s="274">
        <v>63</v>
      </c>
      <c r="H46" s="274">
        <v>37</v>
      </c>
      <c r="I46" s="274">
        <v>17</v>
      </c>
      <c r="J46" s="274">
        <v>4</v>
      </c>
      <c r="K46" s="275"/>
      <c r="L46" s="274">
        <v>6</v>
      </c>
      <c r="M46" s="274">
        <v>53</v>
      </c>
      <c r="N46" s="274">
        <v>55</v>
      </c>
      <c r="O46" s="274">
        <v>56</v>
      </c>
      <c r="P46" s="274">
        <v>41</v>
      </c>
      <c r="Q46" s="276">
        <v>31</v>
      </c>
      <c r="R46" s="222"/>
    </row>
    <row r="47" spans="2:18" ht="8.1" customHeight="1">
      <c r="B47" s="151"/>
      <c r="C47" s="154"/>
      <c r="D47" s="149"/>
      <c r="E47" s="150"/>
      <c r="F47" s="203"/>
      <c r="G47" s="203"/>
      <c r="H47" s="203"/>
      <c r="I47" s="203"/>
      <c r="J47" s="203"/>
      <c r="K47" s="203"/>
      <c r="L47" s="203"/>
      <c r="M47" s="204"/>
      <c r="N47" s="204"/>
      <c r="O47" s="204"/>
      <c r="P47" s="204"/>
      <c r="Q47" s="204"/>
      <c r="R47" s="203"/>
    </row>
    <row r="48" spans="2:18" ht="15" customHeight="1">
      <c r="B48" s="151" t="s">
        <v>101</v>
      </c>
      <c r="C48" s="152"/>
      <c r="D48" s="149">
        <v>2021</v>
      </c>
      <c r="E48" s="223">
        <v>13</v>
      </c>
      <c r="F48" s="223">
        <v>60</v>
      </c>
      <c r="G48" s="223">
        <v>31</v>
      </c>
      <c r="H48" s="223">
        <v>32</v>
      </c>
      <c r="I48" s="223">
        <v>17</v>
      </c>
      <c r="J48" s="223">
        <v>9</v>
      </c>
      <c r="K48" s="223"/>
      <c r="L48" s="223">
        <v>5</v>
      </c>
      <c r="M48" s="223">
        <v>37</v>
      </c>
      <c r="N48" s="223">
        <v>22</v>
      </c>
      <c r="O48" s="223">
        <v>18</v>
      </c>
      <c r="P48" s="223">
        <v>19</v>
      </c>
      <c r="Q48" s="223">
        <v>7</v>
      </c>
      <c r="R48" s="222"/>
    </row>
    <row r="49" spans="2:18" ht="15" customHeight="1">
      <c r="B49" s="153"/>
      <c r="C49" s="152"/>
      <c r="D49" s="149">
        <v>2022</v>
      </c>
      <c r="E49" s="223">
        <v>4</v>
      </c>
      <c r="F49" s="223">
        <v>38</v>
      </c>
      <c r="G49" s="223">
        <v>36</v>
      </c>
      <c r="H49" s="223">
        <v>12</v>
      </c>
      <c r="I49" s="231">
        <v>5</v>
      </c>
      <c r="J49" s="223">
        <v>6</v>
      </c>
      <c r="K49" s="223"/>
      <c r="L49" s="223">
        <v>5</v>
      </c>
      <c r="M49" s="223">
        <v>17</v>
      </c>
      <c r="N49" s="223">
        <v>28</v>
      </c>
      <c r="O49" s="223">
        <v>12</v>
      </c>
      <c r="P49" s="223">
        <v>20</v>
      </c>
      <c r="Q49" s="223">
        <v>12</v>
      </c>
      <c r="R49" s="222"/>
    </row>
    <row r="50" spans="2:18" ht="15" customHeight="1">
      <c r="B50" s="153"/>
      <c r="C50" s="152"/>
      <c r="D50" s="149">
        <v>2023</v>
      </c>
      <c r="E50" s="274">
        <v>7</v>
      </c>
      <c r="F50" s="274">
        <v>52</v>
      </c>
      <c r="G50" s="274">
        <v>44</v>
      </c>
      <c r="H50" s="274">
        <v>29</v>
      </c>
      <c r="I50" s="274">
        <v>15</v>
      </c>
      <c r="J50" s="274">
        <v>14</v>
      </c>
      <c r="K50" s="275"/>
      <c r="L50" s="274">
        <v>8</v>
      </c>
      <c r="M50" s="274">
        <v>44</v>
      </c>
      <c r="N50" s="274">
        <v>27</v>
      </c>
      <c r="O50" s="274">
        <v>39</v>
      </c>
      <c r="P50" s="274">
        <v>46</v>
      </c>
      <c r="Q50" s="276">
        <v>30</v>
      </c>
      <c r="R50" s="222"/>
    </row>
    <row r="51" spans="2:18" ht="8.1" customHeight="1">
      <c r="B51" s="153"/>
      <c r="C51" s="138"/>
      <c r="D51" s="149"/>
      <c r="E51" s="150"/>
      <c r="F51" s="203"/>
      <c r="G51" s="203"/>
      <c r="H51" s="203"/>
      <c r="I51" s="203"/>
      <c r="J51" s="203"/>
      <c r="K51" s="203"/>
      <c r="L51" s="203"/>
      <c r="M51" s="207"/>
      <c r="N51" s="207"/>
      <c r="O51" s="204"/>
      <c r="P51" s="204"/>
      <c r="Q51" s="204"/>
      <c r="R51" s="203"/>
    </row>
    <row r="52" spans="2:18" ht="15" customHeight="1">
      <c r="B52" s="151" t="s">
        <v>102</v>
      </c>
      <c r="C52" s="152"/>
      <c r="D52" s="149">
        <v>2021</v>
      </c>
      <c r="E52" s="223">
        <v>2</v>
      </c>
      <c r="F52" s="231">
        <v>10</v>
      </c>
      <c r="G52" s="223">
        <v>4</v>
      </c>
      <c r="H52" s="223">
        <v>7</v>
      </c>
      <c r="I52" s="223">
        <v>1</v>
      </c>
      <c r="J52" s="231">
        <v>1</v>
      </c>
      <c r="K52" s="223"/>
      <c r="L52" s="223">
        <v>1</v>
      </c>
      <c r="M52" s="223">
        <v>7</v>
      </c>
      <c r="N52" s="223">
        <v>7</v>
      </c>
      <c r="O52" s="231" t="s">
        <v>22</v>
      </c>
      <c r="P52" s="223">
        <v>9</v>
      </c>
      <c r="Q52" s="223">
        <v>1</v>
      </c>
      <c r="R52" s="222"/>
    </row>
    <row r="53" spans="2:18" ht="15" customHeight="1">
      <c r="B53" s="153"/>
      <c r="C53" s="152"/>
      <c r="D53" s="149">
        <v>2022</v>
      </c>
      <c r="E53" s="231" t="s">
        <v>22</v>
      </c>
      <c r="F53" s="223">
        <v>10</v>
      </c>
      <c r="G53" s="231">
        <v>7</v>
      </c>
      <c r="H53" s="223">
        <v>2</v>
      </c>
      <c r="I53" s="231">
        <v>2</v>
      </c>
      <c r="J53" s="231">
        <v>1</v>
      </c>
      <c r="K53" s="223"/>
      <c r="L53" s="223">
        <v>2</v>
      </c>
      <c r="M53" s="223">
        <v>3</v>
      </c>
      <c r="N53" s="223">
        <v>12</v>
      </c>
      <c r="O53" s="223">
        <v>5</v>
      </c>
      <c r="P53" s="223">
        <v>6</v>
      </c>
      <c r="Q53" s="231">
        <v>1</v>
      </c>
      <c r="R53" s="222"/>
    </row>
    <row r="54" spans="2:18" ht="15" customHeight="1">
      <c r="B54" s="153"/>
      <c r="C54" s="152"/>
      <c r="D54" s="149">
        <v>2023</v>
      </c>
      <c r="E54" s="274">
        <v>3</v>
      </c>
      <c r="F54" s="274">
        <v>12</v>
      </c>
      <c r="G54" s="274">
        <v>13</v>
      </c>
      <c r="H54" s="274">
        <v>4</v>
      </c>
      <c r="I54" s="274">
        <v>3</v>
      </c>
      <c r="J54" s="274" t="s">
        <v>22</v>
      </c>
      <c r="K54" s="275"/>
      <c r="L54" s="274">
        <v>3</v>
      </c>
      <c r="M54" s="274">
        <v>4</v>
      </c>
      <c r="N54" s="274">
        <v>10</v>
      </c>
      <c r="O54" s="274">
        <v>6</v>
      </c>
      <c r="P54" s="274">
        <v>6</v>
      </c>
      <c r="Q54" s="276">
        <v>6</v>
      </c>
      <c r="R54" s="222"/>
    </row>
    <row r="55" spans="2:18" ht="8.1" customHeight="1">
      <c r="B55" s="153"/>
      <c r="C55" s="154"/>
      <c r="D55" s="149"/>
      <c r="E55" s="150"/>
      <c r="F55" s="203"/>
      <c r="G55" s="203"/>
      <c r="H55" s="203"/>
      <c r="I55" s="203"/>
      <c r="J55" s="203"/>
      <c r="K55" s="203"/>
      <c r="L55" s="203"/>
      <c r="M55" s="204"/>
      <c r="N55" s="204"/>
      <c r="O55" s="204"/>
      <c r="P55" s="204"/>
      <c r="Q55" s="204"/>
      <c r="R55" s="203"/>
    </row>
    <row r="56" spans="2:18" ht="15" customHeight="1">
      <c r="B56" s="151" t="s">
        <v>103</v>
      </c>
      <c r="C56" s="152"/>
      <c r="D56" s="149">
        <v>2021</v>
      </c>
      <c r="E56" s="223">
        <v>23</v>
      </c>
      <c r="F56" s="223">
        <v>148</v>
      </c>
      <c r="G56" s="223">
        <v>98</v>
      </c>
      <c r="H56" s="223">
        <v>73</v>
      </c>
      <c r="I56" s="223">
        <v>25</v>
      </c>
      <c r="J56" s="223">
        <v>19</v>
      </c>
      <c r="K56" s="223"/>
      <c r="L56" s="223">
        <v>4</v>
      </c>
      <c r="M56" s="223">
        <v>77</v>
      </c>
      <c r="N56" s="223">
        <v>64</v>
      </c>
      <c r="O56" s="223">
        <v>72</v>
      </c>
      <c r="P56" s="223">
        <v>52</v>
      </c>
      <c r="Q56" s="223">
        <v>18</v>
      </c>
      <c r="R56" s="222"/>
    </row>
    <row r="57" spans="2:18" ht="15" customHeight="1">
      <c r="B57" s="153"/>
      <c r="C57" s="152"/>
      <c r="D57" s="149">
        <v>2022</v>
      </c>
      <c r="E57" s="223">
        <v>3</v>
      </c>
      <c r="F57" s="223">
        <v>60</v>
      </c>
      <c r="G57" s="223">
        <v>54</v>
      </c>
      <c r="H57" s="223">
        <v>28</v>
      </c>
      <c r="I57" s="223">
        <v>18</v>
      </c>
      <c r="J57" s="223">
        <v>8</v>
      </c>
      <c r="K57" s="223"/>
      <c r="L57" s="223">
        <v>5</v>
      </c>
      <c r="M57" s="223">
        <v>38</v>
      </c>
      <c r="N57" s="223">
        <v>51</v>
      </c>
      <c r="O57" s="223">
        <v>53</v>
      </c>
      <c r="P57" s="223">
        <v>46</v>
      </c>
      <c r="Q57" s="223">
        <v>23</v>
      </c>
      <c r="R57" s="222"/>
    </row>
    <row r="58" spans="2:18" ht="15" customHeight="1">
      <c r="B58" s="153"/>
      <c r="C58" s="152"/>
      <c r="D58" s="149">
        <v>2023</v>
      </c>
      <c r="E58" s="274">
        <v>3</v>
      </c>
      <c r="F58" s="274">
        <v>98</v>
      </c>
      <c r="G58" s="274">
        <v>98</v>
      </c>
      <c r="H58" s="274">
        <v>71</v>
      </c>
      <c r="I58" s="274">
        <v>28</v>
      </c>
      <c r="J58" s="274">
        <v>11</v>
      </c>
      <c r="K58" s="275"/>
      <c r="L58" s="274">
        <v>12</v>
      </c>
      <c r="M58" s="274">
        <v>82</v>
      </c>
      <c r="N58" s="274">
        <v>118</v>
      </c>
      <c r="O58" s="274">
        <v>100</v>
      </c>
      <c r="P58" s="274">
        <v>132</v>
      </c>
      <c r="Q58" s="276">
        <v>108</v>
      </c>
      <c r="R58" s="222"/>
    </row>
    <row r="59" spans="2:18" ht="8.1" customHeight="1">
      <c r="B59" s="153"/>
      <c r="C59" s="148"/>
      <c r="D59" s="149"/>
      <c r="E59" s="150"/>
      <c r="F59" s="203"/>
      <c r="G59" s="203"/>
      <c r="H59" s="203"/>
      <c r="I59" s="203"/>
      <c r="J59" s="203"/>
      <c r="K59" s="203"/>
      <c r="L59" s="203"/>
      <c r="M59" s="204"/>
      <c r="N59" s="204"/>
      <c r="O59" s="204"/>
      <c r="P59" s="204"/>
      <c r="Q59" s="204"/>
      <c r="R59" s="203"/>
    </row>
    <row r="60" spans="2:18" ht="15" customHeight="1">
      <c r="B60" s="151" t="s">
        <v>104</v>
      </c>
      <c r="C60" s="152"/>
      <c r="D60" s="149">
        <v>2021</v>
      </c>
      <c r="E60" s="231">
        <v>8</v>
      </c>
      <c r="F60" s="223">
        <v>47</v>
      </c>
      <c r="G60" s="223">
        <v>19</v>
      </c>
      <c r="H60" s="223">
        <v>14</v>
      </c>
      <c r="I60" s="223">
        <v>6</v>
      </c>
      <c r="J60" s="231">
        <v>4</v>
      </c>
      <c r="K60" s="223"/>
      <c r="L60" s="223">
        <v>3</v>
      </c>
      <c r="M60" s="223">
        <v>13</v>
      </c>
      <c r="N60" s="223">
        <v>16</v>
      </c>
      <c r="O60" s="223">
        <v>10</v>
      </c>
      <c r="P60" s="223">
        <v>20</v>
      </c>
      <c r="Q60" s="223">
        <v>1</v>
      </c>
      <c r="R60" s="222"/>
    </row>
    <row r="61" spans="2:18" ht="15" customHeight="1">
      <c r="B61" s="153"/>
      <c r="C61" s="152"/>
      <c r="D61" s="149">
        <v>2022</v>
      </c>
      <c r="E61" s="223">
        <v>5</v>
      </c>
      <c r="F61" s="223">
        <v>27</v>
      </c>
      <c r="G61" s="223">
        <v>23</v>
      </c>
      <c r="H61" s="223">
        <v>16</v>
      </c>
      <c r="I61" s="231">
        <v>4</v>
      </c>
      <c r="J61" s="231">
        <v>3</v>
      </c>
      <c r="K61" s="223"/>
      <c r="L61" s="223">
        <v>7</v>
      </c>
      <c r="M61" s="223">
        <v>18</v>
      </c>
      <c r="N61" s="223">
        <v>28</v>
      </c>
      <c r="O61" s="223">
        <v>16</v>
      </c>
      <c r="P61" s="223">
        <v>12</v>
      </c>
      <c r="Q61" s="223">
        <v>8</v>
      </c>
      <c r="R61" s="222"/>
    </row>
    <row r="62" spans="2:18" ht="15" customHeight="1">
      <c r="B62" s="153"/>
      <c r="C62" s="152"/>
      <c r="D62" s="149">
        <v>2023</v>
      </c>
      <c r="E62" s="274">
        <v>2</v>
      </c>
      <c r="F62" s="274">
        <v>13</v>
      </c>
      <c r="G62" s="274">
        <v>15</v>
      </c>
      <c r="H62" s="274">
        <v>9</v>
      </c>
      <c r="I62" s="274">
        <v>7</v>
      </c>
      <c r="J62" s="274">
        <v>4</v>
      </c>
      <c r="K62" s="275"/>
      <c r="L62" s="274">
        <v>1</v>
      </c>
      <c r="M62" s="274">
        <v>15</v>
      </c>
      <c r="N62" s="274">
        <v>21</v>
      </c>
      <c r="O62" s="274">
        <v>15</v>
      </c>
      <c r="P62" s="274">
        <v>27</v>
      </c>
      <c r="Q62" s="276">
        <v>14</v>
      </c>
      <c r="R62" s="222"/>
    </row>
    <row r="63" spans="2:18" ht="8.1" customHeight="1">
      <c r="B63" s="153"/>
      <c r="C63" s="154"/>
      <c r="D63" s="149"/>
      <c r="E63" s="150"/>
      <c r="F63" s="203"/>
      <c r="G63" s="203"/>
      <c r="H63" s="203"/>
      <c r="I63" s="203"/>
      <c r="J63" s="203"/>
      <c r="K63" s="203"/>
      <c r="L63" s="203"/>
      <c r="M63" s="204"/>
      <c r="N63" s="204"/>
      <c r="O63" s="204"/>
      <c r="P63" s="208"/>
      <c r="Q63" s="208"/>
      <c r="R63" s="203"/>
    </row>
    <row r="64" spans="2:18" ht="15" customHeight="1">
      <c r="B64" s="151" t="s">
        <v>108</v>
      </c>
      <c r="C64" s="152"/>
      <c r="D64" s="149">
        <v>2021</v>
      </c>
      <c r="E64" s="231">
        <v>8</v>
      </c>
      <c r="F64" s="231">
        <v>37</v>
      </c>
      <c r="G64" s="223">
        <v>36</v>
      </c>
      <c r="H64" s="223">
        <v>15</v>
      </c>
      <c r="I64" s="223">
        <v>11</v>
      </c>
      <c r="J64" s="231">
        <v>4</v>
      </c>
      <c r="K64" s="223"/>
      <c r="L64" s="223">
        <v>3</v>
      </c>
      <c r="M64" s="223">
        <v>11</v>
      </c>
      <c r="N64" s="223">
        <v>8</v>
      </c>
      <c r="O64" s="223">
        <v>17</v>
      </c>
      <c r="P64" s="223">
        <v>16</v>
      </c>
      <c r="Q64" s="223">
        <v>8</v>
      </c>
      <c r="R64" s="222"/>
    </row>
    <row r="65" spans="1:18" ht="15" customHeight="1">
      <c r="B65" s="153"/>
      <c r="C65" s="152"/>
      <c r="D65" s="149">
        <v>2022</v>
      </c>
      <c r="E65" s="223">
        <v>3</v>
      </c>
      <c r="F65" s="231">
        <v>23</v>
      </c>
      <c r="G65" s="223">
        <v>23</v>
      </c>
      <c r="H65" s="223">
        <v>8</v>
      </c>
      <c r="I65" s="223">
        <v>5</v>
      </c>
      <c r="J65" s="231">
        <v>5</v>
      </c>
      <c r="K65" s="223"/>
      <c r="L65" s="223">
        <v>3</v>
      </c>
      <c r="M65" s="223">
        <v>16</v>
      </c>
      <c r="N65" s="223">
        <v>30</v>
      </c>
      <c r="O65" s="223">
        <v>15</v>
      </c>
      <c r="P65" s="223">
        <v>15</v>
      </c>
      <c r="Q65" s="223">
        <v>4</v>
      </c>
      <c r="R65" s="222"/>
    </row>
    <row r="66" spans="1:18" ht="15" customHeight="1">
      <c r="B66" s="153"/>
      <c r="C66" s="152"/>
      <c r="D66" s="149">
        <v>2023</v>
      </c>
      <c r="E66" s="274">
        <v>3</v>
      </c>
      <c r="F66" s="274">
        <v>20</v>
      </c>
      <c r="G66" s="274">
        <v>27</v>
      </c>
      <c r="H66" s="274">
        <v>21</v>
      </c>
      <c r="I66" s="274">
        <v>7</v>
      </c>
      <c r="J66" s="274">
        <v>5</v>
      </c>
      <c r="K66" s="275"/>
      <c r="L66" s="274">
        <v>3</v>
      </c>
      <c r="M66" s="274">
        <v>20</v>
      </c>
      <c r="N66" s="274">
        <v>30</v>
      </c>
      <c r="O66" s="274">
        <v>25</v>
      </c>
      <c r="P66" s="274">
        <v>12</v>
      </c>
      <c r="Q66" s="276">
        <v>12</v>
      </c>
      <c r="R66" s="222"/>
    </row>
    <row r="67" spans="1:18" ht="8.1" customHeight="1">
      <c r="B67" s="155"/>
      <c r="C67" s="145"/>
      <c r="D67" s="149"/>
      <c r="E67" s="150"/>
      <c r="F67" s="203"/>
      <c r="G67" s="203"/>
      <c r="H67" s="203"/>
      <c r="I67" s="203"/>
      <c r="J67" s="203"/>
      <c r="K67" s="203"/>
      <c r="L67" s="203"/>
      <c r="M67" s="208"/>
      <c r="N67" s="208"/>
      <c r="O67" s="204"/>
      <c r="P67" s="204"/>
      <c r="Q67" s="204"/>
      <c r="R67" s="203"/>
    </row>
    <row r="68" spans="1:18" ht="15" customHeight="1">
      <c r="B68" s="151" t="s">
        <v>105</v>
      </c>
      <c r="C68" s="152"/>
      <c r="D68" s="149">
        <v>2021</v>
      </c>
      <c r="E68" s="231">
        <v>17</v>
      </c>
      <c r="F68" s="223">
        <v>95</v>
      </c>
      <c r="G68" s="223">
        <v>61</v>
      </c>
      <c r="H68" s="223">
        <v>32</v>
      </c>
      <c r="I68" s="223">
        <v>25</v>
      </c>
      <c r="J68" s="223">
        <v>10</v>
      </c>
      <c r="K68" s="223"/>
      <c r="L68" s="223">
        <v>6</v>
      </c>
      <c r="M68" s="223">
        <v>28</v>
      </c>
      <c r="N68" s="223">
        <v>17</v>
      </c>
      <c r="O68" s="223">
        <v>17</v>
      </c>
      <c r="P68" s="223">
        <v>4</v>
      </c>
      <c r="Q68" s="223">
        <v>5</v>
      </c>
      <c r="R68" s="222"/>
    </row>
    <row r="69" spans="1:18" ht="15" customHeight="1">
      <c r="B69" s="153"/>
      <c r="C69" s="152"/>
      <c r="D69" s="149">
        <v>2022</v>
      </c>
      <c r="E69" s="223">
        <v>8</v>
      </c>
      <c r="F69" s="223">
        <v>45</v>
      </c>
      <c r="G69" s="223">
        <v>44</v>
      </c>
      <c r="H69" s="223">
        <v>18</v>
      </c>
      <c r="I69" s="223">
        <v>6</v>
      </c>
      <c r="J69" s="223">
        <v>7</v>
      </c>
      <c r="K69" s="223"/>
      <c r="L69" s="223">
        <v>3</v>
      </c>
      <c r="M69" s="223">
        <v>13</v>
      </c>
      <c r="N69" s="223">
        <v>19</v>
      </c>
      <c r="O69" s="223">
        <v>21</v>
      </c>
      <c r="P69" s="223">
        <v>11</v>
      </c>
      <c r="Q69" s="223">
        <v>8</v>
      </c>
      <c r="R69" s="222"/>
    </row>
    <row r="70" spans="1:18" ht="15" customHeight="1">
      <c r="B70" s="153"/>
      <c r="C70" s="152"/>
      <c r="D70" s="149">
        <v>2023</v>
      </c>
      <c r="E70" s="274">
        <v>5</v>
      </c>
      <c r="F70" s="274">
        <v>55</v>
      </c>
      <c r="G70" s="274">
        <v>48</v>
      </c>
      <c r="H70" s="274">
        <v>33</v>
      </c>
      <c r="I70" s="274">
        <v>12</v>
      </c>
      <c r="J70" s="274">
        <v>2</v>
      </c>
      <c r="K70" s="275"/>
      <c r="L70" s="274">
        <v>9</v>
      </c>
      <c r="M70" s="274">
        <v>25</v>
      </c>
      <c r="N70" s="274">
        <v>31</v>
      </c>
      <c r="O70" s="274">
        <v>43</v>
      </c>
      <c r="P70" s="274">
        <v>29</v>
      </c>
      <c r="Q70" s="276">
        <v>17</v>
      </c>
      <c r="R70" s="222"/>
    </row>
    <row r="71" spans="1:18" ht="8.1" customHeight="1">
      <c r="B71" s="153"/>
      <c r="C71" s="151"/>
      <c r="D71" s="149"/>
      <c r="E71" s="150"/>
      <c r="F71" s="203"/>
      <c r="G71" s="203"/>
      <c r="H71" s="203"/>
      <c r="I71" s="203"/>
      <c r="J71" s="203"/>
      <c r="K71" s="203"/>
      <c r="L71" s="203"/>
      <c r="M71" s="204"/>
      <c r="N71" s="204"/>
      <c r="O71" s="204"/>
      <c r="P71" s="208"/>
      <c r="Q71" s="208"/>
      <c r="R71" s="203"/>
    </row>
    <row r="72" spans="1:18" ht="15" customHeight="1">
      <c r="B72" s="151" t="s">
        <v>109</v>
      </c>
      <c r="C72" s="152"/>
      <c r="D72" s="149">
        <v>2021</v>
      </c>
      <c r="E72" s="223">
        <v>13</v>
      </c>
      <c r="F72" s="223">
        <v>147</v>
      </c>
      <c r="G72" s="223">
        <v>110</v>
      </c>
      <c r="H72" s="223">
        <v>56</v>
      </c>
      <c r="I72" s="223">
        <v>25</v>
      </c>
      <c r="J72" s="223">
        <v>13</v>
      </c>
      <c r="K72" s="223"/>
      <c r="L72" s="223">
        <v>7</v>
      </c>
      <c r="M72" s="223">
        <v>97</v>
      </c>
      <c r="N72" s="223">
        <v>73</v>
      </c>
      <c r="O72" s="223">
        <v>41</v>
      </c>
      <c r="P72" s="223">
        <v>35</v>
      </c>
      <c r="Q72" s="223">
        <v>20</v>
      </c>
      <c r="R72" s="222"/>
    </row>
    <row r="73" spans="1:18" ht="15" customHeight="1">
      <c r="B73" s="153"/>
      <c r="C73" s="152"/>
      <c r="D73" s="149">
        <v>2022</v>
      </c>
      <c r="E73" s="231">
        <v>5</v>
      </c>
      <c r="F73" s="223">
        <v>81</v>
      </c>
      <c r="G73" s="223">
        <v>60</v>
      </c>
      <c r="H73" s="223">
        <v>32</v>
      </c>
      <c r="I73" s="223">
        <v>10</v>
      </c>
      <c r="J73" s="223">
        <v>9</v>
      </c>
      <c r="K73" s="223"/>
      <c r="L73" s="223">
        <v>5</v>
      </c>
      <c r="M73" s="223">
        <v>47</v>
      </c>
      <c r="N73" s="223">
        <v>65</v>
      </c>
      <c r="O73" s="223">
        <v>42</v>
      </c>
      <c r="P73" s="223">
        <v>24</v>
      </c>
      <c r="Q73" s="223">
        <v>17</v>
      </c>
      <c r="R73" s="222"/>
    </row>
    <row r="74" spans="1:18" ht="15" customHeight="1">
      <c r="A74" s="177"/>
      <c r="B74" s="225"/>
      <c r="C74" s="226"/>
      <c r="D74" s="227">
        <v>2023</v>
      </c>
      <c r="E74" s="274">
        <v>8</v>
      </c>
      <c r="F74" s="274">
        <v>71</v>
      </c>
      <c r="G74" s="274">
        <v>95</v>
      </c>
      <c r="H74" s="274">
        <v>41</v>
      </c>
      <c r="I74" s="274">
        <v>17</v>
      </c>
      <c r="J74" s="274">
        <v>14</v>
      </c>
      <c r="K74" s="275"/>
      <c r="L74" s="274">
        <v>3</v>
      </c>
      <c r="M74" s="274">
        <v>59</v>
      </c>
      <c r="N74" s="274">
        <v>101</v>
      </c>
      <c r="O74" s="274">
        <v>79</v>
      </c>
      <c r="P74" s="274">
        <v>61</v>
      </c>
      <c r="Q74" s="276">
        <v>52</v>
      </c>
      <c r="R74" s="222"/>
    </row>
    <row r="75" spans="1:18" ht="8.1" customHeight="1" thickBot="1">
      <c r="A75" s="156"/>
      <c r="B75" s="156"/>
      <c r="C75" s="156"/>
      <c r="D75" s="157"/>
      <c r="E75" s="158"/>
      <c r="F75" s="158"/>
      <c r="G75" s="158"/>
      <c r="H75" s="158"/>
      <c r="I75" s="158"/>
      <c r="J75" s="158"/>
      <c r="K75" s="158"/>
      <c r="L75" s="158"/>
      <c r="M75" s="228"/>
      <c r="N75" s="228"/>
      <c r="O75" s="229"/>
      <c r="P75" s="229"/>
      <c r="Q75" s="229"/>
      <c r="R75" s="158"/>
    </row>
    <row r="76" spans="1:18" s="87" customFormat="1" ht="15.95" customHeight="1">
      <c r="B76" s="88"/>
      <c r="C76" s="89"/>
      <c r="D76" s="90"/>
      <c r="E76" s="91"/>
      <c r="F76" s="91"/>
      <c r="R76" s="92" t="s">
        <v>19</v>
      </c>
    </row>
    <row r="77" spans="1:18" s="87" customFormat="1" ht="15.95" customHeight="1">
      <c r="B77" s="88"/>
      <c r="C77" s="89"/>
      <c r="D77" s="90"/>
      <c r="E77" s="91"/>
      <c r="F77" s="91"/>
      <c r="R77" s="93" t="s">
        <v>20</v>
      </c>
    </row>
    <row r="78" spans="1:18" ht="15" customHeight="1">
      <c r="B78" s="212"/>
      <c r="C78" s="213"/>
      <c r="D78" s="214"/>
      <c r="E78" s="219"/>
      <c r="F78" s="220"/>
      <c r="G78" s="220"/>
      <c r="H78" s="220"/>
      <c r="I78" s="220"/>
      <c r="J78" s="220"/>
      <c r="K78" s="220"/>
      <c r="L78" s="220"/>
      <c r="M78" s="221"/>
      <c r="N78" s="221"/>
      <c r="O78" s="196"/>
      <c r="P78" s="196"/>
      <c r="Q78" s="196"/>
      <c r="R78" s="220"/>
    </row>
    <row r="79" spans="1:18" ht="15" customHeight="1">
      <c r="D79" s="217"/>
      <c r="E79" s="216"/>
      <c r="F79" s="216"/>
      <c r="G79" s="216"/>
      <c r="H79" s="216"/>
      <c r="L79" s="215"/>
      <c r="M79" s="218"/>
      <c r="N79" s="218"/>
    </row>
    <row r="80" spans="1:18" ht="15" customHeight="1">
      <c r="B80" s="138"/>
      <c r="C80" s="138"/>
      <c r="D80" s="139"/>
      <c r="E80" s="140"/>
      <c r="F80" s="140"/>
      <c r="G80" s="140"/>
      <c r="H80" s="140"/>
      <c r="I80" s="140"/>
      <c r="J80" s="140"/>
      <c r="K80" s="140"/>
      <c r="L80" s="140"/>
      <c r="R80" s="140"/>
    </row>
    <row r="81" spans="2:18" ht="15" customHeight="1">
      <c r="B81" s="138"/>
      <c r="C81" s="138"/>
      <c r="D81" s="139"/>
      <c r="E81" s="140"/>
      <c r="F81" s="140"/>
      <c r="G81" s="140"/>
      <c r="H81" s="140"/>
      <c r="I81" s="140"/>
      <c r="J81" s="140"/>
      <c r="K81" s="140"/>
      <c r="L81" s="140"/>
      <c r="R81" s="140"/>
    </row>
    <row r="82" spans="2:18" ht="15" customHeight="1">
      <c r="B82" s="138"/>
      <c r="C82" s="138"/>
      <c r="D82" s="139"/>
      <c r="E82" s="140"/>
      <c r="F82" s="140"/>
      <c r="G82" s="140"/>
      <c r="H82" s="140"/>
      <c r="I82" s="140"/>
      <c r="J82" s="140"/>
      <c r="K82" s="140"/>
      <c r="L82" s="140"/>
      <c r="R82" s="140"/>
    </row>
    <row r="83" spans="2:18" ht="15" customHeight="1">
      <c r="B83" s="138"/>
      <c r="C83" s="138"/>
      <c r="D83" s="139"/>
      <c r="E83" s="140"/>
      <c r="F83" s="140"/>
      <c r="G83" s="140"/>
      <c r="H83" s="140"/>
      <c r="I83" s="140"/>
      <c r="J83" s="140"/>
      <c r="K83" s="140"/>
      <c r="L83" s="140"/>
      <c r="R83" s="140"/>
    </row>
    <row r="84" spans="2:18" ht="15" customHeight="1">
      <c r="B84" s="138"/>
      <c r="C84" s="138"/>
      <c r="D84" s="139"/>
      <c r="E84" s="140"/>
      <c r="F84" s="140"/>
      <c r="G84" s="140"/>
      <c r="H84" s="140"/>
      <c r="I84" s="140"/>
      <c r="J84" s="140"/>
      <c r="K84" s="140"/>
      <c r="L84" s="140"/>
      <c r="R84" s="140"/>
    </row>
    <row r="85" spans="2:18" ht="15" customHeight="1">
      <c r="B85" s="138"/>
      <c r="C85" s="138"/>
      <c r="D85" s="139"/>
      <c r="E85" s="140"/>
      <c r="F85" s="140"/>
      <c r="G85" s="140"/>
      <c r="H85" s="140"/>
      <c r="I85" s="140"/>
      <c r="J85" s="140"/>
      <c r="K85" s="140"/>
      <c r="L85" s="140"/>
      <c r="R85" s="140"/>
    </row>
    <row r="86" spans="2:18" ht="15" customHeight="1">
      <c r="B86" s="138"/>
      <c r="C86" s="138"/>
      <c r="D86" s="139"/>
      <c r="E86" s="140"/>
      <c r="F86" s="140"/>
      <c r="G86" s="140"/>
      <c r="H86" s="140"/>
      <c r="I86" s="140"/>
      <c r="J86" s="140"/>
      <c r="K86" s="140"/>
      <c r="L86" s="140"/>
      <c r="R86" s="140"/>
    </row>
    <row r="87" spans="2:18" ht="15" customHeight="1">
      <c r="B87" s="138"/>
      <c r="C87" s="138"/>
      <c r="D87" s="139"/>
      <c r="E87" s="140"/>
      <c r="F87" s="140"/>
      <c r="G87" s="140"/>
      <c r="H87" s="140"/>
      <c r="I87" s="140"/>
      <c r="J87" s="140"/>
      <c r="K87" s="140"/>
      <c r="L87" s="140"/>
      <c r="R87" s="140"/>
    </row>
    <row r="88" spans="2:18" ht="15" customHeight="1">
      <c r="B88" s="138"/>
      <c r="C88" s="138"/>
      <c r="D88" s="139"/>
      <c r="E88" s="140"/>
      <c r="F88" s="140"/>
      <c r="G88" s="140"/>
      <c r="H88" s="140"/>
      <c r="I88" s="140"/>
      <c r="J88" s="140"/>
      <c r="K88" s="140"/>
      <c r="L88" s="140"/>
      <c r="R88" s="140"/>
    </row>
    <row r="89" spans="2:18" ht="15" customHeight="1">
      <c r="B89" s="138"/>
      <c r="C89" s="138"/>
      <c r="D89" s="139"/>
      <c r="E89" s="140"/>
      <c r="F89" s="140"/>
      <c r="G89" s="140"/>
      <c r="H89" s="140"/>
      <c r="I89" s="140"/>
      <c r="J89" s="140"/>
      <c r="K89" s="140"/>
      <c r="L89" s="140"/>
      <c r="R89" s="140"/>
    </row>
    <row r="90" spans="2:18" ht="15" customHeight="1">
      <c r="B90" s="138"/>
      <c r="C90" s="138"/>
      <c r="D90" s="139"/>
      <c r="E90" s="140"/>
      <c r="F90" s="140"/>
      <c r="G90" s="140"/>
      <c r="H90" s="140"/>
      <c r="I90" s="140"/>
      <c r="J90" s="140"/>
      <c r="K90" s="140"/>
      <c r="L90" s="140"/>
      <c r="R90" s="140"/>
    </row>
    <row r="91" spans="2:18" ht="15" customHeight="1">
      <c r="B91" s="138"/>
      <c r="C91" s="138"/>
      <c r="D91" s="139"/>
      <c r="E91" s="140"/>
      <c r="F91" s="140"/>
      <c r="G91" s="140"/>
      <c r="H91" s="140"/>
      <c r="I91" s="140"/>
      <c r="J91" s="140"/>
      <c r="K91" s="140"/>
      <c r="L91" s="140"/>
      <c r="R91" s="140"/>
    </row>
    <row r="92" spans="2:18" ht="15" customHeight="1">
      <c r="B92" s="138"/>
      <c r="C92" s="138"/>
      <c r="D92" s="139"/>
      <c r="E92" s="140"/>
      <c r="F92" s="140"/>
      <c r="G92" s="140"/>
      <c r="H92" s="140"/>
      <c r="I92" s="140"/>
      <c r="J92" s="140"/>
      <c r="K92" s="140"/>
      <c r="L92" s="140"/>
      <c r="R92" s="140"/>
    </row>
    <row r="93" spans="2:18" ht="15" customHeight="1">
      <c r="B93" s="138"/>
      <c r="C93" s="138"/>
      <c r="D93" s="139"/>
      <c r="E93" s="140"/>
      <c r="F93" s="140"/>
      <c r="G93" s="140"/>
      <c r="H93" s="140"/>
      <c r="I93" s="140"/>
      <c r="J93" s="140"/>
      <c r="K93" s="140"/>
      <c r="L93" s="140"/>
      <c r="R93" s="140"/>
    </row>
    <row r="94" spans="2:18" ht="15" customHeight="1">
      <c r="B94" s="138"/>
      <c r="C94" s="138"/>
      <c r="D94" s="139"/>
      <c r="E94" s="140"/>
      <c r="F94" s="140"/>
      <c r="G94" s="140"/>
      <c r="H94" s="140"/>
      <c r="I94" s="140"/>
      <c r="J94" s="140"/>
      <c r="K94" s="140"/>
      <c r="L94" s="140"/>
      <c r="R94" s="140"/>
    </row>
    <row r="95" spans="2:18" ht="15" customHeight="1">
      <c r="B95" s="138"/>
      <c r="C95" s="138"/>
      <c r="D95" s="139"/>
      <c r="E95" s="140"/>
      <c r="F95" s="140"/>
      <c r="G95" s="140"/>
      <c r="H95" s="140"/>
      <c r="I95" s="140"/>
      <c r="J95" s="140"/>
      <c r="K95" s="140"/>
      <c r="L95" s="140"/>
      <c r="R95" s="140"/>
    </row>
    <row r="96" spans="2:18" ht="15" customHeight="1">
      <c r="B96" s="138"/>
      <c r="C96" s="138"/>
      <c r="D96" s="139"/>
      <c r="E96" s="140"/>
      <c r="F96" s="140"/>
      <c r="G96" s="140"/>
      <c r="H96" s="140"/>
      <c r="I96" s="140"/>
      <c r="J96" s="140"/>
      <c r="K96" s="140"/>
      <c r="L96" s="140"/>
      <c r="R96" s="140"/>
    </row>
    <row r="97" spans="2:18" ht="15" customHeight="1">
      <c r="B97" s="138"/>
      <c r="C97" s="138"/>
      <c r="D97" s="139"/>
      <c r="E97" s="140"/>
      <c r="F97" s="140"/>
      <c r="G97" s="140"/>
      <c r="H97" s="140"/>
      <c r="I97" s="140"/>
      <c r="J97" s="140"/>
      <c r="K97" s="140"/>
      <c r="L97" s="140"/>
      <c r="R97" s="140"/>
    </row>
    <row r="98" spans="2:18" ht="15" customHeight="1">
      <c r="B98" s="138"/>
      <c r="C98" s="138"/>
      <c r="D98" s="139"/>
      <c r="E98" s="140"/>
      <c r="F98" s="140"/>
      <c r="G98" s="140"/>
      <c r="H98" s="140"/>
      <c r="I98" s="140"/>
      <c r="J98" s="140"/>
      <c r="K98" s="140"/>
      <c r="L98" s="140"/>
      <c r="R98" s="140"/>
    </row>
    <row r="99" spans="2:18" ht="15" customHeight="1">
      <c r="B99" s="138"/>
      <c r="C99" s="138"/>
      <c r="D99" s="139"/>
      <c r="E99" s="140"/>
      <c r="F99" s="140"/>
      <c r="G99" s="140"/>
      <c r="H99" s="140"/>
      <c r="I99" s="140"/>
      <c r="J99" s="140"/>
      <c r="K99" s="140"/>
      <c r="L99" s="140"/>
      <c r="R99" s="140"/>
    </row>
    <row r="100" spans="2:18" ht="15" customHeight="1">
      <c r="B100" s="138"/>
      <c r="C100" s="138"/>
      <c r="D100" s="139"/>
      <c r="E100" s="140"/>
      <c r="F100" s="140"/>
      <c r="G100" s="140"/>
      <c r="H100" s="140"/>
      <c r="I100" s="140"/>
      <c r="J100" s="140"/>
      <c r="K100" s="140"/>
      <c r="L100" s="140"/>
      <c r="R100" s="140"/>
    </row>
    <row r="101" spans="2:18" ht="15" customHeight="1">
      <c r="B101" s="138"/>
      <c r="C101" s="138"/>
      <c r="D101" s="139"/>
      <c r="E101" s="140"/>
      <c r="F101" s="140"/>
      <c r="G101" s="140"/>
      <c r="H101" s="140"/>
      <c r="I101" s="140"/>
      <c r="J101" s="140"/>
      <c r="K101" s="140"/>
      <c r="L101" s="140"/>
      <c r="R101" s="140"/>
    </row>
    <row r="102" spans="2:18" ht="15" customHeight="1">
      <c r="B102" s="138"/>
      <c r="C102" s="138"/>
      <c r="D102" s="139"/>
      <c r="E102" s="140"/>
      <c r="F102" s="140"/>
      <c r="G102" s="140"/>
      <c r="H102" s="140"/>
      <c r="I102" s="140"/>
      <c r="J102" s="140"/>
      <c r="K102" s="140"/>
      <c r="L102" s="140"/>
      <c r="R102" s="140"/>
    </row>
    <row r="103" spans="2:18" ht="15" customHeight="1">
      <c r="B103" s="138"/>
      <c r="C103" s="138"/>
      <c r="D103" s="139"/>
      <c r="E103" s="140"/>
      <c r="F103" s="140"/>
      <c r="G103" s="140"/>
      <c r="H103" s="140"/>
      <c r="I103" s="140"/>
      <c r="J103" s="140"/>
      <c r="K103" s="140"/>
      <c r="L103" s="140"/>
      <c r="R103" s="140"/>
    </row>
    <row r="104" spans="2:18" ht="15" customHeight="1">
      <c r="B104" s="138"/>
      <c r="C104" s="138"/>
      <c r="D104" s="139"/>
      <c r="E104" s="140"/>
      <c r="F104" s="140"/>
      <c r="G104" s="140"/>
      <c r="H104" s="140"/>
      <c r="I104" s="140"/>
      <c r="J104" s="140"/>
      <c r="K104" s="140"/>
      <c r="L104" s="140"/>
      <c r="R104" s="140"/>
    </row>
    <row r="105" spans="2:18" ht="15" customHeight="1">
      <c r="B105" s="138"/>
      <c r="C105" s="138"/>
      <c r="D105" s="139"/>
      <c r="E105" s="140"/>
      <c r="F105" s="140"/>
      <c r="G105" s="140"/>
      <c r="H105" s="140"/>
      <c r="I105" s="140"/>
      <c r="J105" s="140"/>
      <c r="K105" s="140"/>
      <c r="L105" s="140"/>
      <c r="R105" s="140"/>
    </row>
    <row r="106" spans="2:18" ht="15" customHeight="1">
      <c r="B106" s="138"/>
      <c r="C106" s="138"/>
      <c r="D106" s="139"/>
      <c r="E106" s="140"/>
      <c r="F106" s="140"/>
      <c r="G106" s="140"/>
      <c r="H106" s="140"/>
      <c r="I106" s="140"/>
      <c r="J106" s="140"/>
      <c r="K106" s="140"/>
      <c r="L106" s="140"/>
      <c r="R106" s="140"/>
    </row>
    <row r="107" spans="2:18" ht="15" customHeight="1">
      <c r="B107" s="138"/>
      <c r="C107" s="138"/>
      <c r="D107" s="139"/>
      <c r="E107" s="140"/>
      <c r="F107" s="140"/>
      <c r="G107" s="140"/>
      <c r="H107" s="140"/>
      <c r="I107" s="140"/>
      <c r="J107" s="140"/>
      <c r="K107" s="140"/>
      <c r="L107" s="140"/>
      <c r="R107" s="140"/>
    </row>
    <row r="108" spans="2:18" ht="15" customHeight="1">
      <c r="B108" s="138"/>
      <c r="C108" s="138"/>
      <c r="D108" s="139"/>
      <c r="E108" s="140"/>
      <c r="F108" s="140"/>
      <c r="G108" s="140"/>
      <c r="H108" s="140"/>
      <c r="I108" s="140"/>
      <c r="J108" s="140"/>
      <c r="K108" s="140"/>
      <c r="L108" s="140"/>
      <c r="R108" s="140"/>
    </row>
    <row r="109" spans="2:18" ht="15" customHeight="1">
      <c r="B109" s="138"/>
      <c r="C109" s="138"/>
      <c r="D109" s="139"/>
      <c r="E109" s="140"/>
      <c r="F109" s="140"/>
      <c r="G109" s="140"/>
      <c r="H109" s="140"/>
      <c r="I109" s="140"/>
      <c r="J109" s="140"/>
      <c r="K109" s="140"/>
      <c r="L109" s="140"/>
      <c r="R109" s="140"/>
    </row>
    <row r="110" spans="2:18" ht="15" customHeight="1">
      <c r="B110" s="138"/>
      <c r="C110" s="138"/>
      <c r="D110" s="139"/>
      <c r="E110" s="140"/>
      <c r="F110" s="140"/>
      <c r="G110" s="140"/>
      <c r="H110" s="140"/>
      <c r="I110" s="140"/>
      <c r="J110" s="140"/>
      <c r="K110" s="140"/>
      <c r="L110" s="140"/>
      <c r="R110" s="140"/>
    </row>
    <row r="111" spans="2:18" ht="15" customHeight="1">
      <c r="B111" s="138"/>
      <c r="C111" s="138"/>
      <c r="D111" s="139"/>
      <c r="E111" s="140"/>
      <c r="F111" s="140"/>
      <c r="G111" s="140"/>
      <c r="H111" s="140"/>
      <c r="I111" s="140"/>
      <c r="J111" s="140"/>
      <c r="K111" s="140"/>
      <c r="L111" s="140"/>
      <c r="R111" s="140"/>
    </row>
    <row r="112" spans="2:18" ht="15" customHeight="1">
      <c r="B112" s="138"/>
      <c r="C112" s="138"/>
      <c r="D112" s="139"/>
      <c r="E112" s="140"/>
      <c r="F112" s="140"/>
      <c r="G112" s="140"/>
      <c r="H112" s="140"/>
      <c r="I112" s="140"/>
      <c r="J112" s="140"/>
      <c r="K112" s="140"/>
      <c r="L112" s="140"/>
      <c r="R112" s="140"/>
    </row>
    <row r="113" spans="2:18" ht="15" customHeight="1">
      <c r="B113" s="138"/>
      <c r="C113" s="138"/>
      <c r="D113" s="139"/>
      <c r="E113" s="140"/>
      <c r="F113" s="140"/>
      <c r="G113" s="140"/>
      <c r="H113" s="140"/>
      <c r="I113" s="140"/>
      <c r="J113" s="140"/>
      <c r="K113" s="140"/>
      <c r="L113" s="140"/>
      <c r="R113" s="140"/>
    </row>
    <row r="114" spans="2:18" ht="15" customHeight="1">
      <c r="B114" s="138"/>
      <c r="C114" s="138"/>
      <c r="D114" s="139"/>
      <c r="E114" s="140"/>
      <c r="F114" s="140"/>
      <c r="G114" s="140"/>
      <c r="H114" s="140"/>
      <c r="I114" s="140"/>
      <c r="J114" s="140"/>
      <c r="K114" s="140"/>
      <c r="L114" s="140"/>
      <c r="R114" s="140"/>
    </row>
    <row r="115" spans="2:18" ht="15" customHeight="1">
      <c r="B115" s="138"/>
      <c r="C115" s="138"/>
      <c r="D115" s="139"/>
      <c r="E115" s="140"/>
      <c r="F115" s="140"/>
      <c r="G115" s="140"/>
      <c r="H115" s="140"/>
      <c r="I115" s="140"/>
      <c r="J115" s="140"/>
      <c r="K115" s="140"/>
      <c r="L115" s="140"/>
      <c r="R115" s="140"/>
    </row>
    <row r="116" spans="2:18" ht="15" customHeight="1">
      <c r="B116" s="138"/>
      <c r="C116" s="138"/>
      <c r="D116" s="139"/>
      <c r="E116" s="140"/>
      <c r="F116" s="140"/>
      <c r="G116" s="140"/>
      <c r="H116" s="140"/>
      <c r="I116" s="140"/>
      <c r="J116" s="140"/>
      <c r="K116" s="140"/>
      <c r="L116" s="140"/>
      <c r="R116" s="140"/>
    </row>
    <row r="117" spans="2:18" ht="15" customHeight="1">
      <c r="B117" s="138"/>
      <c r="C117" s="138"/>
      <c r="D117" s="139"/>
      <c r="E117" s="140"/>
      <c r="F117" s="140"/>
      <c r="G117" s="140"/>
      <c r="H117" s="140"/>
      <c r="I117" s="140"/>
      <c r="J117" s="140"/>
      <c r="K117" s="140"/>
      <c r="L117" s="140"/>
      <c r="R117" s="140"/>
    </row>
    <row r="118" spans="2:18" ht="15" customHeight="1">
      <c r="B118" s="138"/>
      <c r="C118" s="138"/>
      <c r="D118" s="139"/>
      <c r="E118" s="140"/>
      <c r="F118" s="140"/>
      <c r="G118" s="140"/>
      <c r="H118" s="140"/>
      <c r="I118" s="140"/>
      <c r="J118" s="140"/>
      <c r="K118" s="140"/>
      <c r="L118" s="140"/>
      <c r="R118" s="140"/>
    </row>
    <row r="119" spans="2:18" ht="15" customHeight="1">
      <c r="B119" s="138"/>
      <c r="C119" s="138"/>
      <c r="D119" s="139"/>
      <c r="E119" s="140"/>
      <c r="F119" s="140"/>
      <c r="G119" s="140"/>
      <c r="H119" s="140"/>
      <c r="I119" s="140"/>
      <c r="J119" s="140"/>
      <c r="K119" s="140"/>
      <c r="L119" s="140"/>
      <c r="R119" s="140"/>
    </row>
    <row r="120" spans="2:18" ht="15" customHeight="1">
      <c r="B120" s="138"/>
      <c r="C120" s="138"/>
      <c r="D120" s="139"/>
      <c r="E120" s="140"/>
      <c r="F120" s="140"/>
      <c r="G120" s="140"/>
      <c r="H120" s="140"/>
      <c r="I120" s="140"/>
      <c r="J120" s="140"/>
      <c r="K120" s="140"/>
      <c r="L120" s="140"/>
      <c r="R120" s="140"/>
    </row>
    <row r="121" spans="2:18" ht="15" customHeight="1">
      <c r="B121" s="138"/>
      <c r="C121" s="138"/>
      <c r="D121" s="139"/>
      <c r="E121" s="140"/>
      <c r="F121" s="140"/>
      <c r="G121" s="140"/>
      <c r="H121" s="140"/>
      <c r="I121" s="140"/>
      <c r="J121" s="140"/>
      <c r="K121" s="140"/>
      <c r="L121" s="140"/>
      <c r="R121" s="140"/>
    </row>
    <row r="122" spans="2:18" ht="15" customHeight="1">
      <c r="B122" s="138"/>
      <c r="C122" s="138"/>
      <c r="D122" s="139"/>
      <c r="E122" s="140"/>
      <c r="F122" s="140"/>
      <c r="G122" s="140"/>
      <c r="H122" s="140"/>
      <c r="I122" s="140"/>
      <c r="J122" s="140"/>
      <c r="K122" s="140"/>
      <c r="L122" s="140"/>
      <c r="R122" s="140"/>
    </row>
    <row r="123" spans="2:18" ht="15" customHeight="1">
      <c r="B123" s="138"/>
      <c r="C123" s="138"/>
      <c r="D123" s="139"/>
      <c r="E123" s="140"/>
      <c r="F123" s="140"/>
      <c r="G123" s="140"/>
      <c r="H123" s="140"/>
      <c r="I123" s="140"/>
      <c r="J123" s="140"/>
      <c r="K123" s="140"/>
      <c r="L123" s="140"/>
      <c r="R123" s="140"/>
    </row>
    <row r="124" spans="2:18" ht="15" customHeight="1">
      <c r="B124" s="138"/>
      <c r="C124" s="138"/>
      <c r="D124" s="139"/>
      <c r="E124" s="140"/>
      <c r="F124" s="140"/>
      <c r="G124" s="140"/>
      <c r="H124" s="140"/>
      <c r="I124" s="140"/>
      <c r="J124" s="140"/>
      <c r="K124" s="140"/>
      <c r="L124" s="140"/>
      <c r="R124" s="140"/>
    </row>
    <row r="125" spans="2:18" ht="15" customHeight="1">
      <c r="B125" s="138"/>
      <c r="C125" s="138"/>
      <c r="D125" s="139"/>
      <c r="E125" s="140"/>
      <c r="F125" s="140"/>
      <c r="G125" s="140"/>
      <c r="H125" s="140"/>
      <c r="I125" s="140"/>
      <c r="J125" s="140"/>
      <c r="K125" s="140"/>
      <c r="L125" s="140"/>
      <c r="R125" s="140"/>
    </row>
    <row r="126" spans="2:18" ht="15" customHeight="1">
      <c r="B126" s="138"/>
      <c r="C126" s="138"/>
      <c r="D126" s="139"/>
      <c r="E126" s="140"/>
      <c r="F126" s="140"/>
      <c r="G126" s="140"/>
      <c r="H126" s="140"/>
      <c r="I126" s="140"/>
      <c r="J126" s="140"/>
      <c r="K126" s="140"/>
      <c r="L126" s="140"/>
      <c r="R126" s="140"/>
    </row>
    <row r="127" spans="2:18" ht="15" customHeight="1">
      <c r="B127" s="138"/>
      <c r="C127" s="138"/>
      <c r="D127" s="139"/>
      <c r="E127" s="140"/>
      <c r="F127" s="140"/>
      <c r="G127" s="140"/>
      <c r="H127" s="140"/>
      <c r="I127" s="140"/>
      <c r="J127" s="140"/>
      <c r="K127" s="140"/>
      <c r="L127" s="140"/>
      <c r="R127" s="140"/>
    </row>
    <row r="128" spans="2:18" ht="15" customHeight="1">
      <c r="B128" s="138"/>
      <c r="C128" s="138"/>
      <c r="D128" s="139"/>
      <c r="E128" s="140"/>
      <c r="F128" s="140"/>
      <c r="G128" s="140"/>
      <c r="H128" s="140"/>
      <c r="I128" s="140"/>
      <c r="J128" s="140"/>
      <c r="K128" s="140"/>
      <c r="L128" s="140"/>
      <c r="R128" s="140"/>
    </row>
    <row r="129" spans="2:18" ht="15" customHeight="1">
      <c r="B129" s="138"/>
      <c r="C129" s="138"/>
      <c r="D129" s="139"/>
      <c r="E129" s="140"/>
      <c r="F129" s="140"/>
      <c r="G129" s="140"/>
      <c r="H129" s="140"/>
      <c r="I129" s="140"/>
      <c r="J129" s="140"/>
      <c r="K129" s="140"/>
      <c r="L129" s="140"/>
      <c r="R129" s="140"/>
    </row>
    <row r="130" spans="2:18" ht="15" customHeight="1">
      <c r="B130" s="138"/>
      <c r="C130" s="138"/>
      <c r="D130" s="139"/>
      <c r="E130" s="140"/>
      <c r="F130" s="140"/>
      <c r="G130" s="140"/>
      <c r="H130" s="140"/>
      <c r="I130" s="140"/>
      <c r="J130" s="140"/>
      <c r="K130" s="140"/>
      <c r="L130" s="140"/>
      <c r="R130" s="140"/>
    </row>
    <row r="131" spans="2:18" ht="15" customHeight="1">
      <c r="B131" s="138"/>
      <c r="C131" s="138"/>
      <c r="D131" s="139"/>
      <c r="E131" s="140"/>
      <c r="F131" s="140"/>
      <c r="G131" s="140"/>
      <c r="H131" s="140"/>
      <c r="I131" s="140"/>
      <c r="J131" s="140"/>
      <c r="K131" s="140"/>
      <c r="L131" s="140"/>
      <c r="R131" s="140"/>
    </row>
    <row r="132" spans="2:18" ht="15" customHeight="1">
      <c r="B132" s="138"/>
      <c r="C132" s="138"/>
      <c r="D132" s="139"/>
      <c r="E132" s="140"/>
      <c r="F132" s="140"/>
      <c r="G132" s="140"/>
      <c r="H132" s="140"/>
      <c r="I132" s="140"/>
      <c r="J132" s="140"/>
      <c r="K132" s="140"/>
      <c r="L132" s="140"/>
      <c r="R132" s="140"/>
    </row>
    <row r="133" spans="2:18" ht="15" customHeight="1">
      <c r="B133" s="138"/>
      <c r="C133" s="138"/>
      <c r="D133" s="139"/>
      <c r="E133" s="140"/>
      <c r="F133" s="140"/>
      <c r="G133" s="140"/>
      <c r="H133" s="140"/>
      <c r="I133" s="140"/>
      <c r="J133" s="140"/>
      <c r="K133" s="140"/>
      <c r="L133" s="140"/>
      <c r="R133" s="140"/>
    </row>
    <row r="134" spans="2:18" ht="15" customHeight="1">
      <c r="B134" s="138"/>
      <c r="C134" s="138"/>
      <c r="D134" s="139"/>
      <c r="E134" s="140"/>
      <c r="F134" s="140"/>
      <c r="G134" s="140"/>
      <c r="H134" s="140"/>
      <c r="I134" s="140"/>
      <c r="J134" s="140"/>
      <c r="K134" s="140"/>
      <c r="L134" s="140"/>
      <c r="R134" s="140"/>
    </row>
    <row r="135" spans="2:18" ht="15" customHeight="1">
      <c r="B135" s="138"/>
      <c r="C135" s="138"/>
      <c r="D135" s="139"/>
      <c r="E135" s="140"/>
      <c r="F135" s="140"/>
      <c r="G135" s="140"/>
      <c r="H135" s="140"/>
      <c r="I135" s="140"/>
      <c r="J135" s="140"/>
      <c r="K135" s="140"/>
      <c r="L135" s="140"/>
      <c r="R135" s="140"/>
    </row>
    <row r="136" spans="2:18" ht="15" customHeight="1">
      <c r="B136" s="138"/>
      <c r="C136" s="138"/>
      <c r="D136" s="139"/>
      <c r="E136" s="140"/>
      <c r="F136" s="140"/>
      <c r="G136" s="140"/>
      <c r="H136" s="140"/>
      <c r="I136" s="140"/>
      <c r="J136" s="140"/>
      <c r="K136" s="140"/>
      <c r="L136" s="140"/>
      <c r="R136" s="140"/>
    </row>
    <row r="137" spans="2:18" ht="15" customHeight="1">
      <c r="B137" s="138"/>
      <c r="C137" s="138"/>
      <c r="D137" s="139"/>
      <c r="E137" s="140"/>
      <c r="F137" s="140"/>
      <c r="G137" s="140"/>
      <c r="H137" s="140"/>
      <c r="I137" s="140"/>
      <c r="J137" s="140"/>
      <c r="K137" s="140"/>
      <c r="L137" s="140"/>
      <c r="R137" s="140"/>
    </row>
    <row r="138" spans="2:18" ht="15" customHeight="1">
      <c r="B138" s="138"/>
      <c r="C138" s="138"/>
      <c r="D138" s="139"/>
      <c r="E138" s="140"/>
      <c r="F138" s="140"/>
      <c r="G138" s="140"/>
      <c r="H138" s="140"/>
      <c r="I138" s="140"/>
      <c r="J138" s="140"/>
      <c r="K138" s="140"/>
      <c r="L138" s="140"/>
      <c r="R138" s="140"/>
    </row>
    <row r="139" spans="2:18" ht="15" customHeight="1">
      <c r="B139" s="138"/>
      <c r="C139" s="138"/>
      <c r="D139" s="139"/>
      <c r="E139" s="140"/>
      <c r="F139" s="140"/>
      <c r="G139" s="140"/>
      <c r="H139" s="140"/>
      <c r="I139" s="140"/>
      <c r="J139" s="140"/>
      <c r="K139" s="140"/>
      <c r="L139" s="140"/>
      <c r="R139" s="140"/>
    </row>
    <row r="140" spans="2:18" ht="15" customHeight="1">
      <c r="B140" s="138"/>
      <c r="C140" s="138"/>
      <c r="D140" s="139"/>
      <c r="E140" s="140"/>
      <c r="F140" s="140"/>
      <c r="G140" s="140"/>
      <c r="H140" s="140"/>
      <c r="I140" s="140"/>
      <c r="J140" s="140"/>
      <c r="K140" s="140"/>
      <c r="L140" s="140"/>
      <c r="R140" s="140"/>
    </row>
    <row r="141" spans="2:18" ht="15" customHeight="1">
      <c r="B141" s="138"/>
      <c r="C141" s="138"/>
      <c r="D141" s="139"/>
      <c r="E141" s="140"/>
      <c r="F141" s="140"/>
      <c r="G141" s="140"/>
      <c r="H141" s="140"/>
      <c r="I141" s="140"/>
      <c r="J141" s="140"/>
      <c r="K141" s="140"/>
      <c r="L141" s="140"/>
      <c r="R141" s="140"/>
    </row>
    <row r="142" spans="2:18" ht="15" customHeight="1">
      <c r="B142" s="138"/>
      <c r="C142" s="138"/>
      <c r="D142" s="139"/>
      <c r="E142" s="140"/>
      <c r="F142" s="140"/>
      <c r="G142" s="140"/>
      <c r="H142" s="140"/>
      <c r="I142" s="140"/>
      <c r="J142" s="140"/>
      <c r="K142" s="140"/>
      <c r="L142" s="140"/>
      <c r="R142" s="140"/>
    </row>
    <row r="143" spans="2:18" ht="15" customHeight="1">
      <c r="B143" s="138"/>
      <c r="C143" s="138"/>
      <c r="D143" s="139"/>
      <c r="E143" s="140"/>
      <c r="F143" s="140"/>
      <c r="G143" s="140"/>
      <c r="H143" s="140"/>
      <c r="I143" s="140"/>
      <c r="J143" s="140"/>
      <c r="K143" s="140"/>
      <c r="L143" s="140"/>
      <c r="R143" s="140"/>
    </row>
    <row r="144" spans="2:18" ht="15" customHeight="1">
      <c r="B144" s="138"/>
      <c r="C144" s="138"/>
      <c r="D144" s="139"/>
      <c r="E144" s="140"/>
      <c r="F144" s="140"/>
      <c r="G144" s="140"/>
      <c r="H144" s="140"/>
      <c r="I144" s="140"/>
      <c r="J144" s="140"/>
      <c r="K144" s="140"/>
      <c r="L144" s="140"/>
      <c r="R144" s="140"/>
    </row>
    <row r="145" spans="2:18" ht="15" customHeight="1">
      <c r="B145" s="138"/>
      <c r="C145" s="138"/>
      <c r="D145" s="139"/>
      <c r="E145" s="140"/>
      <c r="F145" s="140"/>
      <c r="G145" s="140"/>
      <c r="H145" s="140"/>
      <c r="I145" s="140"/>
      <c r="J145" s="140"/>
      <c r="K145" s="140"/>
      <c r="L145" s="140"/>
      <c r="R145" s="140"/>
    </row>
    <row r="146" spans="2:18" ht="15" customHeight="1">
      <c r="B146" s="138"/>
      <c r="C146" s="138"/>
      <c r="D146" s="139"/>
      <c r="E146" s="140"/>
      <c r="F146" s="140"/>
      <c r="G146" s="140"/>
      <c r="H146" s="140"/>
      <c r="I146" s="140"/>
      <c r="J146" s="140"/>
      <c r="K146" s="140"/>
      <c r="L146" s="140"/>
      <c r="R146" s="140"/>
    </row>
    <row r="147" spans="2:18" ht="15" customHeight="1">
      <c r="B147" s="138"/>
      <c r="C147" s="138"/>
      <c r="D147" s="139"/>
      <c r="E147" s="140"/>
      <c r="F147" s="140"/>
      <c r="G147" s="140"/>
      <c r="H147" s="140"/>
      <c r="I147" s="140"/>
      <c r="J147" s="140"/>
      <c r="K147" s="140"/>
      <c r="L147" s="140"/>
      <c r="R147" s="140"/>
    </row>
    <row r="148" spans="2:18" ht="15" customHeight="1">
      <c r="B148" s="138"/>
      <c r="C148" s="138"/>
      <c r="D148" s="139"/>
      <c r="E148" s="140"/>
      <c r="F148" s="140"/>
      <c r="G148" s="140"/>
      <c r="H148" s="140"/>
      <c r="I148" s="140"/>
      <c r="J148" s="140"/>
      <c r="K148" s="140"/>
      <c r="L148" s="140"/>
      <c r="R148" s="140"/>
    </row>
    <row r="149" spans="2:18" ht="15" customHeight="1">
      <c r="B149" s="138"/>
      <c r="C149" s="138"/>
      <c r="D149" s="139"/>
      <c r="E149" s="140"/>
      <c r="F149" s="140"/>
      <c r="G149" s="140"/>
      <c r="H149" s="140"/>
      <c r="I149" s="140"/>
      <c r="J149" s="140"/>
      <c r="K149" s="140"/>
      <c r="L149" s="140"/>
      <c r="R149" s="140"/>
    </row>
    <row r="150" spans="2:18" ht="15" customHeight="1">
      <c r="B150" s="138"/>
      <c r="C150" s="138"/>
      <c r="D150" s="139"/>
      <c r="E150" s="140"/>
      <c r="F150" s="140"/>
      <c r="G150" s="140"/>
      <c r="H150" s="140"/>
      <c r="I150" s="140"/>
      <c r="J150" s="140"/>
      <c r="K150" s="140"/>
      <c r="L150" s="140"/>
      <c r="R150" s="140"/>
    </row>
    <row r="151" spans="2:18" ht="15" customHeight="1">
      <c r="B151" s="138"/>
      <c r="C151" s="138"/>
      <c r="D151" s="139"/>
      <c r="E151" s="140"/>
      <c r="F151" s="140"/>
      <c r="G151" s="140"/>
      <c r="H151" s="140"/>
      <c r="I151" s="140"/>
      <c r="J151" s="140"/>
      <c r="K151" s="140"/>
      <c r="L151" s="140"/>
      <c r="R151" s="140"/>
    </row>
    <row r="152" spans="2:18" ht="15" customHeight="1">
      <c r="B152" s="138"/>
      <c r="C152" s="138"/>
      <c r="D152" s="139"/>
      <c r="E152" s="140"/>
      <c r="F152" s="140"/>
      <c r="G152" s="140"/>
      <c r="H152" s="140"/>
      <c r="I152" s="140"/>
      <c r="J152" s="140"/>
      <c r="K152" s="140"/>
      <c r="L152" s="140"/>
      <c r="R152" s="140"/>
    </row>
    <row r="153" spans="2:18" ht="15" customHeight="1">
      <c r="B153" s="138"/>
      <c r="C153" s="138"/>
      <c r="D153" s="139"/>
      <c r="E153" s="140"/>
      <c r="F153" s="140"/>
      <c r="G153" s="140"/>
      <c r="H153" s="140"/>
      <c r="I153" s="140"/>
      <c r="J153" s="140"/>
      <c r="K153" s="140"/>
      <c r="L153" s="140"/>
      <c r="R153" s="140"/>
    </row>
    <row r="154" spans="2:18" ht="15" customHeight="1">
      <c r="B154" s="138"/>
      <c r="C154" s="138"/>
      <c r="D154" s="139"/>
      <c r="E154" s="140"/>
      <c r="F154" s="140"/>
      <c r="G154" s="140"/>
      <c r="H154" s="140"/>
      <c r="I154" s="140"/>
      <c r="J154" s="140"/>
      <c r="K154" s="140"/>
      <c r="L154" s="140"/>
      <c r="R154" s="140"/>
    </row>
    <row r="155" spans="2:18" ht="15" customHeight="1">
      <c r="B155" s="138"/>
      <c r="C155" s="138"/>
      <c r="D155" s="139"/>
      <c r="E155" s="140"/>
      <c r="F155" s="140"/>
      <c r="G155" s="140"/>
      <c r="H155" s="140"/>
      <c r="I155" s="140"/>
      <c r="J155" s="140"/>
      <c r="K155" s="140"/>
      <c r="L155" s="140"/>
      <c r="R155" s="140"/>
    </row>
    <row r="156" spans="2:18" ht="15" customHeight="1">
      <c r="B156" s="138"/>
      <c r="C156" s="138"/>
      <c r="D156" s="139"/>
      <c r="E156" s="140"/>
      <c r="F156" s="140"/>
      <c r="G156" s="140"/>
      <c r="H156" s="140"/>
      <c r="I156" s="140"/>
      <c r="J156" s="140"/>
      <c r="K156" s="140"/>
      <c r="L156" s="140"/>
      <c r="R156" s="140"/>
    </row>
    <row r="157" spans="2:18" ht="15" customHeight="1">
      <c r="B157" s="138"/>
      <c r="C157" s="138"/>
      <c r="D157" s="139"/>
      <c r="E157" s="140"/>
      <c r="F157" s="140"/>
      <c r="G157" s="140"/>
      <c r="H157" s="140"/>
      <c r="I157" s="140"/>
      <c r="J157" s="140"/>
      <c r="K157" s="140"/>
      <c r="L157" s="140"/>
      <c r="R157" s="140"/>
    </row>
    <row r="158" spans="2:18" ht="15" customHeight="1">
      <c r="B158" s="138"/>
      <c r="C158" s="138"/>
      <c r="D158" s="139"/>
      <c r="E158" s="140"/>
      <c r="F158" s="140"/>
      <c r="G158" s="140"/>
      <c r="H158" s="140"/>
      <c r="I158" s="140"/>
      <c r="J158" s="140"/>
      <c r="K158" s="140"/>
      <c r="L158" s="140"/>
      <c r="R158" s="140"/>
    </row>
    <row r="159" spans="2:18" ht="15" customHeight="1">
      <c r="B159" s="138"/>
      <c r="C159" s="138"/>
      <c r="D159" s="139"/>
      <c r="E159" s="140"/>
      <c r="F159" s="140"/>
      <c r="G159" s="140"/>
      <c r="H159" s="140"/>
      <c r="I159" s="140"/>
      <c r="J159" s="140"/>
      <c r="K159" s="140"/>
      <c r="L159" s="140"/>
      <c r="R159" s="140"/>
    </row>
    <row r="160" spans="2:18" ht="15" customHeight="1">
      <c r="B160" s="138"/>
      <c r="C160" s="138"/>
      <c r="D160" s="139"/>
      <c r="E160" s="140"/>
      <c r="F160" s="140"/>
      <c r="G160" s="140"/>
      <c r="H160" s="140"/>
      <c r="I160" s="140"/>
      <c r="J160" s="140"/>
      <c r="K160" s="140"/>
      <c r="L160" s="140"/>
      <c r="R160" s="140"/>
    </row>
    <row r="161" spans="2:18" ht="15" customHeight="1">
      <c r="B161" s="138"/>
      <c r="C161" s="138"/>
      <c r="D161" s="139"/>
      <c r="E161" s="140"/>
      <c r="F161" s="140"/>
      <c r="G161" s="140"/>
      <c r="H161" s="140"/>
      <c r="I161" s="140"/>
      <c r="J161" s="140"/>
      <c r="K161" s="140"/>
      <c r="L161" s="140"/>
      <c r="R161" s="140"/>
    </row>
    <row r="162" spans="2:18" ht="15" customHeight="1">
      <c r="B162" s="138"/>
      <c r="C162" s="138"/>
      <c r="D162" s="139"/>
      <c r="E162" s="140"/>
      <c r="F162" s="140"/>
      <c r="G162" s="140"/>
      <c r="H162" s="140"/>
      <c r="I162" s="140"/>
      <c r="J162" s="140"/>
      <c r="K162" s="140"/>
      <c r="L162" s="140"/>
      <c r="R162" s="140"/>
    </row>
    <row r="163" spans="2:18" ht="15" customHeight="1">
      <c r="B163" s="138"/>
      <c r="C163" s="138"/>
      <c r="D163" s="139"/>
      <c r="E163" s="140"/>
      <c r="F163" s="140"/>
      <c r="G163" s="140"/>
      <c r="H163" s="140"/>
      <c r="I163" s="140"/>
      <c r="J163" s="140"/>
      <c r="K163" s="140"/>
      <c r="L163" s="140"/>
      <c r="R163" s="140"/>
    </row>
    <row r="164" spans="2:18" ht="15" customHeight="1">
      <c r="B164" s="138"/>
      <c r="C164" s="138"/>
      <c r="D164" s="139"/>
      <c r="E164" s="140"/>
      <c r="F164" s="140"/>
      <c r="G164" s="140"/>
      <c r="H164" s="140"/>
      <c r="I164" s="140"/>
      <c r="J164" s="140"/>
      <c r="K164" s="140"/>
      <c r="L164" s="140"/>
      <c r="R164" s="140"/>
    </row>
    <row r="165" spans="2:18" ht="15" customHeight="1">
      <c r="B165" s="138"/>
      <c r="C165" s="138"/>
      <c r="D165" s="139"/>
      <c r="E165" s="140"/>
      <c r="F165" s="140"/>
      <c r="G165" s="140"/>
      <c r="H165" s="140"/>
      <c r="I165" s="140"/>
      <c r="J165" s="140"/>
      <c r="K165" s="140"/>
      <c r="L165" s="140"/>
      <c r="R165" s="140"/>
    </row>
    <row r="166" spans="2:18" ht="15" customHeight="1">
      <c r="B166" s="138"/>
      <c r="C166" s="138"/>
      <c r="D166" s="139"/>
      <c r="E166" s="140"/>
      <c r="F166" s="140"/>
      <c r="G166" s="140"/>
      <c r="H166" s="140"/>
      <c r="I166" s="140"/>
      <c r="J166" s="140"/>
      <c r="K166" s="140"/>
      <c r="L166" s="140"/>
      <c r="R166" s="140"/>
    </row>
    <row r="167" spans="2:18" ht="15" customHeight="1">
      <c r="B167" s="138"/>
      <c r="C167" s="138"/>
      <c r="D167" s="139"/>
      <c r="E167" s="140"/>
      <c r="F167" s="140"/>
      <c r="G167" s="140"/>
      <c r="H167" s="140"/>
      <c r="I167" s="140"/>
      <c r="J167" s="140"/>
      <c r="K167" s="140"/>
      <c r="L167" s="140"/>
      <c r="R167" s="140"/>
    </row>
    <row r="168" spans="2:18" ht="15" customHeight="1">
      <c r="B168" s="138"/>
      <c r="C168" s="138"/>
      <c r="D168" s="139"/>
      <c r="E168" s="140"/>
      <c r="F168" s="140"/>
      <c r="G168" s="140"/>
      <c r="H168" s="140"/>
      <c r="I168" s="140"/>
      <c r="J168" s="140"/>
      <c r="K168" s="140"/>
      <c r="L168" s="140"/>
      <c r="R168" s="140"/>
    </row>
    <row r="169" spans="2:18" ht="15" customHeight="1">
      <c r="B169" s="138"/>
      <c r="C169" s="138"/>
      <c r="D169" s="139"/>
      <c r="E169" s="140"/>
      <c r="F169" s="140"/>
      <c r="G169" s="140"/>
      <c r="H169" s="140"/>
      <c r="I169" s="140"/>
      <c r="J169" s="140"/>
      <c r="K169" s="140"/>
      <c r="L169" s="140"/>
      <c r="R169" s="140"/>
    </row>
    <row r="170" spans="2:18" ht="15" customHeight="1">
      <c r="B170" s="138"/>
      <c r="C170" s="138"/>
      <c r="D170" s="139"/>
      <c r="E170" s="140"/>
      <c r="F170" s="140"/>
      <c r="G170" s="140"/>
      <c r="H170" s="140"/>
      <c r="I170" s="140"/>
      <c r="J170" s="140"/>
      <c r="K170" s="140"/>
      <c r="L170" s="140"/>
      <c r="R170" s="140"/>
    </row>
    <row r="171" spans="2:18" ht="15" customHeight="1">
      <c r="B171" s="138"/>
      <c r="C171" s="138"/>
      <c r="D171" s="139"/>
      <c r="E171" s="140"/>
      <c r="F171" s="140"/>
      <c r="G171" s="140"/>
      <c r="H171" s="140"/>
      <c r="I171" s="140"/>
      <c r="J171" s="140"/>
      <c r="K171" s="140"/>
      <c r="L171" s="140"/>
      <c r="R171" s="140"/>
    </row>
    <row r="172" spans="2:18" ht="15" customHeight="1">
      <c r="B172" s="138"/>
      <c r="C172" s="138"/>
      <c r="D172" s="139"/>
      <c r="E172" s="140"/>
      <c r="F172" s="140"/>
      <c r="G172" s="140"/>
      <c r="H172" s="140"/>
      <c r="I172" s="140"/>
      <c r="J172" s="140"/>
      <c r="K172" s="140"/>
      <c r="L172" s="140"/>
      <c r="R172" s="140"/>
    </row>
    <row r="173" spans="2:18" ht="15" customHeight="1">
      <c r="B173" s="138"/>
      <c r="C173" s="138"/>
      <c r="D173" s="139"/>
      <c r="E173" s="140"/>
      <c r="F173" s="140"/>
      <c r="G173" s="140"/>
      <c r="H173" s="140"/>
      <c r="I173" s="140"/>
      <c r="J173" s="140"/>
      <c r="K173" s="140"/>
      <c r="L173" s="140"/>
      <c r="R173" s="140"/>
    </row>
  </sheetData>
  <mergeCells count="6">
    <mergeCell ref="L11:Q11"/>
    <mergeCell ref="E11:J11"/>
    <mergeCell ref="K1:M1"/>
    <mergeCell ref="L7:M7"/>
    <mergeCell ref="E10:J10"/>
    <mergeCell ref="L10:Q10"/>
  </mergeCells>
  <printOptions horizontalCentered="1"/>
  <pageMargins left="0.39370078740157483" right="0.39370078740157483" top="0.51181102362204722" bottom="0.39370078740157483" header="0.31496062992125984" footer="0.31496062992125984"/>
  <pageSetup paperSize="9" scale="75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73"/>
  <sheetViews>
    <sheetView tabSelected="1" view="pageBreakPreview" zoomScale="73" zoomScaleNormal="84" zoomScaleSheetLayoutView="73" workbookViewId="0">
      <selection activeCell="M12" sqref="M12"/>
    </sheetView>
  </sheetViews>
  <sheetFormatPr defaultColWidth="7.140625" defaultRowHeight="13.5"/>
  <cols>
    <col min="1" max="1" width="1.7109375" style="116" customWidth="1"/>
    <col min="2" max="2" width="12.85546875" style="116" customWidth="1"/>
    <col min="3" max="3" width="7.28515625" style="116" customWidth="1"/>
    <col min="4" max="4" width="10.7109375" style="116" customWidth="1"/>
    <col min="5" max="10" width="14.85546875" style="116" customWidth="1"/>
    <col min="11" max="11" width="1.5703125" style="116" customWidth="1"/>
    <col min="12" max="12" width="1.7109375" style="116" customWidth="1"/>
    <col min="13" max="16384" width="7.140625" style="116"/>
  </cols>
  <sheetData>
    <row r="1" spans="1:12" s="1" customFormat="1" ht="15" customHeight="1">
      <c r="B1" s="2"/>
      <c r="C1" s="2"/>
      <c r="D1" s="3"/>
      <c r="E1" s="201"/>
      <c r="F1" s="201"/>
      <c r="G1" s="201"/>
      <c r="H1" s="201"/>
      <c r="I1" s="201"/>
      <c r="J1" s="201"/>
      <c r="K1" s="269"/>
    </row>
    <row r="2" spans="1:12" s="1" customFormat="1">
      <c r="B2" s="2"/>
      <c r="C2" s="2"/>
      <c r="D2" s="3"/>
      <c r="E2" s="201"/>
      <c r="F2" s="201"/>
      <c r="G2" s="201"/>
      <c r="H2" s="201"/>
      <c r="I2" s="201"/>
      <c r="J2" s="201"/>
      <c r="K2" s="201"/>
      <c r="L2" s="269" t="s">
        <v>7</v>
      </c>
    </row>
    <row r="3" spans="1:12" s="1" customFormat="1">
      <c r="B3" s="2"/>
      <c r="C3" s="2"/>
      <c r="D3" s="3"/>
      <c r="E3" s="201"/>
      <c r="F3" s="201"/>
      <c r="G3" s="201"/>
      <c r="H3" s="201"/>
      <c r="I3" s="201"/>
      <c r="J3" s="201"/>
      <c r="K3" s="201"/>
      <c r="L3" s="5" t="s">
        <v>55</v>
      </c>
    </row>
    <row r="4" spans="1:12" s="1" customFormat="1">
      <c r="B4" s="7"/>
      <c r="C4" s="7"/>
      <c r="D4" s="3"/>
    </row>
    <row r="5" spans="1:12" ht="15" customHeight="1">
      <c r="B5" s="8" t="s">
        <v>120</v>
      </c>
      <c r="C5" s="9" t="s">
        <v>144</v>
      </c>
      <c r="D5" s="117"/>
      <c r="E5" s="118"/>
      <c r="F5" s="118"/>
      <c r="G5" s="118"/>
      <c r="H5" s="118"/>
      <c r="I5" s="118"/>
      <c r="J5" s="118"/>
      <c r="K5" s="118"/>
      <c r="L5" s="118"/>
    </row>
    <row r="6" spans="1:12" ht="15" customHeight="1">
      <c r="B6" s="12" t="s">
        <v>121</v>
      </c>
      <c r="C6" s="13" t="s">
        <v>145</v>
      </c>
      <c r="D6" s="114"/>
      <c r="E6" s="115"/>
      <c r="F6" s="115"/>
      <c r="G6" s="115"/>
      <c r="H6" s="115"/>
      <c r="I6" s="115"/>
      <c r="J6" s="115"/>
      <c r="K6" s="115"/>
      <c r="L6" s="115"/>
    </row>
    <row r="7" spans="1:12" ht="8.1" customHeight="1">
      <c r="B7" s="112"/>
      <c r="C7" s="113"/>
      <c r="D7" s="114"/>
      <c r="E7" s="115"/>
      <c r="F7" s="115"/>
      <c r="G7" s="115"/>
      <c r="H7" s="115"/>
      <c r="I7" s="115"/>
      <c r="J7" s="115"/>
      <c r="K7" s="115"/>
      <c r="L7" s="115"/>
    </row>
    <row r="8" spans="1:12" s="257" customFormat="1" ht="15.95" customHeight="1" thickBot="1">
      <c r="B8" s="116" t="s">
        <v>122</v>
      </c>
      <c r="D8" s="258"/>
      <c r="E8" s="259"/>
      <c r="F8" s="259"/>
      <c r="G8" s="259"/>
      <c r="H8" s="259"/>
      <c r="I8" s="259"/>
      <c r="J8" s="259"/>
      <c r="K8" s="259"/>
      <c r="L8" s="282"/>
    </row>
    <row r="9" spans="1:12" ht="8.1" customHeight="1" thickTop="1">
      <c r="A9" s="119"/>
      <c r="B9" s="120"/>
      <c r="C9" s="121"/>
      <c r="D9" s="122"/>
      <c r="E9" s="123"/>
      <c r="F9" s="123"/>
      <c r="G9" s="123"/>
      <c r="H9" s="123"/>
      <c r="I9" s="123"/>
      <c r="J9" s="123"/>
      <c r="K9" s="123"/>
      <c r="L9" s="197"/>
    </row>
    <row r="10" spans="1:12" ht="15" customHeight="1">
      <c r="A10" s="124"/>
      <c r="B10" s="125" t="s">
        <v>90</v>
      </c>
      <c r="C10" s="126"/>
      <c r="D10" s="268" t="s">
        <v>91</v>
      </c>
      <c r="E10" s="292" t="s">
        <v>0</v>
      </c>
      <c r="F10" s="292"/>
      <c r="G10" s="292"/>
      <c r="H10" s="292"/>
      <c r="I10" s="292"/>
      <c r="J10" s="292"/>
      <c r="K10" s="268"/>
      <c r="L10" s="268"/>
    </row>
    <row r="11" spans="1:12" ht="15" customHeight="1">
      <c r="A11" s="124"/>
      <c r="B11" s="129" t="s">
        <v>92</v>
      </c>
      <c r="C11" s="126"/>
      <c r="D11" s="130" t="s">
        <v>93</v>
      </c>
      <c r="E11" s="293" t="s">
        <v>1</v>
      </c>
      <c r="F11" s="293"/>
      <c r="G11" s="293"/>
      <c r="H11" s="293"/>
      <c r="I11" s="293"/>
      <c r="J11" s="293"/>
      <c r="K11" s="270"/>
      <c r="L11" s="270"/>
    </row>
    <row r="12" spans="1:12" ht="15" customHeight="1">
      <c r="A12" s="124"/>
      <c r="B12" s="125"/>
      <c r="C12" s="126"/>
      <c r="D12" s="268"/>
      <c r="E12" s="172"/>
      <c r="F12" s="172"/>
      <c r="G12" s="192"/>
      <c r="H12" s="192"/>
      <c r="I12" s="192"/>
      <c r="J12" s="192"/>
      <c r="K12" s="192"/>
      <c r="L12" s="192"/>
    </row>
    <row r="13" spans="1:12" ht="15" customHeight="1">
      <c r="A13" s="124"/>
      <c r="B13" s="125"/>
      <c r="C13" s="126"/>
      <c r="D13" s="268"/>
      <c r="E13" s="278" t="s">
        <v>112</v>
      </c>
      <c r="F13" s="278" t="s">
        <v>113</v>
      </c>
      <c r="G13" s="278" t="s">
        <v>114</v>
      </c>
      <c r="H13" s="278" t="s">
        <v>115</v>
      </c>
      <c r="I13" s="278" t="s">
        <v>116</v>
      </c>
      <c r="J13" s="278" t="s">
        <v>132</v>
      </c>
      <c r="K13" s="278"/>
      <c r="L13" s="230"/>
    </row>
    <row r="14" spans="1:12" ht="8.1" customHeight="1">
      <c r="A14" s="135"/>
      <c r="B14" s="136"/>
      <c r="C14" s="135"/>
      <c r="D14" s="135"/>
      <c r="E14" s="137"/>
      <c r="F14" s="137"/>
      <c r="G14" s="137"/>
      <c r="H14" s="137"/>
      <c r="I14" s="137"/>
      <c r="J14" s="137"/>
      <c r="K14" s="137"/>
      <c r="L14" s="137"/>
    </row>
    <row r="15" spans="1:12" ht="8.1" customHeight="1">
      <c r="A15" s="138"/>
      <c r="B15" s="138"/>
      <c r="C15" s="138"/>
      <c r="D15" s="146"/>
      <c r="E15" s="140"/>
      <c r="F15" s="140"/>
      <c r="G15" s="140"/>
      <c r="H15" s="141"/>
      <c r="I15" s="142"/>
      <c r="J15" s="142"/>
      <c r="K15" s="142"/>
      <c r="L15" s="142"/>
    </row>
    <row r="16" spans="1:12" ht="15" customHeight="1">
      <c r="B16" s="144" t="s">
        <v>107</v>
      </c>
      <c r="C16" s="145"/>
      <c r="D16" s="147">
        <v>2021</v>
      </c>
      <c r="E16" s="211">
        <f>SUM('7.4 (P)'!E16,'7.4 (P)'!L16,'7.4 (P) (2)'!E16,'7.4 (P) (2)'!L16,'7.4 (P) (3)'!E16,'7.4 (P) (3)'!L16)</f>
        <v>1105</v>
      </c>
      <c r="F16" s="211">
        <f>SUM('7.4 (P)'!F16,'7.4 (P)'!M16,'7.4 (P) (2)'!F16,'7.4 (P) (2)'!M16,'7.4 (P) (3)'!F16,'7.4 (P) (3)'!M16)</f>
        <v>4717</v>
      </c>
      <c r="G16" s="211">
        <f>SUM('7.4 (P)'!G16,'7.4 (P)'!N16,'7.4 (P) (2)'!G16,'7.4 (P) (2)'!N16,'7.4 (P) (3)'!G16,'7.4 (P) (3)'!N16)</f>
        <v>3460</v>
      </c>
      <c r="H16" s="211">
        <f>SUM('7.4 (P)'!H16,'7.4 (P)'!O16,'7.4 (P) (2)'!H16,'7.4 (P) (2)'!O16,'7.4 (P) (3)'!H16,'7.4 (P) (3)'!O16)</f>
        <v>2079</v>
      </c>
      <c r="I16" s="211">
        <f>SUM('7.4 (P)'!I16,'7.4 (P)'!P16,'7.4 (P) (2)'!I16,'7.4 (P) (2)'!P16,'7.4 (P) (3)'!I16,'7.4 (P) (3)'!P16)</f>
        <v>1067</v>
      </c>
      <c r="J16" s="211">
        <f>SUM('7.4 (P)'!J16,'7.4 (P)'!Q16,'7.4 (P) (2)'!J16,'7.4 (P) (2)'!Q16,'7.4 (P) (3)'!J16,'7.4 (P) (3)'!Q16)</f>
        <v>567</v>
      </c>
      <c r="K16" s="211"/>
      <c r="L16" s="211"/>
    </row>
    <row r="17" spans="2:12" ht="15" customHeight="1">
      <c r="B17" s="145"/>
      <c r="C17" s="145"/>
      <c r="D17" s="146">
        <v>2022</v>
      </c>
      <c r="E17" s="211">
        <f>SUM('7.4 (P)'!E17,'7.4 (P)'!L17,'7.4 (P) (2)'!E17,'7.4 (P) (2)'!L17,'7.4 (P) (3)'!E17,'7.4 (P) (3)'!L17)</f>
        <v>935</v>
      </c>
      <c r="F17" s="211">
        <f>SUM('7.4 (P)'!F17,'7.4 (P)'!M17,'7.4 (P) (2)'!F17,'7.4 (P) (2)'!M17,'7.4 (P) (3)'!F17,'7.4 (P) (3)'!M17)</f>
        <v>4941</v>
      </c>
      <c r="G17" s="211">
        <f>SUM('7.4 (P)'!G17,'7.4 (P)'!N17,'7.4 (P) (2)'!G17,'7.4 (P) (2)'!N17,'7.4 (P) (3)'!G17,'7.4 (P) (3)'!N17)</f>
        <v>4058</v>
      </c>
      <c r="H17" s="211">
        <f>SUM('7.4 (P)'!H17,'7.4 (P)'!O17,'7.4 (P) (2)'!H17,'7.4 (P) (2)'!O17,'7.4 (P) (3)'!H17,'7.4 (P) (3)'!O17)</f>
        <v>2496</v>
      </c>
      <c r="I17" s="211">
        <f>SUM('7.4 (P)'!I17,'7.4 (P)'!P17,'7.4 (P) (2)'!I17,'7.4 (P) (2)'!P17,'7.4 (P) (3)'!I17,'7.4 (P) (3)'!P17)</f>
        <v>1290</v>
      </c>
      <c r="J17" s="211">
        <f>SUM('7.4 (P)'!J17,'7.4 (P)'!Q17,'7.4 (P) (2)'!J17,'7.4 (P) (2)'!Q17,'7.4 (P) (3)'!J17,'7.4 (P) (3)'!Q17)</f>
        <v>621</v>
      </c>
      <c r="K17" s="211"/>
      <c r="L17" s="211"/>
    </row>
    <row r="18" spans="2:12" ht="15" customHeight="1">
      <c r="B18" s="145"/>
      <c r="C18" s="145"/>
      <c r="D18" s="146">
        <v>2023</v>
      </c>
      <c r="E18" s="211">
        <f>SUM('7.4 (P)'!E18,'7.4 (P)'!L18,'7.4 (P) (2)'!E18,'7.4 (P) (2)'!L18,'7.4 (P) (3)'!E18,'7.4 (P) (3)'!L18)</f>
        <v>1097</v>
      </c>
      <c r="F18" s="211">
        <f>SUM('7.4 (P)'!F18,'7.4 (P)'!M18,'7.4 (P) (2)'!F18,'7.4 (P) (2)'!M18,'7.4 (P) (3)'!F18,'7.4 (P) (3)'!M18)</f>
        <v>5763</v>
      </c>
      <c r="G18" s="211">
        <f>SUM('7.4 (P)'!G18,'7.4 (P)'!N18,'7.4 (P) (2)'!G18,'7.4 (P) (2)'!N18,'7.4 (P) (3)'!G18,'7.4 (P) (3)'!N18)</f>
        <v>4885</v>
      </c>
      <c r="H18" s="211">
        <f>SUM('7.4 (P)'!H18,'7.4 (P)'!O18,'7.4 (P) (2)'!H18,'7.4 (P) (2)'!O18,'7.4 (P) (3)'!H18,'7.4 (P) (3)'!O18)</f>
        <v>3249</v>
      </c>
      <c r="I18" s="211">
        <f>SUM('7.4 (P)'!I18,'7.4 (P)'!P18,'7.4 (P) (2)'!I18,'7.4 (P) (2)'!P18,'7.4 (P) (3)'!I18,'7.4 (P) (3)'!P18)</f>
        <v>1915</v>
      </c>
      <c r="J18" s="211">
        <f>SUM('7.4 (P)'!J18,'7.4 (P)'!Q18,'7.4 (P) (2)'!J18,'7.4 (P) (2)'!Q18,'7.4 (P) (3)'!J18,'7.4 (P) (3)'!Q18)</f>
        <v>1190</v>
      </c>
      <c r="K18" s="211"/>
      <c r="L18" s="211"/>
    </row>
    <row r="19" spans="2:12" ht="8.1" customHeight="1">
      <c r="B19" s="145"/>
      <c r="C19" s="148"/>
      <c r="D19" s="149"/>
      <c r="E19" s="179"/>
      <c r="F19" s="184"/>
      <c r="G19" s="184"/>
      <c r="H19" s="184"/>
      <c r="I19" s="184"/>
      <c r="J19" s="184"/>
      <c r="K19" s="184"/>
      <c r="L19" s="184"/>
    </row>
    <row r="20" spans="2:12" ht="15" customHeight="1">
      <c r="B20" s="151" t="s">
        <v>94</v>
      </c>
      <c r="C20" s="152"/>
      <c r="D20" s="149">
        <v>2021</v>
      </c>
      <c r="E20" s="211">
        <f>SUM('7.4 (P)'!E20,'7.4 (P)'!L20,'7.4 (P) (2)'!E20,'7.4 (P) (2)'!L20,'7.4 (P) (3)'!E20,'7.4 (P) (3)'!L20)</f>
        <v>105</v>
      </c>
      <c r="F20" s="211">
        <f>SUM('7.4 (P)'!F20,'7.4 (P)'!M20,'7.4 (P) (2)'!F20,'7.4 (P) (2)'!M20,'7.4 (P) (3)'!F20,'7.4 (P) (3)'!M20)</f>
        <v>421</v>
      </c>
      <c r="G20" s="211">
        <f>SUM('7.4 (P)'!G20,'7.4 (P)'!N20,'7.4 (P) (2)'!G20,'7.4 (P) (2)'!N20,'7.4 (P) (3)'!G20,'7.4 (P) (3)'!N20)</f>
        <v>344</v>
      </c>
      <c r="H20" s="211">
        <f>SUM('7.4 (P)'!H20,'7.4 (P)'!O20,'7.4 (P) (2)'!H20,'7.4 (P) (2)'!O20,'7.4 (P) (3)'!H20,'7.4 (P) (3)'!O20)</f>
        <v>212</v>
      </c>
      <c r="I20" s="211">
        <f>SUM('7.4 (P)'!I20,'7.4 (P)'!P20,'7.4 (P) (2)'!I20,'7.4 (P) (2)'!P20,'7.4 (P) (3)'!I20,'7.4 (P) (3)'!P20)</f>
        <v>107</v>
      </c>
      <c r="J20" s="211">
        <f>SUM('7.4 (P)'!J20,'7.4 (P)'!Q20,'7.4 (P) (2)'!J20,'7.4 (P) (2)'!Q20,'7.4 (P) (3)'!J20,'7.4 (P) (3)'!Q20)</f>
        <v>68</v>
      </c>
      <c r="K20" s="223"/>
      <c r="L20" s="222"/>
    </row>
    <row r="21" spans="2:12" ht="15" customHeight="1">
      <c r="B21" s="153"/>
      <c r="C21" s="152"/>
      <c r="D21" s="149">
        <v>2022</v>
      </c>
      <c r="E21" s="211">
        <f>SUM('7.4 (P)'!E21,'7.4 (P)'!L21,'7.4 (P) (2)'!E21,'7.4 (P) (2)'!L21,'7.4 (P) (3)'!E21,'7.4 (P) (3)'!L21)</f>
        <v>78</v>
      </c>
      <c r="F21" s="211">
        <f>SUM('7.4 (P)'!F21,'7.4 (P)'!M21,'7.4 (P) (2)'!F21,'7.4 (P) (2)'!M21,'7.4 (P) (3)'!F21,'7.4 (P) (3)'!M21)</f>
        <v>445</v>
      </c>
      <c r="G21" s="211">
        <f>SUM('7.4 (P)'!G21,'7.4 (P)'!N21,'7.4 (P) (2)'!G21,'7.4 (P) (2)'!N21,'7.4 (P) (3)'!G21,'7.4 (P) (3)'!N21)</f>
        <v>366</v>
      </c>
      <c r="H21" s="211">
        <f>SUM('7.4 (P)'!H21,'7.4 (P)'!O21,'7.4 (P) (2)'!H21,'7.4 (P) (2)'!O21,'7.4 (P) (3)'!H21,'7.4 (P) (3)'!O21)</f>
        <v>255</v>
      </c>
      <c r="I21" s="211">
        <f>SUM('7.4 (P)'!I21,'7.4 (P)'!P21,'7.4 (P) (2)'!I21,'7.4 (P) (2)'!P21,'7.4 (P) (3)'!I21,'7.4 (P) (3)'!P21)</f>
        <v>139</v>
      </c>
      <c r="J21" s="211">
        <f>SUM('7.4 (P)'!J21,'7.4 (P)'!Q21,'7.4 (P) (2)'!J21,'7.4 (P) (2)'!Q21,'7.4 (P) (3)'!J21,'7.4 (P) (3)'!Q21)</f>
        <v>65</v>
      </c>
      <c r="K21" s="223"/>
      <c r="L21" s="222"/>
    </row>
    <row r="22" spans="2:12" ht="15" customHeight="1">
      <c r="B22" s="153"/>
      <c r="C22" s="152"/>
      <c r="D22" s="149">
        <v>2023</v>
      </c>
      <c r="E22" s="211">
        <f>SUM('7.4 (P)'!E22,'7.4 (P)'!L22,'7.4 (P) (2)'!E22,'7.4 (P) (2)'!L22,'7.4 (P) (3)'!E22,'7.4 (P) (3)'!L22)</f>
        <v>117</v>
      </c>
      <c r="F22" s="211">
        <f>SUM('7.4 (P)'!F22,'7.4 (P)'!M22,'7.4 (P) (2)'!F22,'7.4 (P) (2)'!M22,'7.4 (P) (3)'!F22,'7.4 (P) (3)'!M22)</f>
        <v>635</v>
      </c>
      <c r="G22" s="211">
        <f>SUM('7.4 (P)'!G22,'7.4 (P)'!N22,'7.4 (P) (2)'!G22,'7.4 (P) (2)'!N22,'7.4 (P) (3)'!G22,'7.4 (P) (3)'!N22)</f>
        <v>498</v>
      </c>
      <c r="H22" s="211">
        <f>SUM('7.4 (P)'!H22,'7.4 (P)'!O22,'7.4 (P) (2)'!H22,'7.4 (P) (2)'!O22,'7.4 (P) (3)'!H22,'7.4 (P) (3)'!O22)</f>
        <v>367</v>
      </c>
      <c r="I22" s="211">
        <f>SUM('7.4 (P)'!I22,'7.4 (P)'!P22,'7.4 (P) (2)'!I22,'7.4 (P) (2)'!P22,'7.4 (P) (3)'!I22,'7.4 (P) (3)'!P22)</f>
        <v>220</v>
      </c>
      <c r="J22" s="211">
        <f>SUM('7.4 (P)'!J22,'7.4 (P)'!Q22,'7.4 (P) (2)'!J22,'7.4 (P) (2)'!Q22,'7.4 (P) (3)'!J22,'7.4 (P) (3)'!Q22)</f>
        <v>119</v>
      </c>
      <c r="K22" s="223"/>
      <c r="L22" s="222"/>
    </row>
    <row r="23" spans="2:12" ht="8.1" customHeight="1">
      <c r="B23" s="153"/>
      <c r="C23" s="154"/>
      <c r="D23" s="149"/>
      <c r="E23" s="150"/>
      <c r="F23" s="203"/>
      <c r="G23" s="203"/>
      <c r="H23" s="203"/>
      <c r="I23" s="203"/>
      <c r="J23" s="203"/>
      <c r="K23" s="203"/>
      <c r="L23" s="203"/>
    </row>
    <row r="24" spans="2:12" ht="15" customHeight="1">
      <c r="B24" s="151" t="s">
        <v>95</v>
      </c>
      <c r="C24" s="152"/>
      <c r="D24" s="149">
        <v>2021</v>
      </c>
      <c r="E24" s="211">
        <f>SUM('7.4 (P)'!E24,'7.4 (P)'!L24,'7.4 (P) (2)'!E24,'7.4 (P) (2)'!L24,'7.4 (P) (3)'!E24,'7.4 (P) (3)'!L24)</f>
        <v>78</v>
      </c>
      <c r="F24" s="211">
        <f>SUM('7.4 (P)'!F24,'7.4 (P)'!M24,'7.4 (P) (2)'!F24,'7.4 (P) (2)'!M24,'7.4 (P) (3)'!F24,'7.4 (P) (3)'!M24)</f>
        <v>301</v>
      </c>
      <c r="G24" s="211">
        <f>SUM('7.4 (P)'!G24,'7.4 (P)'!N24,'7.4 (P) (2)'!G24,'7.4 (P) (2)'!N24,'7.4 (P) (3)'!G24,'7.4 (P) (3)'!N24)</f>
        <v>211</v>
      </c>
      <c r="H24" s="211">
        <f>SUM('7.4 (P)'!H24,'7.4 (P)'!O24,'7.4 (P) (2)'!H24,'7.4 (P) (2)'!O24,'7.4 (P) (3)'!H24,'7.4 (P) (3)'!O24)</f>
        <v>137</v>
      </c>
      <c r="I24" s="211">
        <f>SUM('7.4 (P)'!I24,'7.4 (P)'!P24,'7.4 (P) (2)'!I24,'7.4 (P) (2)'!P24,'7.4 (P) (3)'!I24,'7.4 (P) (3)'!P24)</f>
        <v>70</v>
      </c>
      <c r="J24" s="211">
        <f>SUM('7.4 (P)'!J24,'7.4 (P)'!Q24,'7.4 (P) (2)'!J24,'7.4 (P) (2)'!Q24,'7.4 (P) (3)'!J24,'7.4 (P) (3)'!Q24)</f>
        <v>28</v>
      </c>
      <c r="K24" s="182"/>
      <c r="L24" s="222"/>
    </row>
    <row r="25" spans="2:12" ht="15" customHeight="1">
      <c r="B25" s="151"/>
      <c r="C25" s="152"/>
      <c r="D25" s="149">
        <v>2022</v>
      </c>
      <c r="E25" s="211">
        <f>SUM('7.4 (P)'!E25,'7.4 (P)'!L25,'7.4 (P) (2)'!E25,'7.4 (P) (2)'!L25,'7.4 (P) (3)'!E25,'7.4 (P) (3)'!L25)</f>
        <v>71</v>
      </c>
      <c r="F25" s="211">
        <f>SUM('7.4 (P)'!F25,'7.4 (P)'!M25,'7.4 (P) (2)'!F25,'7.4 (P) (2)'!M25,'7.4 (P) (3)'!F25,'7.4 (P) (3)'!M25)</f>
        <v>309</v>
      </c>
      <c r="G25" s="211">
        <f>SUM('7.4 (P)'!G25,'7.4 (P)'!N25,'7.4 (P) (2)'!G25,'7.4 (P) (2)'!N25,'7.4 (P) (3)'!G25,'7.4 (P) (3)'!N25)</f>
        <v>236</v>
      </c>
      <c r="H25" s="211">
        <f>SUM('7.4 (P)'!H25,'7.4 (P)'!O25,'7.4 (P) (2)'!H25,'7.4 (P) (2)'!O25,'7.4 (P) (3)'!H25,'7.4 (P) (3)'!O25)</f>
        <v>156</v>
      </c>
      <c r="I25" s="211">
        <f>SUM('7.4 (P)'!I25,'7.4 (P)'!P25,'7.4 (P) (2)'!I25,'7.4 (P) (2)'!P25,'7.4 (P) (3)'!I25,'7.4 (P) (3)'!P25)</f>
        <v>70</v>
      </c>
      <c r="J25" s="211">
        <f>SUM('7.4 (P)'!J25,'7.4 (P)'!Q25,'7.4 (P) (2)'!J25,'7.4 (P) (2)'!Q25,'7.4 (P) (3)'!J25,'7.4 (P) (3)'!Q25)</f>
        <v>32</v>
      </c>
      <c r="K25" s="182"/>
      <c r="L25" s="222"/>
    </row>
    <row r="26" spans="2:12" ht="15" customHeight="1">
      <c r="B26" s="151"/>
      <c r="C26" s="152"/>
      <c r="D26" s="149">
        <v>2023</v>
      </c>
      <c r="E26" s="211">
        <f>SUM('7.4 (P)'!E26,'7.4 (P)'!L26,'7.4 (P) (2)'!E26,'7.4 (P) (2)'!L26,'7.4 (P) (3)'!E26,'7.4 (P) (3)'!L26)</f>
        <v>60</v>
      </c>
      <c r="F26" s="211">
        <f>SUM('7.4 (P)'!F26,'7.4 (P)'!M26,'7.4 (P) (2)'!F26,'7.4 (P) (2)'!M26,'7.4 (P) (3)'!F26,'7.4 (P) (3)'!M26)</f>
        <v>340</v>
      </c>
      <c r="G26" s="211">
        <f>SUM('7.4 (P)'!G26,'7.4 (P)'!N26,'7.4 (P) (2)'!G26,'7.4 (P) (2)'!N26,'7.4 (P) (3)'!G26,'7.4 (P) (3)'!N26)</f>
        <v>285</v>
      </c>
      <c r="H26" s="211">
        <f>SUM('7.4 (P)'!H26,'7.4 (P)'!O26,'7.4 (P) (2)'!H26,'7.4 (P) (2)'!O26,'7.4 (P) (3)'!H26,'7.4 (P) (3)'!O26)</f>
        <v>180</v>
      </c>
      <c r="I26" s="211">
        <f>SUM('7.4 (P)'!I26,'7.4 (P)'!P26,'7.4 (P) (2)'!I26,'7.4 (P) (2)'!P26,'7.4 (P) (3)'!I26,'7.4 (P) (3)'!P26)</f>
        <v>101</v>
      </c>
      <c r="J26" s="211">
        <f>SUM('7.4 (P)'!J26,'7.4 (P)'!Q26,'7.4 (P) (2)'!J26,'7.4 (P) (2)'!Q26,'7.4 (P) (3)'!J26,'7.4 (P) (3)'!Q26)</f>
        <v>54</v>
      </c>
      <c r="K26" s="182"/>
      <c r="L26" s="222"/>
    </row>
    <row r="27" spans="2:12" ht="8.1" customHeight="1">
      <c r="B27" s="151"/>
      <c r="C27" s="154"/>
      <c r="D27" s="149"/>
      <c r="E27" s="150"/>
      <c r="F27" s="203"/>
      <c r="G27" s="203"/>
      <c r="H27" s="203"/>
      <c r="I27" s="203"/>
      <c r="J27" s="203"/>
      <c r="K27" s="184"/>
      <c r="L27" s="203"/>
    </row>
    <row r="28" spans="2:12" ht="15" customHeight="1">
      <c r="B28" s="151" t="s">
        <v>96</v>
      </c>
      <c r="C28" s="152"/>
      <c r="D28" s="149">
        <v>2021</v>
      </c>
      <c r="E28" s="211">
        <f>SUM('7.4 (P)'!E28,'7.4 (P)'!L28,'7.4 (P) (2)'!E28,'7.4 (P) (2)'!L28,'7.4 (P) (3)'!E28,'7.4 (P) (3)'!L28)</f>
        <v>56</v>
      </c>
      <c r="F28" s="211">
        <f>SUM('7.4 (P)'!F28,'7.4 (P)'!M28,'7.4 (P) (2)'!F28,'7.4 (P) (2)'!M28,'7.4 (P) (3)'!F28,'7.4 (P) (3)'!M28)</f>
        <v>150</v>
      </c>
      <c r="G28" s="211">
        <f>SUM('7.4 (P)'!G28,'7.4 (P)'!N28,'7.4 (P) (2)'!G28,'7.4 (P) (2)'!N28,'7.4 (P) (3)'!G28,'7.4 (P) (3)'!N28)</f>
        <v>111</v>
      </c>
      <c r="H28" s="211">
        <f>SUM('7.4 (P)'!H28,'7.4 (P)'!O28,'7.4 (P) (2)'!H28,'7.4 (P) (2)'!O28,'7.4 (P) (3)'!H28,'7.4 (P) (3)'!O28)</f>
        <v>58</v>
      </c>
      <c r="I28" s="211">
        <f>SUM('7.4 (P)'!I28,'7.4 (P)'!P28,'7.4 (P) (2)'!I28,'7.4 (P) (2)'!P28,'7.4 (P) (3)'!I28,'7.4 (P) (3)'!P28)</f>
        <v>37</v>
      </c>
      <c r="J28" s="211">
        <f>SUM('7.4 (P)'!J28,'7.4 (P)'!Q28,'7.4 (P) (2)'!J28,'7.4 (P) (2)'!Q28,'7.4 (P) (3)'!J28,'7.4 (P) (3)'!Q28)</f>
        <v>9</v>
      </c>
      <c r="K28" s="182"/>
      <c r="L28" s="222"/>
    </row>
    <row r="29" spans="2:12" ht="15" customHeight="1">
      <c r="B29" s="153"/>
      <c r="C29" s="152"/>
      <c r="D29" s="149">
        <v>2022</v>
      </c>
      <c r="E29" s="211">
        <f>SUM('7.4 (P)'!E29,'7.4 (P)'!L29,'7.4 (P) (2)'!E29,'7.4 (P) (2)'!L29,'7.4 (P) (3)'!E29,'7.4 (P) (3)'!L29)</f>
        <v>50</v>
      </c>
      <c r="F29" s="211">
        <f>SUM('7.4 (P)'!F29,'7.4 (P)'!M29,'7.4 (P) (2)'!F29,'7.4 (P) (2)'!M29,'7.4 (P) (3)'!F29,'7.4 (P) (3)'!M29)</f>
        <v>183</v>
      </c>
      <c r="G29" s="211">
        <f>SUM('7.4 (P)'!G29,'7.4 (P)'!N29,'7.4 (P) (2)'!G29,'7.4 (P) (2)'!N29,'7.4 (P) (3)'!G29,'7.4 (P) (3)'!N29)</f>
        <v>136</v>
      </c>
      <c r="H29" s="211">
        <f>SUM('7.4 (P)'!H29,'7.4 (P)'!O29,'7.4 (P) (2)'!H29,'7.4 (P) (2)'!O29,'7.4 (P) (3)'!H29,'7.4 (P) (3)'!O29)</f>
        <v>83</v>
      </c>
      <c r="I29" s="211">
        <f>SUM('7.4 (P)'!I29,'7.4 (P)'!P29,'7.4 (P) (2)'!I29,'7.4 (P) (2)'!P29,'7.4 (P) (3)'!I29,'7.4 (P) (3)'!P29)</f>
        <v>43</v>
      </c>
      <c r="J29" s="211">
        <f>SUM('7.4 (P)'!J29,'7.4 (P)'!Q29,'7.4 (P) (2)'!J29,'7.4 (P) (2)'!Q29,'7.4 (P) (3)'!J29,'7.4 (P) (3)'!Q29)</f>
        <v>27</v>
      </c>
      <c r="K29" s="182"/>
      <c r="L29" s="222"/>
    </row>
    <row r="30" spans="2:12" ht="15" customHeight="1">
      <c r="B30" s="153"/>
      <c r="C30" s="152"/>
      <c r="D30" s="149">
        <v>2023</v>
      </c>
      <c r="E30" s="211">
        <f>SUM('7.4 (P)'!E30,'7.4 (P)'!L30,'7.4 (P) (2)'!E30,'7.4 (P) (2)'!L30,'7.4 (P) (3)'!E30,'7.4 (P) (3)'!L30)</f>
        <v>25</v>
      </c>
      <c r="F30" s="211">
        <f>SUM('7.4 (P)'!F30,'7.4 (P)'!M30,'7.4 (P) (2)'!F30,'7.4 (P) (2)'!M30,'7.4 (P) (3)'!F30,'7.4 (P) (3)'!M30)</f>
        <v>167</v>
      </c>
      <c r="G30" s="211">
        <f>SUM('7.4 (P)'!G30,'7.4 (P)'!N30,'7.4 (P) (2)'!G30,'7.4 (P) (2)'!N30,'7.4 (P) (3)'!G30,'7.4 (P) (3)'!N30)</f>
        <v>134</v>
      </c>
      <c r="H30" s="211">
        <f>SUM('7.4 (P)'!H30,'7.4 (P)'!O30,'7.4 (P) (2)'!H30,'7.4 (P) (2)'!O30,'7.4 (P) (3)'!H30,'7.4 (P) (3)'!O30)</f>
        <v>75</v>
      </c>
      <c r="I30" s="211">
        <f>SUM('7.4 (P)'!I30,'7.4 (P)'!P30,'7.4 (P) (2)'!I30,'7.4 (P) (2)'!P30,'7.4 (P) (3)'!I30,'7.4 (P) (3)'!P30)</f>
        <v>52</v>
      </c>
      <c r="J30" s="211">
        <f>SUM('7.4 (P)'!J30,'7.4 (P)'!Q30,'7.4 (P) (2)'!J30,'7.4 (P) (2)'!Q30,'7.4 (P) (3)'!J30,'7.4 (P) (3)'!Q30)</f>
        <v>45</v>
      </c>
      <c r="K30" s="182"/>
      <c r="L30" s="222"/>
    </row>
    <row r="31" spans="2:12" ht="8.1" customHeight="1">
      <c r="B31" s="153"/>
      <c r="C31" s="148"/>
      <c r="D31" s="149"/>
      <c r="E31" s="150"/>
      <c r="F31" s="203"/>
      <c r="G31" s="203"/>
      <c r="H31" s="203"/>
      <c r="I31" s="203"/>
      <c r="J31" s="203"/>
      <c r="K31" s="184"/>
      <c r="L31" s="203"/>
    </row>
    <row r="32" spans="2:12" ht="15" customHeight="1">
      <c r="B32" s="151" t="s">
        <v>97</v>
      </c>
      <c r="C32" s="152"/>
      <c r="D32" s="149">
        <v>2021</v>
      </c>
      <c r="E32" s="211">
        <f>SUM('7.4 (P)'!E32,'7.4 (P)'!L32,'7.4 (P) (2)'!E32,'7.4 (P) (2)'!L32,'7.4 (P) (3)'!E32,'7.4 (P) (3)'!L32)</f>
        <v>52</v>
      </c>
      <c r="F32" s="211">
        <f>SUM('7.4 (P)'!F32,'7.4 (P)'!M32,'7.4 (P) (2)'!F32,'7.4 (P) (2)'!M32,'7.4 (P) (3)'!F32,'7.4 (P) (3)'!M32)</f>
        <v>203</v>
      </c>
      <c r="G32" s="211">
        <f>SUM('7.4 (P)'!G32,'7.4 (P)'!N32,'7.4 (P) (2)'!G32,'7.4 (P) (2)'!N32,'7.4 (P) (3)'!G32,'7.4 (P) (3)'!N32)</f>
        <v>150</v>
      </c>
      <c r="H32" s="211">
        <f>SUM('7.4 (P)'!H32,'7.4 (P)'!O32,'7.4 (P) (2)'!H32,'7.4 (P) (2)'!O32,'7.4 (P) (3)'!H32,'7.4 (P) (3)'!O32)</f>
        <v>96</v>
      </c>
      <c r="I32" s="211">
        <f>SUM('7.4 (P)'!I32,'7.4 (P)'!P32,'7.4 (P) (2)'!I32,'7.4 (P) (2)'!P32,'7.4 (P) (3)'!I32,'7.4 (P) (3)'!P32)</f>
        <v>44</v>
      </c>
      <c r="J32" s="211">
        <f>SUM('7.4 (P)'!J32,'7.4 (P)'!Q32,'7.4 (P) (2)'!J32,'7.4 (P) (2)'!Q32,'7.4 (P) (3)'!J32,'7.4 (P) (3)'!Q32)</f>
        <v>28</v>
      </c>
      <c r="K32" s="182"/>
      <c r="L32" s="222"/>
    </row>
    <row r="33" spans="2:12" ht="15" customHeight="1">
      <c r="B33" s="153"/>
      <c r="C33" s="152"/>
      <c r="D33" s="149">
        <v>2022</v>
      </c>
      <c r="E33" s="211">
        <f>SUM('7.4 (P)'!E33,'7.4 (P)'!L33,'7.4 (P) (2)'!E33,'7.4 (P) (2)'!L33,'7.4 (P) (3)'!E33,'7.4 (P) (3)'!L33)</f>
        <v>43</v>
      </c>
      <c r="F33" s="211">
        <f>SUM('7.4 (P)'!F33,'7.4 (P)'!M33,'7.4 (P) (2)'!F33,'7.4 (P) (2)'!M33,'7.4 (P) (3)'!F33,'7.4 (P) (3)'!M33)</f>
        <v>261</v>
      </c>
      <c r="G33" s="211">
        <f>SUM('7.4 (P)'!G33,'7.4 (P)'!N33,'7.4 (P) (2)'!G33,'7.4 (P) (2)'!N33,'7.4 (P) (3)'!G33,'7.4 (P) (3)'!N33)</f>
        <v>204</v>
      </c>
      <c r="H33" s="211">
        <f>SUM('7.4 (P)'!H33,'7.4 (P)'!O33,'7.4 (P) (2)'!H33,'7.4 (P) (2)'!O33,'7.4 (P) (3)'!H33,'7.4 (P) (3)'!O33)</f>
        <v>126</v>
      </c>
      <c r="I33" s="211">
        <f>SUM('7.4 (P)'!I33,'7.4 (P)'!P33,'7.4 (P) (2)'!I33,'7.4 (P) (2)'!P33,'7.4 (P) (3)'!I33,'7.4 (P) (3)'!P33)</f>
        <v>83</v>
      </c>
      <c r="J33" s="211">
        <f>SUM('7.4 (P)'!J33,'7.4 (P)'!Q33,'7.4 (P) (2)'!J33,'7.4 (P) (2)'!Q33,'7.4 (P) (3)'!J33,'7.4 (P) (3)'!Q33)</f>
        <v>34</v>
      </c>
      <c r="K33" s="223"/>
      <c r="L33" s="222"/>
    </row>
    <row r="34" spans="2:12" ht="15" customHeight="1">
      <c r="B34" s="153"/>
      <c r="C34" s="152"/>
      <c r="D34" s="149">
        <v>2023</v>
      </c>
      <c r="E34" s="211">
        <f>SUM('7.4 (P)'!E34,'7.4 (P)'!L34,'7.4 (P) (2)'!E34,'7.4 (P) (2)'!L34,'7.4 (P) (3)'!E34,'7.4 (P) (3)'!L34)</f>
        <v>43</v>
      </c>
      <c r="F34" s="211">
        <f>SUM('7.4 (P)'!F34,'7.4 (P)'!M34,'7.4 (P) (2)'!F34,'7.4 (P) (2)'!M34,'7.4 (P) (3)'!F34,'7.4 (P) (3)'!M34)</f>
        <v>263</v>
      </c>
      <c r="G34" s="211">
        <f>SUM('7.4 (P)'!G34,'7.4 (P)'!N34,'7.4 (P) (2)'!G34,'7.4 (P) (2)'!N34,'7.4 (P) (3)'!G34,'7.4 (P) (3)'!N34)</f>
        <v>223</v>
      </c>
      <c r="H34" s="211">
        <f>SUM('7.4 (P)'!H34,'7.4 (P)'!O34,'7.4 (P) (2)'!H34,'7.4 (P) (2)'!O34,'7.4 (P) (3)'!H34,'7.4 (P) (3)'!O34)</f>
        <v>116</v>
      </c>
      <c r="I34" s="211">
        <f>SUM('7.4 (P)'!I34,'7.4 (P)'!P34,'7.4 (P) (2)'!I34,'7.4 (P) (2)'!P34,'7.4 (P) (3)'!I34,'7.4 (P) (3)'!P34)</f>
        <v>95</v>
      </c>
      <c r="J34" s="211">
        <f>SUM('7.4 (P)'!J34,'7.4 (P)'!Q34,'7.4 (P) (2)'!J34,'7.4 (P) (2)'!Q34,'7.4 (P) (3)'!J34,'7.4 (P) (3)'!Q34)</f>
        <v>40</v>
      </c>
      <c r="K34" s="223"/>
      <c r="L34" s="222"/>
    </row>
    <row r="35" spans="2:12" ht="8.1" customHeight="1">
      <c r="B35" s="153"/>
      <c r="C35" s="154"/>
      <c r="D35" s="149"/>
      <c r="E35" s="150"/>
      <c r="F35" s="203"/>
      <c r="G35" s="203"/>
      <c r="H35" s="203"/>
      <c r="I35" s="203"/>
      <c r="J35" s="203"/>
      <c r="K35" s="203"/>
      <c r="L35" s="203"/>
    </row>
    <row r="36" spans="2:12" ht="15" customHeight="1">
      <c r="B36" s="151" t="s">
        <v>98</v>
      </c>
      <c r="C36" s="152"/>
      <c r="D36" s="149">
        <v>2021</v>
      </c>
      <c r="E36" s="211">
        <f>SUM('7.4 (P)'!E36,'7.4 (P)'!L36,'7.4 (P) (2)'!E36,'7.4 (P) (2)'!L36,'7.4 (P) (3)'!E36,'7.4 (P) (3)'!L36)</f>
        <v>115</v>
      </c>
      <c r="F36" s="211">
        <f>SUM('7.4 (P)'!F36,'7.4 (P)'!M36,'7.4 (P) (2)'!F36,'7.4 (P) (2)'!M36,'7.4 (P) (3)'!F36,'7.4 (P) (3)'!M36)</f>
        <v>479</v>
      </c>
      <c r="G36" s="211">
        <f>SUM('7.4 (P)'!G36,'7.4 (P)'!N36,'7.4 (P) (2)'!G36,'7.4 (P) (2)'!N36,'7.4 (P) (3)'!G36,'7.4 (P) (3)'!N36)</f>
        <v>335</v>
      </c>
      <c r="H36" s="211">
        <f>SUM('7.4 (P)'!H36,'7.4 (P)'!O36,'7.4 (P) (2)'!H36,'7.4 (P) (2)'!O36,'7.4 (P) (3)'!H36,'7.4 (P) (3)'!O36)</f>
        <v>186</v>
      </c>
      <c r="I36" s="211">
        <f>SUM('7.4 (P)'!I36,'7.4 (P)'!P36,'7.4 (P) (2)'!I36,'7.4 (P) (2)'!P36,'7.4 (P) (3)'!I36,'7.4 (P) (3)'!P36)</f>
        <v>84</v>
      </c>
      <c r="J36" s="211">
        <f>SUM('7.4 (P)'!J36,'7.4 (P)'!Q36,'7.4 (P) (2)'!J36,'7.4 (P) (2)'!Q36,'7.4 (P) (3)'!J36,'7.4 (P) (3)'!Q36)</f>
        <v>39</v>
      </c>
      <c r="K36" s="223"/>
      <c r="L36" s="222"/>
    </row>
    <row r="37" spans="2:12" ht="15" customHeight="1">
      <c r="B37" s="153"/>
      <c r="C37" s="152"/>
      <c r="D37" s="149">
        <v>2022</v>
      </c>
      <c r="E37" s="211">
        <f>SUM('7.4 (P)'!E37,'7.4 (P)'!L37,'7.4 (P) (2)'!E37,'7.4 (P) (2)'!L37,'7.4 (P) (3)'!E37,'7.4 (P) (3)'!L37)</f>
        <v>117</v>
      </c>
      <c r="F37" s="211">
        <f>SUM('7.4 (P)'!F37,'7.4 (P)'!M37,'7.4 (P) (2)'!F37,'7.4 (P) (2)'!M37,'7.4 (P) (3)'!F37,'7.4 (P) (3)'!M37)</f>
        <v>469</v>
      </c>
      <c r="G37" s="211">
        <f>SUM('7.4 (P)'!G37,'7.4 (P)'!N37,'7.4 (P) (2)'!G37,'7.4 (P) (2)'!N37,'7.4 (P) (3)'!G37,'7.4 (P) (3)'!N37)</f>
        <v>401</v>
      </c>
      <c r="H37" s="211">
        <f>SUM('7.4 (P)'!H37,'7.4 (P)'!O37,'7.4 (P) (2)'!H37,'7.4 (P) (2)'!O37,'7.4 (P) (3)'!H37,'7.4 (P) (3)'!O37)</f>
        <v>244</v>
      </c>
      <c r="I37" s="211">
        <f>SUM('7.4 (P)'!I37,'7.4 (P)'!P37,'7.4 (P) (2)'!I37,'7.4 (P) (2)'!P37,'7.4 (P) (3)'!I37,'7.4 (P) (3)'!P37)</f>
        <v>124</v>
      </c>
      <c r="J37" s="211">
        <f>SUM('7.4 (P)'!J37,'7.4 (P)'!Q37,'7.4 (P) (2)'!J37,'7.4 (P) (2)'!Q37,'7.4 (P) (3)'!J37,'7.4 (P) (3)'!Q37)</f>
        <v>61</v>
      </c>
      <c r="K37" s="223"/>
      <c r="L37" s="222"/>
    </row>
    <row r="38" spans="2:12" ht="15" customHeight="1">
      <c r="B38" s="153"/>
      <c r="C38" s="152"/>
      <c r="D38" s="149">
        <v>2023</v>
      </c>
      <c r="E38" s="211">
        <f>SUM('7.4 (P)'!E38,'7.4 (P)'!L38,'7.4 (P) (2)'!E38,'7.4 (P) (2)'!L38,'7.4 (P) (3)'!E38,'7.4 (P) (3)'!L38)</f>
        <v>105</v>
      </c>
      <c r="F38" s="211">
        <f>SUM('7.4 (P)'!F38,'7.4 (P)'!M38,'7.4 (P) (2)'!F38,'7.4 (P) (2)'!M38,'7.4 (P) (3)'!F38,'7.4 (P) (3)'!M38)</f>
        <v>442</v>
      </c>
      <c r="G38" s="211">
        <f>SUM('7.4 (P)'!G38,'7.4 (P)'!N38,'7.4 (P) (2)'!G38,'7.4 (P) (2)'!N38,'7.4 (P) (3)'!G38,'7.4 (P) (3)'!N38)</f>
        <v>383</v>
      </c>
      <c r="H38" s="211">
        <f>SUM('7.4 (P)'!H38,'7.4 (P)'!O38,'7.4 (P) (2)'!H38,'7.4 (P) (2)'!O38,'7.4 (P) (3)'!H38,'7.4 (P) (3)'!O38)</f>
        <v>253</v>
      </c>
      <c r="I38" s="211">
        <f>SUM('7.4 (P)'!I38,'7.4 (P)'!P38,'7.4 (P) (2)'!I38,'7.4 (P) (2)'!P38,'7.4 (P) (3)'!I38,'7.4 (P) (3)'!P38)</f>
        <v>154</v>
      </c>
      <c r="J38" s="211">
        <f>SUM('7.4 (P)'!J38,'7.4 (P)'!Q38,'7.4 (P) (2)'!J38,'7.4 (P) (2)'!Q38,'7.4 (P) (3)'!J38,'7.4 (P) (3)'!Q38)</f>
        <v>89</v>
      </c>
      <c r="K38" s="223"/>
      <c r="L38" s="222"/>
    </row>
    <row r="39" spans="2:12" ht="8.1" customHeight="1">
      <c r="B39" s="153"/>
      <c r="C39" s="154"/>
      <c r="D39" s="149"/>
      <c r="E39" s="150"/>
      <c r="F39" s="203"/>
      <c r="G39" s="203"/>
      <c r="H39" s="203"/>
      <c r="I39" s="203"/>
      <c r="J39" s="203"/>
      <c r="K39" s="203"/>
      <c r="L39" s="203"/>
    </row>
    <row r="40" spans="2:12" ht="15" customHeight="1">
      <c r="B40" s="151" t="s">
        <v>99</v>
      </c>
      <c r="C40" s="152"/>
      <c r="D40" s="149">
        <v>2021</v>
      </c>
      <c r="E40" s="211">
        <f>SUM('7.4 (P)'!E40,'7.4 (P)'!L40,'7.4 (P) (2)'!E40,'7.4 (P) (2)'!L40,'7.4 (P) (3)'!E40,'7.4 (P) (3)'!L40)</f>
        <v>90</v>
      </c>
      <c r="F40" s="211">
        <f>SUM('7.4 (P)'!F40,'7.4 (P)'!M40,'7.4 (P) (2)'!F40,'7.4 (P) (2)'!M40,'7.4 (P) (3)'!F40,'7.4 (P) (3)'!M40)</f>
        <v>283</v>
      </c>
      <c r="G40" s="211">
        <f>SUM('7.4 (P)'!G40,'7.4 (P)'!N40,'7.4 (P) (2)'!G40,'7.4 (P) (2)'!N40,'7.4 (P) (3)'!G40,'7.4 (P) (3)'!N40)</f>
        <v>189</v>
      </c>
      <c r="H40" s="211">
        <f>SUM('7.4 (P)'!H40,'7.4 (P)'!O40,'7.4 (P) (2)'!H40,'7.4 (P) (2)'!O40,'7.4 (P) (3)'!H40,'7.4 (P) (3)'!O40)</f>
        <v>101</v>
      </c>
      <c r="I40" s="211">
        <f>SUM('7.4 (P)'!I40,'7.4 (P)'!P40,'7.4 (P) (2)'!I40,'7.4 (P) (2)'!P40,'7.4 (P) (3)'!I40,'7.4 (P) (3)'!P40)</f>
        <v>58</v>
      </c>
      <c r="J40" s="211">
        <f>SUM('7.4 (P)'!J40,'7.4 (P)'!Q40,'7.4 (P) (2)'!J40,'7.4 (P) (2)'!Q40,'7.4 (P) (3)'!J40,'7.4 (P) (3)'!Q40)</f>
        <v>23</v>
      </c>
      <c r="K40" s="223"/>
      <c r="L40" s="222"/>
    </row>
    <row r="41" spans="2:12" ht="15" customHeight="1">
      <c r="B41" s="153"/>
      <c r="C41" s="152"/>
      <c r="D41" s="149">
        <v>2022</v>
      </c>
      <c r="E41" s="211">
        <f>SUM('7.4 (P)'!E41,'7.4 (P)'!L41,'7.4 (P) (2)'!E41,'7.4 (P) (2)'!L41,'7.4 (P) (3)'!E41,'7.4 (P) (3)'!L41)</f>
        <v>66</v>
      </c>
      <c r="F41" s="211">
        <f>SUM('7.4 (P)'!F41,'7.4 (P)'!M41,'7.4 (P) (2)'!F41,'7.4 (P) (2)'!M41,'7.4 (P) (3)'!F41,'7.4 (P) (3)'!M41)</f>
        <v>376</v>
      </c>
      <c r="G41" s="211">
        <f>SUM('7.4 (P)'!G41,'7.4 (P)'!N41,'7.4 (P) (2)'!G41,'7.4 (P) (2)'!N41,'7.4 (P) (3)'!G41,'7.4 (P) (3)'!N41)</f>
        <v>293</v>
      </c>
      <c r="H41" s="211">
        <f>SUM('7.4 (P)'!H41,'7.4 (P)'!O41,'7.4 (P) (2)'!H41,'7.4 (P) (2)'!O41,'7.4 (P) (3)'!H41,'7.4 (P) (3)'!O41)</f>
        <v>167</v>
      </c>
      <c r="I41" s="211">
        <f>SUM('7.4 (P)'!I41,'7.4 (P)'!P41,'7.4 (P) (2)'!I41,'7.4 (P) (2)'!P41,'7.4 (P) (3)'!I41,'7.4 (P) (3)'!P41)</f>
        <v>67</v>
      </c>
      <c r="J41" s="211">
        <f>SUM('7.4 (P)'!J41,'7.4 (P)'!Q41,'7.4 (P) (2)'!J41,'7.4 (P) (2)'!Q41,'7.4 (P) (3)'!J41,'7.4 (P) (3)'!Q41)</f>
        <v>40</v>
      </c>
      <c r="K41" s="223"/>
      <c r="L41" s="222"/>
    </row>
    <row r="42" spans="2:12" ht="15" customHeight="1">
      <c r="B42" s="153"/>
      <c r="C42" s="152"/>
      <c r="D42" s="149">
        <v>2023</v>
      </c>
      <c r="E42" s="211">
        <f>SUM('7.4 (P)'!E42,'7.4 (P)'!L42,'7.4 (P) (2)'!E42,'7.4 (P) (2)'!L42,'7.4 (P) (3)'!E42,'7.4 (P) (3)'!L42)</f>
        <v>89</v>
      </c>
      <c r="F42" s="211">
        <f>SUM('7.4 (P)'!F42,'7.4 (P)'!M42,'7.4 (P) (2)'!F42,'7.4 (P) (2)'!M42,'7.4 (P) (3)'!F42,'7.4 (P) (3)'!M42)</f>
        <v>341</v>
      </c>
      <c r="G42" s="211">
        <f>SUM('7.4 (P)'!G42,'7.4 (P)'!N42,'7.4 (P) (2)'!G42,'7.4 (P) (2)'!N42,'7.4 (P) (3)'!G42,'7.4 (P) (3)'!N42)</f>
        <v>349</v>
      </c>
      <c r="H42" s="211">
        <f>SUM('7.4 (P)'!H42,'7.4 (P)'!O42,'7.4 (P) (2)'!H42,'7.4 (P) (2)'!O42,'7.4 (P) (3)'!H42,'7.4 (P) (3)'!O42)</f>
        <v>168</v>
      </c>
      <c r="I42" s="211">
        <f>SUM('7.4 (P)'!I42,'7.4 (P)'!P42,'7.4 (P) (2)'!I42,'7.4 (P) (2)'!P42,'7.4 (P) (3)'!I42,'7.4 (P) (3)'!P42)</f>
        <v>93</v>
      </c>
      <c r="J42" s="211">
        <f>SUM('7.4 (P)'!J42,'7.4 (P)'!Q42,'7.4 (P) (2)'!J42,'7.4 (P) (2)'!Q42,'7.4 (P) (3)'!J42,'7.4 (P) (3)'!Q42)</f>
        <v>74</v>
      </c>
      <c r="K42" s="223"/>
      <c r="L42" s="222"/>
    </row>
    <row r="43" spans="2:12" ht="8.1" customHeight="1">
      <c r="B43" s="153"/>
      <c r="C43" s="148"/>
      <c r="D43" s="149"/>
      <c r="E43" s="150"/>
      <c r="F43" s="203"/>
      <c r="G43" s="203"/>
      <c r="H43" s="203"/>
      <c r="I43" s="203"/>
      <c r="J43" s="203"/>
      <c r="K43" s="203"/>
      <c r="L43" s="203"/>
    </row>
    <row r="44" spans="2:12" ht="15" customHeight="1">
      <c r="B44" s="151" t="s">
        <v>100</v>
      </c>
      <c r="C44" s="152"/>
      <c r="D44" s="149">
        <v>2021</v>
      </c>
      <c r="E44" s="211">
        <f>SUM('7.4 (P)'!E44,'7.4 (P)'!L44,'7.4 (P) (2)'!E44,'7.4 (P) (2)'!L44,'7.4 (P) (3)'!E44,'7.4 (P) (3)'!L44)</f>
        <v>115</v>
      </c>
      <c r="F44" s="211">
        <f>SUM('7.4 (P)'!F44,'7.4 (P)'!M44,'7.4 (P) (2)'!F44,'7.4 (P) (2)'!M44,'7.4 (P) (3)'!F44,'7.4 (P) (3)'!M44)</f>
        <v>526</v>
      </c>
      <c r="G44" s="211">
        <f>SUM('7.4 (P)'!G44,'7.4 (P)'!N44,'7.4 (P) (2)'!G44,'7.4 (P) (2)'!N44,'7.4 (P) (3)'!G44,'7.4 (P) (3)'!N44)</f>
        <v>335</v>
      </c>
      <c r="H44" s="211">
        <f>SUM('7.4 (P)'!H44,'7.4 (P)'!O44,'7.4 (P) (2)'!H44,'7.4 (P) (2)'!O44,'7.4 (P) (3)'!H44,'7.4 (P) (3)'!O44)</f>
        <v>213</v>
      </c>
      <c r="I44" s="211">
        <f>SUM('7.4 (P)'!I44,'7.4 (P)'!P44,'7.4 (P) (2)'!I44,'7.4 (P) (2)'!P44,'7.4 (P) (3)'!I44,'7.4 (P) (3)'!P44)</f>
        <v>124</v>
      </c>
      <c r="J44" s="211">
        <f>SUM('7.4 (P)'!J44,'7.4 (P)'!Q44,'7.4 (P) (2)'!J44,'7.4 (P) (2)'!Q44,'7.4 (P) (3)'!J44,'7.4 (P) (3)'!Q44)</f>
        <v>68</v>
      </c>
      <c r="K44" s="223"/>
      <c r="L44" s="222"/>
    </row>
    <row r="45" spans="2:12" ht="15" customHeight="1">
      <c r="B45" s="151"/>
      <c r="C45" s="152"/>
      <c r="D45" s="149">
        <v>2022</v>
      </c>
      <c r="E45" s="211">
        <f>SUM('7.4 (P)'!E45,'7.4 (P)'!L45,'7.4 (P) (2)'!E45,'7.4 (P) (2)'!L45,'7.4 (P) (3)'!E45,'7.4 (P) (3)'!L45)</f>
        <v>75</v>
      </c>
      <c r="F45" s="211">
        <f>SUM('7.4 (P)'!F45,'7.4 (P)'!M45,'7.4 (P) (2)'!F45,'7.4 (P) (2)'!M45,'7.4 (P) (3)'!F45,'7.4 (P) (3)'!M45)</f>
        <v>491</v>
      </c>
      <c r="G45" s="211">
        <f>SUM('7.4 (P)'!G45,'7.4 (P)'!N45,'7.4 (P) (2)'!G45,'7.4 (P) (2)'!N45,'7.4 (P) (3)'!G45,'7.4 (P) (3)'!N45)</f>
        <v>329</v>
      </c>
      <c r="H45" s="211">
        <f>SUM('7.4 (P)'!H45,'7.4 (P)'!O45,'7.4 (P) (2)'!H45,'7.4 (P) (2)'!O45,'7.4 (P) (3)'!H45,'7.4 (P) (3)'!O45)</f>
        <v>227</v>
      </c>
      <c r="I45" s="211">
        <f>SUM('7.4 (P)'!I45,'7.4 (P)'!P45,'7.4 (P) (2)'!I45,'7.4 (P) (2)'!P45,'7.4 (P) (3)'!I45,'7.4 (P) (3)'!P45)</f>
        <v>108</v>
      </c>
      <c r="J45" s="211">
        <f>SUM('7.4 (P)'!J45,'7.4 (P)'!Q45,'7.4 (P) (2)'!J45,'7.4 (P) (2)'!Q45,'7.4 (P) (3)'!J45,'7.4 (P) (3)'!Q45)</f>
        <v>53</v>
      </c>
      <c r="K45" s="223"/>
      <c r="L45" s="222"/>
    </row>
    <row r="46" spans="2:12" ht="15" customHeight="1">
      <c r="B46" s="151"/>
      <c r="C46" s="152"/>
      <c r="D46" s="149">
        <v>2023</v>
      </c>
      <c r="E46" s="211">
        <f>SUM('7.4 (P)'!E46,'7.4 (P)'!L46,'7.4 (P) (2)'!E46,'7.4 (P) (2)'!L46,'7.4 (P) (3)'!E46,'7.4 (P) (3)'!L46)</f>
        <v>80</v>
      </c>
      <c r="F46" s="211">
        <f>SUM('7.4 (P)'!F46,'7.4 (P)'!M46,'7.4 (P) (2)'!F46,'7.4 (P) (2)'!M46,'7.4 (P) (3)'!F46,'7.4 (P) (3)'!M46)</f>
        <v>565</v>
      </c>
      <c r="G46" s="211">
        <f>SUM('7.4 (P)'!G46,'7.4 (P)'!N46,'7.4 (P) (2)'!G46,'7.4 (P) (2)'!N46,'7.4 (P) (3)'!G46,'7.4 (P) (3)'!N46)</f>
        <v>382</v>
      </c>
      <c r="H46" s="211">
        <f>SUM('7.4 (P)'!H46,'7.4 (P)'!O46,'7.4 (P) (2)'!H46,'7.4 (P) (2)'!O46,'7.4 (P) (3)'!H46,'7.4 (P) (3)'!O46)</f>
        <v>305</v>
      </c>
      <c r="I46" s="211">
        <f>SUM('7.4 (P)'!I46,'7.4 (P)'!P46,'7.4 (P) (2)'!I46,'7.4 (P) (2)'!P46,'7.4 (P) (3)'!I46,'7.4 (P) (3)'!P46)</f>
        <v>168</v>
      </c>
      <c r="J46" s="211">
        <f>SUM('7.4 (P)'!J46,'7.4 (P)'!Q46,'7.4 (P) (2)'!J46,'7.4 (P) (2)'!Q46,'7.4 (P) (3)'!J46,'7.4 (P) (3)'!Q46)</f>
        <v>85</v>
      </c>
      <c r="K46" s="223"/>
      <c r="L46" s="222"/>
    </row>
    <row r="47" spans="2:12" ht="8.1" customHeight="1">
      <c r="B47" s="151"/>
      <c r="C47" s="154"/>
      <c r="D47" s="149"/>
      <c r="E47" s="150"/>
      <c r="F47" s="203"/>
      <c r="G47" s="203"/>
      <c r="H47" s="203"/>
      <c r="I47" s="203"/>
      <c r="J47" s="203"/>
      <c r="K47" s="203"/>
      <c r="L47" s="203"/>
    </row>
    <row r="48" spans="2:12" ht="15" customHeight="1">
      <c r="B48" s="151" t="s">
        <v>101</v>
      </c>
      <c r="C48" s="152"/>
      <c r="D48" s="149">
        <v>2021</v>
      </c>
      <c r="E48" s="211">
        <f>SUM('7.4 (P)'!E48,'7.4 (P)'!L48,'7.4 (P) (2)'!E48,'7.4 (P) (2)'!L48,'7.4 (P) (3)'!E48,'7.4 (P) (3)'!L48)</f>
        <v>90</v>
      </c>
      <c r="F48" s="211">
        <f>SUM('7.4 (P)'!F48,'7.4 (P)'!M48,'7.4 (P) (2)'!F48,'7.4 (P) (2)'!M48,'7.4 (P) (3)'!F48,'7.4 (P) (3)'!M48)</f>
        <v>291</v>
      </c>
      <c r="G48" s="211">
        <f>SUM('7.4 (P)'!G48,'7.4 (P)'!N48,'7.4 (P) (2)'!G48,'7.4 (P) (2)'!N48,'7.4 (P) (3)'!G48,'7.4 (P) (3)'!N48)</f>
        <v>199</v>
      </c>
      <c r="H48" s="211">
        <f>SUM('7.4 (P)'!H48,'7.4 (P)'!O48,'7.4 (P) (2)'!H48,'7.4 (P) (2)'!O48,'7.4 (P) (3)'!H48,'7.4 (P) (3)'!O48)</f>
        <v>128</v>
      </c>
      <c r="I48" s="211">
        <f>SUM('7.4 (P)'!I48,'7.4 (P)'!P48,'7.4 (P) (2)'!I48,'7.4 (P) (2)'!P48,'7.4 (P) (3)'!I48,'7.4 (P) (3)'!P48)</f>
        <v>67</v>
      </c>
      <c r="J48" s="211">
        <f>SUM('7.4 (P)'!J48,'7.4 (P)'!Q48,'7.4 (P) (2)'!J48,'7.4 (P) (2)'!Q48,'7.4 (P) (3)'!J48,'7.4 (P) (3)'!Q48)</f>
        <v>57</v>
      </c>
      <c r="K48" s="223"/>
      <c r="L48" s="222"/>
    </row>
    <row r="49" spans="2:12" ht="15" customHeight="1">
      <c r="B49" s="153"/>
      <c r="C49" s="152"/>
      <c r="D49" s="149">
        <v>2022</v>
      </c>
      <c r="E49" s="211">
        <f>SUM('7.4 (P)'!E49,'7.4 (P)'!L49,'7.4 (P) (2)'!E49,'7.4 (P) (2)'!L49,'7.4 (P) (3)'!E49,'7.4 (P) (3)'!L49)</f>
        <v>78</v>
      </c>
      <c r="F49" s="211">
        <f>SUM('7.4 (P)'!F49,'7.4 (P)'!M49,'7.4 (P) (2)'!F49,'7.4 (P) (2)'!M49,'7.4 (P) (3)'!F49,'7.4 (P) (3)'!M49)</f>
        <v>290</v>
      </c>
      <c r="G49" s="211">
        <f>SUM('7.4 (P)'!G49,'7.4 (P)'!N49,'7.4 (P) (2)'!G49,'7.4 (P) (2)'!N49,'7.4 (P) (3)'!G49,'7.4 (P) (3)'!N49)</f>
        <v>248</v>
      </c>
      <c r="H49" s="211">
        <f>SUM('7.4 (P)'!H49,'7.4 (P)'!O49,'7.4 (P) (2)'!H49,'7.4 (P) (2)'!O49,'7.4 (P) (3)'!H49,'7.4 (P) (3)'!O49)</f>
        <v>161</v>
      </c>
      <c r="I49" s="211">
        <f>SUM('7.4 (P)'!I49,'7.4 (P)'!P49,'7.4 (P) (2)'!I49,'7.4 (P) (2)'!P49,'7.4 (P) (3)'!I49,'7.4 (P) (3)'!P49)</f>
        <v>85</v>
      </c>
      <c r="J49" s="211">
        <f>SUM('7.4 (P)'!J49,'7.4 (P)'!Q49,'7.4 (P) (2)'!J49,'7.4 (P) (2)'!Q49,'7.4 (P) (3)'!J49,'7.4 (P) (3)'!Q49)</f>
        <v>46</v>
      </c>
      <c r="K49" s="223"/>
      <c r="L49" s="222"/>
    </row>
    <row r="50" spans="2:12" ht="15" customHeight="1">
      <c r="B50" s="153"/>
      <c r="C50" s="152"/>
      <c r="D50" s="149">
        <v>2023</v>
      </c>
      <c r="E50" s="211">
        <f>SUM('7.4 (P)'!E50,'7.4 (P)'!L50,'7.4 (P) (2)'!E50,'7.4 (P) (2)'!L50,'7.4 (P) (3)'!E50,'7.4 (P) (3)'!L50)</f>
        <v>103</v>
      </c>
      <c r="F50" s="211">
        <f>SUM('7.4 (P)'!F50,'7.4 (P)'!M50,'7.4 (P) (2)'!F50,'7.4 (P) (2)'!M50,'7.4 (P) (3)'!F50,'7.4 (P) (3)'!M50)</f>
        <v>377</v>
      </c>
      <c r="G50" s="211">
        <f>SUM('7.4 (P)'!G50,'7.4 (P)'!N50,'7.4 (P) (2)'!G50,'7.4 (P) (2)'!N50,'7.4 (P) (3)'!G50,'7.4 (P) (3)'!N50)</f>
        <v>274</v>
      </c>
      <c r="H50" s="211">
        <f>SUM('7.4 (P)'!H50,'7.4 (P)'!O50,'7.4 (P) (2)'!H50,'7.4 (P) (2)'!O50,'7.4 (P) (3)'!H50,'7.4 (P) (3)'!O50)</f>
        <v>224</v>
      </c>
      <c r="I50" s="211">
        <f>SUM('7.4 (P)'!I50,'7.4 (P)'!P50,'7.4 (P) (2)'!I50,'7.4 (P) (2)'!P50,'7.4 (P) (3)'!I50,'7.4 (P) (3)'!P50)</f>
        <v>174</v>
      </c>
      <c r="J50" s="211">
        <f>SUM('7.4 (P)'!J50,'7.4 (P)'!Q50,'7.4 (P) (2)'!J50,'7.4 (P) (2)'!Q50,'7.4 (P) (3)'!J50,'7.4 (P) (3)'!Q50)</f>
        <v>106</v>
      </c>
      <c r="K50" s="223"/>
      <c r="L50" s="222"/>
    </row>
    <row r="51" spans="2:12" ht="8.1" customHeight="1">
      <c r="B51" s="153"/>
      <c r="C51" s="138"/>
      <c r="D51" s="149"/>
      <c r="E51" s="150"/>
      <c r="F51" s="203"/>
      <c r="G51" s="203"/>
      <c r="H51" s="203"/>
      <c r="I51" s="203"/>
      <c r="J51" s="203"/>
      <c r="K51" s="203"/>
      <c r="L51" s="203"/>
    </row>
    <row r="52" spans="2:12" ht="15" customHeight="1">
      <c r="B52" s="151" t="s">
        <v>102</v>
      </c>
      <c r="C52" s="152"/>
      <c r="D52" s="149">
        <v>2021</v>
      </c>
      <c r="E52" s="211">
        <f>SUM('7.4 (P)'!E52,'7.4 (P)'!L52,'7.4 (P) (2)'!E52,'7.4 (P) (2)'!L52,'7.4 (P) (3)'!E52,'7.4 (P) (3)'!L52)</f>
        <v>16</v>
      </c>
      <c r="F52" s="211">
        <f>SUM('7.4 (P)'!F52,'7.4 (P)'!M52,'7.4 (P) (2)'!F52,'7.4 (P) (2)'!M52,'7.4 (P) (3)'!F52,'7.4 (P) (3)'!M52)</f>
        <v>67</v>
      </c>
      <c r="G52" s="211">
        <f>SUM('7.4 (P)'!G52,'7.4 (P)'!N52,'7.4 (P) (2)'!G52,'7.4 (P) (2)'!N52,'7.4 (P) (3)'!G52,'7.4 (P) (3)'!N52)</f>
        <v>43</v>
      </c>
      <c r="H52" s="211">
        <f>SUM('7.4 (P)'!H52,'7.4 (P)'!O52,'7.4 (P) (2)'!H52,'7.4 (P) (2)'!O52,'7.4 (P) (3)'!H52,'7.4 (P) (3)'!O52)</f>
        <v>36</v>
      </c>
      <c r="I52" s="211">
        <f>SUM('7.4 (P)'!I52,'7.4 (P)'!P52,'7.4 (P) (2)'!I52,'7.4 (P) (2)'!P52,'7.4 (P) (3)'!I52,'7.4 (P) (3)'!P52)</f>
        <v>12</v>
      </c>
      <c r="J52" s="211">
        <f>SUM('7.4 (P)'!J52,'7.4 (P)'!Q52,'7.4 (P) (2)'!J52,'7.4 (P) (2)'!Q52,'7.4 (P) (3)'!J52,'7.4 (P) (3)'!Q52)</f>
        <v>2</v>
      </c>
      <c r="K52" s="223"/>
      <c r="L52" s="222"/>
    </row>
    <row r="53" spans="2:12" ht="15" customHeight="1">
      <c r="B53" s="153"/>
      <c r="C53" s="152"/>
      <c r="D53" s="149">
        <v>2022</v>
      </c>
      <c r="E53" s="211">
        <f>SUM('7.4 (P)'!E53,'7.4 (P)'!L53,'7.4 (P) (2)'!E53,'7.4 (P) (2)'!L53,'7.4 (P) (3)'!E53,'7.4 (P) (3)'!L53)</f>
        <v>33</v>
      </c>
      <c r="F53" s="211">
        <f>SUM('7.4 (P)'!F53,'7.4 (P)'!M53,'7.4 (P) (2)'!F53,'7.4 (P) (2)'!M53,'7.4 (P) (3)'!F53,'7.4 (P) (3)'!M53)</f>
        <v>84</v>
      </c>
      <c r="G53" s="211">
        <f>SUM('7.4 (P)'!G53,'7.4 (P)'!N53,'7.4 (P) (2)'!G53,'7.4 (P) (2)'!N53,'7.4 (P) (3)'!G53,'7.4 (P) (3)'!N53)</f>
        <v>59</v>
      </c>
      <c r="H53" s="211">
        <f>SUM('7.4 (P)'!H53,'7.4 (P)'!O53,'7.4 (P) (2)'!H53,'7.4 (P) (2)'!O53,'7.4 (P) (3)'!H53,'7.4 (P) (3)'!O53)</f>
        <v>24</v>
      </c>
      <c r="I53" s="211">
        <f>SUM('7.4 (P)'!I53,'7.4 (P)'!P53,'7.4 (P) (2)'!I53,'7.4 (P) (2)'!P53,'7.4 (P) (3)'!I53,'7.4 (P) (3)'!P53)</f>
        <v>24</v>
      </c>
      <c r="J53" s="211">
        <f>SUM('7.4 (P)'!J53,'7.4 (P)'!Q53,'7.4 (P) (2)'!J53,'7.4 (P) (2)'!Q53,'7.4 (P) (3)'!J53,'7.4 (P) (3)'!Q53)</f>
        <v>6</v>
      </c>
      <c r="K53" s="223"/>
      <c r="L53" s="222"/>
    </row>
    <row r="54" spans="2:12" ht="15" customHeight="1">
      <c r="B54" s="153"/>
      <c r="C54" s="152"/>
      <c r="D54" s="149">
        <v>2023</v>
      </c>
      <c r="E54" s="211">
        <f>SUM('7.4 (P)'!E54,'7.4 (P)'!L54,'7.4 (P) (2)'!E54,'7.4 (P) (2)'!L54,'7.4 (P) (3)'!E54,'7.4 (P) (3)'!L54)</f>
        <v>23</v>
      </c>
      <c r="F54" s="211">
        <f>SUM('7.4 (P)'!F54,'7.4 (P)'!M54,'7.4 (P) (2)'!F54,'7.4 (P) (2)'!M54,'7.4 (P) (3)'!F54,'7.4 (P) (3)'!M54)</f>
        <v>61</v>
      </c>
      <c r="G54" s="211">
        <f>SUM('7.4 (P)'!G54,'7.4 (P)'!N54,'7.4 (P) (2)'!G54,'7.4 (P) (2)'!N54,'7.4 (P) (3)'!G54,'7.4 (P) (3)'!N54)</f>
        <v>54</v>
      </c>
      <c r="H54" s="211">
        <f>SUM('7.4 (P)'!H54,'7.4 (P)'!O54,'7.4 (P) (2)'!H54,'7.4 (P) (2)'!O54,'7.4 (P) (3)'!H54,'7.4 (P) (3)'!O54)</f>
        <v>40</v>
      </c>
      <c r="I54" s="211">
        <f>SUM('7.4 (P)'!I54,'7.4 (P)'!P54,'7.4 (P) (2)'!I54,'7.4 (P) (2)'!P54,'7.4 (P) (3)'!I54,'7.4 (P) (3)'!P54)</f>
        <v>16</v>
      </c>
      <c r="J54" s="211">
        <f>SUM('7.4 (P)'!J54,'7.4 (P)'!Q54,'7.4 (P) (2)'!J54,'7.4 (P) (2)'!Q54,'7.4 (P) (3)'!J54,'7.4 (P) (3)'!Q54)</f>
        <v>10</v>
      </c>
      <c r="K54" s="223"/>
      <c r="L54" s="222"/>
    </row>
    <row r="55" spans="2:12" ht="8.1" customHeight="1">
      <c r="B55" s="153"/>
      <c r="C55" s="154"/>
      <c r="D55" s="149"/>
      <c r="E55" s="150"/>
      <c r="F55" s="203"/>
      <c r="G55" s="203"/>
      <c r="H55" s="203"/>
      <c r="I55" s="203"/>
      <c r="J55" s="203"/>
      <c r="K55" s="203"/>
      <c r="L55" s="203"/>
    </row>
    <row r="56" spans="2:12" ht="15" customHeight="1">
      <c r="B56" s="151" t="s">
        <v>103</v>
      </c>
      <c r="C56" s="152"/>
      <c r="D56" s="149">
        <v>2021</v>
      </c>
      <c r="E56" s="211">
        <f>SUM('7.4 (P)'!E56,'7.4 (P)'!L56,'7.4 (P) (2)'!E56,'7.4 (P) (2)'!L56,'7.4 (P) (3)'!E56,'7.4 (P) (3)'!L56)</f>
        <v>92</v>
      </c>
      <c r="F56" s="211">
        <f>SUM('7.4 (P)'!F56,'7.4 (P)'!M56,'7.4 (P) (2)'!F56,'7.4 (P) (2)'!M56,'7.4 (P) (3)'!F56,'7.4 (P) (3)'!M56)</f>
        <v>568</v>
      </c>
      <c r="G56" s="211">
        <f>SUM('7.4 (P)'!G56,'7.4 (P)'!N56,'7.4 (P) (2)'!G56,'7.4 (P) (2)'!N56,'7.4 (P) (3)'!G56,'7.4 (P) (3)'!N56)</f>
        <v>484</v>
      </c>
      <c r="H56" s="211">
        <f>SUM('7.4 (P)'!H56,'7.4 (P)'!O56,'7.4 (P) (2)'!H56,'7.4 (P) (2)'!O56,'7.4 (P) (3)'!H56,'7.4 (P) (3)'!O56)</f>
        <v>271</v>
      </c>
      <c r="I56" s="211">
        <f>SUM('7.4 (P)'!I56,'7.4 (P)'!P56,'7.4 (P) (2)'!I56,'7.4 (P) (2)'!P56,'7.4 (P) (3)'!I56,'7.4 (P) (3)'!P56)</f>
        <v>147</v>
      </c>
      <c r="J56" s="211">
        <f>SUM('7.4 (P)'!J56,'7.4 (P)'!Q56,'7.4 (P) (2)'!J56,'7.4 (P) (2)'!Q56,'7.4 (P) (3)'!J56,'7.4 (P) (3)'!Q56)</f>
        <v>79</v>
      </c>
      <c r="K56" s="223"/>
      <c r="L56" s="222"/>
    </row>
    <row r="57" spans="2:12" ht="15" customHeight="1">
      <c r="B57" s="153"/>
      <c r="C57" s="152"/>
      <c r="D57" s="149">
        <v>2022</v>
      </c>
      <c r="E57" s="211">
        <f>SUM('7.4 (P)'!E57,'7.4 (P)'!L57,'7.4 (P) (2)'!E57,'7.4 (P) (2)'!L57,'7.4 (P) (3)'!E57,'7.4 (P) (3)'!L57)</f>
        <v>68</v>
      </c>
      <c r="F57" s="211">
        <f>SUM('7.4 (P)'!F57,'7.4 (P)'!M57,'7.4 (P) (2)'!F57,'7.4 (P) (2)'!M57,'7.4 (P) (3)'!F57,'7.4 (P) (3)'!M57)</f>
        <v>542</v>
      </c>
      <c r="G57" s="211">
        <f>SUM('7.4 (P)'!G57,'7.4 (P)'!N57,'7.4 (P) (2)'!G57,'7.4 (P) (2)'!N57,'7.4 (P) (3)'!G57,'7.4 (P) (3)'!N57)</f>
        <v>468</v>
      </c>
      <c r="H57" s="211">
        <f>SUM('7.4 (P)'!H57,'7.4 (P)'!O57,'7.4 (P) (2)'!H57,'7.4 (P) (2)'!O57,'7.4 (P) (3)'!H57,'7.4 (P) (3)'!O57)</f>
        <v>325</v>
      </c>
      <c r="I57" s="211">
        <f>SUM('7.4 (P)'!I57,'7.4 (P)'!P57,'7.4 (P) (2)'!I57,'7.4 (P) (2)'!P57,'7.4 (P) (3)'!I57,'7.4 (P) (3)'!P57)</f>
        <v>182</v>
      </c>
      <c r="J57" s="211">
        <f>SUM('7.4 (P)'!J57,'7.4 (P)'!Q57,'7.4 (P) (2)'!J57,'7.4 (P) (2)'!Q57,'7.4 (P) (3)'!J57,'7.4 (P) (3)'!Q57)</f>
        <v>57</v>
      </c>
      <c r="K57" s="223"/>
      <c r="L57" s="222"/>
    </row>
    <row r="58" spans="2:12" ht="15" customHeight="1">
      <c r="B58" s="153"/>
      <c r="C58" s="152"/>
      <c r="D58" s="149">
        <v>2023</v>
      </c>
      <c r="E58" s="211">
        <f>SUM('7.4 (P)'!E58,'7.4 (P)'!L58,'7.4 (P) (2)'!E58,'7.4 (P) (2)'!L58,'7.4 (P) (3)'!E58,'7.4 (P) (3)'!L58)</f>
        <v>184</v>
      </c>
      <c r="F58" s="211">
        <f>SUM('7.4 (P)'!F58,'7.4 (P)'!M58,'7.4 (P) (2)'!F58,'7.4 (P) (2)'!M58,'7.4 (P) (3)'!F58,'7.4 (P) (3)'!M58)</f>
        <v>1024</v>
      </c>
      <c r="G58" s="211">
        <f>SUM('7.4 (P)'!G58,'7.4 (P)'!N58,'7.4 (P) (2)'!G58,'7.4 (P) (2)'!N58,'7.4 (P) (3)'!G58,'7.4 (P) (3)'!N58)</f>
        <v>897</v>
      </c>
      <c r="H58" s="211">
        <f>SUM('7.4 (P)'!H58,'7.4 (P)'!O58,'7.4 (P) (2)'!H58,'7.4 (P) (2)'!O58,'7.4 (P) (3)'!H58,'7.4 (P) (3)'!O58)</f>
        <v>643</v>
      </c>
      <c r="I58" s="211">
        <f>SUM('7.4 (P)'!I58,'7.4 (P)'!P58,'7.4 (P) (2)'!I58,'7.4 (P) (2)'!P58,'7.4 (P) (3)'!I58,'7.4 (P) (3)'!P58)</f>
        <v>340</v>
      </c>
      <c r="J58" s="211">
        <f>SUM('7.4 (P)'!J58,'7.4 (P)'!Q58,'7.4 (P) (2)'!J58,'7.4 (P) (2)'!Q58,'7.4 (P) (3)'!J58,'7.4 (P) (3)'!Q58)</f>
        <v>254</v>
      </c>
      <c r="K58" s="223"/>
      <c r="L58" s="222"/>
    </row>
    <row r="59" spans="2:12" ht="8.1" customHeight="1">
      <c r="B59" s="153"/>
      <c r="C59" s="148"/>
      <c r="D59" s="149"/>
      <c r="E59" s="150"/>
      <c r="F59" s="203"/>
      <c r="G59" s="203"/>
      <c r="H59" s="203"/>
      <c r="I59" s="203"/>
      <c r="J59" s="203"/>
      <c r="K59" s="203"/>
      <c r="L59" s="203"/>
    </row>
    <row r="60" spans="2:12" ht="15" customHeight="1">
      <c r="B60" s="151" t="s">
        <v>104</v>
      </c>
      <c r="C60" s="152"/>
      <c r="D60" s="149">
        <v>2021</v>
      </c>
      <c r="E60" s="211">
        <f>SUM('7.4 (P)'!E60,'7.4 (P)'!L60,'7.4 (P) (2)'!E60,'7.4 (P) (2)'!L60,'7.4 (P) (3)'!E60,'7.4 (P) (3)'!L60)</f>
        <v>70</v>
      </c>
      <c r="F60" s="211">
        <f>SUM('7.4 (P)'!F60,'7.4 (P)'!M60,'7.4 (P) (2)'!F60,'7.4 (P) (2)'!M60,'7.4 (P) (3)'!F60,'7.4 (P) (3)'!M60)</f>
        <v>215</v>
      </c>
      <c r="G60" s="211">
        <f>SUM('7.4 (P)'!G60,'7.4 (P)'!N60,'7.4 (P) (2)'!G60,'7.4 (P) (2)'!N60,'7.4 (P) (3)'!G60,'7.4 (P) (3)'!N60)</f>
        <v>140</v>
      </c>
      <c r="H60" s="211">
        <f>SUM('7.4 (P)'!H60,'7.4 (P)'!O60,'7.4 (P) (2)'!H60,'7.4 (P) (2)'!O60,'7.4 (P) (3)'!H60,'7.4 (P) (3)'!O60)</f>
        <v>82</v>
      </c>
      <c r="I60" s="211">
        <f>SUM('7.4 (P)'!I60,'7.4 (P)'!P60,'7.4 (P) (2)'!I60,'7.4 (P) (2)'!P60,'7.4 (P) (3)'!I60,'7.4 (P) (3)'!P60)</f>
        <v>45</v>
      </c>
      <c r="J60" s="211">
        <f>SUM('7.4 (P)'!J60,'7.4 (P)'!Q60,'7.4 (P) (2)'!J60,'7.4 (P) (2)'!Q60,'7.4 (P) (3)'!J60,'7.4 (P) (3)'!Q60)</f>
        <v>4</v>
      </c>
      <c r="K60" s="223"/>
      <c r="L60" s="222"/>
    </row>
    <row r="61" spans="2:12" ht="15" customHeight="1">
      <c r="B61" s="153"/>
      <c r="C61" s="152"/>
      <c r="D61" s="149">
        <v>2022</v>
      </c>
      <c r="E61" s="211">
        <f>SUM('7.4 (P)'!E61,'7.4 (P)'!L61,'7.4 (P) (2)'!E61,'7.4 (P) (2)'!L61,'7.4 (P) (3)'!E61,'7.4 (P) (3)'!L61)</f>
        <v>56</v>
      </c>
      <c r="F61" s="211">
        <f>SUM('7.4 (P)'!F61,'7.4 (P)'!M61,'7.4 (P) (2)'!F61,'7.4 (P) (2)'!M61,'7.4 (P) (3)'!F61,'7.4 (P) (3)'!M61)</f>
        <v>223</v>
      </c>
      <c r="G61" s="211">
        <f>SUM('7.4 (P)'!G61,'7.4 (P)'!N61,'7.4 (P) (2)'!G61,'7.4 (P) (2)'!N61,'7.4 (P) (3)'!G61,'7.4 (P) (3)'!N61)</f>
        <v>212</v>
      </c>
      <c r="H61" s="211">
        <f>SUM('7.4 (P)'!H61,'7.4 (P)'!O61,'7.4 (P) (2)'!H61,'7.4 (P) (2)'!O61,'7.4 (P) (3)'!H61,'7.4 (P) (3)'!O61)</f>
        <v>97</v>
      </c>
      <c r="I61" s="211">
        <f>SUM('7.4 (P)'!I61,'7.4 (P)'!P61,'7.4 (P) (2)'!I61,'7.4 (P) (2)'!P61,'7.4 (P) (3)'!I61,'7.4 (P) (3)'!P61)</f>
        <v>47</v>
      </c>
      <c r="J61" s="211">
        <f>SUM('7.4 (P)'!J61,'7.4 (P)'!Q61,'7.4 (P) (2)'!J61,'7.4 (P) (2)'!Q61,'7.4 (P) (3)'!J61,'7.4 (P) (3)'!Q61)</f>
        <v>18</v>
      </c>
      <c r="K61" s="223"/>
      <c r="L61" s="222"/>
    </row>
    <row r="62" spans="2:12" ht="15" customHeight="1">
      <c r="B62" s="153"/>
      <c r="C62" s="152"/>
      <c r="D62" s="149">
        <v>2023</v>
      </c>
      <c r="E62" s="211">
        <f>SUM('7.4 (P)'!E62,'7.4 (P)'!L62,'7.4 (P) (2)'!E62,'7.4 (P) (2)'!L62,'7.4 (P) (3)'!E62,'7.4 (P) (3)'!L62)</f>
        <v>49</v>
      </c>
      <c r="F62" s="211">
        <f>SUM('7.4 (P)'!F62,'7.4 (P)'!M62,'7.4 (P) (2)'!F62,'7.4 (P) (2)'!M62,'7.4 (P) (3)'!F62,'7.4 (P) (3)'!M62)</f>
        <v>198</v>
      </c>
      <c r="G62" s="211">
        <f>SUM('7.4 (P)'!G62,'7.4 (P)'!N62,'7.4 (P) (2)'!G62,'7.4 (P) (2)'!N62,'7.4 (P) (3)'!G62,'7.4 (P) (3)'!N62)</f>
        <v>164</v>
      </c>
      <c r="H62" s="211">
        <f>SUM('7.4 (P)'!H62,'7.4 (P)'!O62,'7.4 (P) (2)'!H62,'7.4 (P) (2)'!O62,'7.4 (P) (3)'!H62,'7.4 (P) (3)'!O62)</f>
        <v>107</v>
      </c>
      <c r="I62" s="211">
        <f>SUM('7.4 (P)'!I62,'7.4 (P)'!P62,'7.4 (P) (2)'!I62,'7.4 (P) (2)'!P62,'7.4 (P) (3)'!I62,'7.4 (P) (3)'!P62)</f>
        <v>60</v>
      </c>
      <c r="J62" s="211">
        <f>SUM('7.4 (P)'!J62,'7.4 (P)'!Q62,'7.4 (P) (2)'!J62,'7.4 (P) (2)'!Q62,'7.4 (P) (3)'!J62,'7.4 (P) (3)'!Q62)</f>
        <v>30</v>
      </c>
      <c r="K62" s="223"/>
      <c r="L62" s="222"/>
    </row>
    <row r="63" spans="2:12" ht="8.1" customHeight="1">
      <c r="B63" s="153"/>
      <c r="C63" s="154"/>
      <c r="D63" s="149"/>
      <c r="E63" s="150"/>
      <c r="F63" s="203"/>
      <c r="G63" s="203"/>
      <c r="H63" s="203"/>
      <c r="I63" s="203"/>
      <c r="J63" s="203"/>
      <c r="K63" s="203"/>
      <c r="L63" s="203"/>
    </row>
    <row r="64" spans="2:12" ht="15" customHeight="1">
      <c r="B64" s="151" t="s">
        <v>108</v>
      </c>
      <c r="C64" s="152"/>
      <c r="D64" s="149">
        <v>2021</v>
      </c>
      <c r="E64" s="211">
        <f>SUM('7.4 (P)'!E64,'7.4 (P)'!L64,'7.4 (P) (2)'!E64,'7.4 (P) (2)'!L64,'7.4 (P) (3)'!E64,'7.4 (P) (3)'!L64)</f>
        <v>32</v>
      </c>
      <c r="F64" s="211">
        <f>SUM('7.4 (P)'!F64,'7.4 (P)'!M64,'7.4 (P) (2)'!F64,'7.4 (P) (2)'!M64,'7.4 (P) (3)'!F64,'7.4 (P) (3)'!M64)</f>
        <v>205</v>
      </c>
      <c r="G64" s="211">
        <f>SUM('7.4 (P)'!G64,'7.4 (P)'!N64,'7.4 (P) (2)'!G64,'7.4 (P) (2)'!N64,'7.4 (P) (3)'!G64,'7.4 (P) (3)'!N64)</f>
        <v>158</v>
      </c>
      <c r="H64" s="211">
        <f>SUM('7.4 (P)'!H64,'7.4 (P)'!O64,'7.4 (P) (2)'!H64,'7.4 (P) (2)'!O64,'7.4 (P) (3)'!H64,'7.4 (P) (3)'!O64)</f>
        <v>83</v>
      </c>
      <c r="I64" s="211">
        <f>SUM('7.4 (P)'!I64,'7.4 (P)'!P64,'7.4 (P) (2)'!I64,'7.4 (P) (2)'!P64,'7.4 (P) (3)'!I64,'7.4 (P) (3)'!P64)</f>
        <v>53</v>
      </c>
      <c r="J64" s="211">
        <f>SUM('7.4 (P)'!J64,'7.4 (P)'!Q64,'7.4 (P) (2)'!J64,'7.4 (P) (2)'!Q64,'7.4 (P) (3)'!J64,'7.4 (P) (3)'!Q64)</f>
        <v>31</v>
      </c>
      <c r="K64" s="223"/>
      <c r="L64" s="222"/>
    </row>
    <row r="65" spans="1:12" ht="15" customHeight="1">
      <c r="B65" s="153"/>
      <c r="C65" s="152"/>
      <c r="D65" s="149">
        <v>2022</v>
      </c>
      <c r="E65" s="211">
        <f>SUM('7.4 (P)'!E65,'7.4 (P)'!L65,'7.4 (P) (2)'!E65,'7.4 (P) (2)'!L65,'7.4 (P) (3)'!E65,'7.4 (P) (3)'!L65)</f>
        <v>17</v>
      </c>
      <c r="F65" s="211">
        <f>SUM('7.4 (P)'!F65,'7.4 (P)'!M65,'7.4 (P) (2)'!F65,'7.4 (P) (2)'!M65,'7.4 (P) (3)'!F65,'7.4 (P) (3)'!M65)</f>
        <v>194</v>
      </c>
      <c r="G65" s="211">
        <f>SUM('7.4 (P)'!G65,'7.4 (P)'!N65,'7.4 (P) (2)'!G65,'7.4 (P) (2)'!N65,'7.4 (P) (3)'!G65,'7.4 (P) (3)'!N65)</f>
        <v>219</v>
      </c>
      <c r="H65" s="211">
        <f>SUM('7.4 (P)'!H65,'7.4 (P)'!O65,'7.4 (P) (2)'!H65,'7.4 (P) (2)'!O65,'7.4 (P) (3)'!H65,'7.4 (P) (3)'!O65)</f>
        <v>107</v>
      </c>
      <c r="I65" s="211">
        <f>SUM('7.4 (P)'!I65,'7.4 (P)'!P65,'7.4 (P) (2)'!I65,'7.4 (P) (2)'!P65,'7.4 (P) (3)'!I65,'7.4 (P) (3)'!P65)</f>
        <v>66</v>
      </c>
      <c r="J65" s="211">
        <f>SUM('7.4 (P)'!J65,'7.4 (P)'!Q65,'7.4 (P) (2)'!J65,'7.4 (P) (2)'!Q65,'7.4 (P) (3)'!J65,'7.4 (P) (3)'!Q65)</f>
        <v>34</v>
      </c>
      <c r="K65" s="223"/>
      <c r="L65" s="222"/>
    </row>
    <row r="66" spans="1:12" ht="15" customHeight="1">
      <c r="B66" s="153"/>
      <c r="C66" s="152"/>
      <c r="D66" s="149">
        <v>2023</v>
      </c>
      <c r="E66" s="211">
        <f>SUM('7.4 (P)'!E66,'7.4 (P)'!L66,'7.4 (P) (2)'!E66,'7.4 (P) (2)'!L66,'7.4 (P) (3)'!E66,'7.4 (P) (3)'!L66)</f>
        <v>44</v>
      </c>
      <c r="F66" s="211">
        <f>SUM('7.4 (P)'!F66,'7.4 (P)'!M66,'7.4 (P) (2)'!F66,'7.4 (P) (2)'!M66,'7.4 (P) (3)'!F66,'7.4 (P) (3)'!M66)</f>
        <v>279</v>
      </c>
      <c r="G66" s="211">
        <f>SUM('7.4 (P)'!G66,'7.4 (P)'!N66,'7.4 (P) (2)'!G66,'7.4 (P) (2)'!N66,'7.4 (P) (3)'!G66,'7.4 (P) (3)'!N66)</f>
        <v>315</v>
      </c>
      <c r="H66" s="211">
        <f>SUM('7.4 (P)'!H66,'7.4 (P)'!O66,'7.4 (P) (2)'!H66,'7.4 (P) (2)'!O66,'7.4 (P) (3)'!H66,'7.4 (P) (3)'!O66)</f>
        <v>163</v>
      </c>
      <c r="I66" s="211">
        <f>SUM('7.4 (P)'!I66,'7.4 (P)'!P66,'7.4 (P) (2)'!I66,'7.4 (P) (2)'!P66,'7.4 (P) (3)'!I66,'7.4 (P) (3)'!P66)</f>
        <v>105</v>
      </c>
      <c r="J66" s="211">
        <f>SUM('7.4 (P)'!J66,'7.4 (P)'!Q66,'7.4 (P) (2)'!J66,'7.4 (P) (2)'!Q66,'7.4 (P) (3)'!J66,'7.4 (P) (3)'!Q66)</f>
        <v>38</v>
      </c>
      <c r="K66" s="223"/>
      <c r="L66" s="222"/>
    </row>
    <row r="67" spans="1:12" ht="8.1" customHeight="1">
      <c r="B67" s="155"/>
      <c r="C67" s="145"/>
      <c r="D67" s="149"/>
      <c r="E67" s="150"/>
      <c r="F67" s="203"/>
      <c r="G67" s="203"/>
      <c r="H67" s="203"/>
      <c r="I67" s="203"/>
      <c r="J67" s="203"/>
      <c r="K67" s="203"/>
      <c r="L67" s="203"/>
    </row>
    <row r="68" spans="1:12" ht="15" customHeight="1">
      <c r="B68" s="151" t="s">
        <v>105</v>
      </c>
      <c r="C68" s="152"/>
      <c r="D68" s="149">
        <v>2021</v>
      </c>
      <c r="E68" s="211">
        <f>SUM('7.4 (P)'!E68,'7.4 (P)'!L68,'7.4 (P) (2)'!E68,'7.4 (P) (2)'!L68,'7.4 (P) (3)'!E68,'7.4 (P) (3)'!L68)</f>
        <v>101</v>
      </c>
      <c r="F68" s="211">
        <f>SUM('7.4 (P)'!F68,'7.4 (P)'!M68,'7.4 (P) (2)'!F68,'7.4 (P) (2)'!M68,'7.4 (P) (3)'!F68,'7.4 (P) (3)'!M68)</f>
        <v>378</v>
      </c>
      <c r="G68" s="211">
        <f>SUM('7.4 (P)'!G68,'7.4 (P)'!N68,'7.4 (P) (2)'!G68,'7.4 (P) (2)'!N68,'7.4 (P) (3)'!G68,'7.4 (P) (3)'!N68)</f>
        <v>261</v>
      </c>
      <c r="H68" s="211">
        <f>SUM('7.4 (P)'!H68,'7.4 (P)'!O68,'7.4 (P) (2)'!H68,'7.4 (P) (2)'!O68,'7.4 (P) (3)'!H68,'7.4 (P) (3)'!O68)</f>
        <v>183</v>
      </c>
      <c r="I68" s="211">
        <f>SUM('7.4 (P)'!I68,'7.4 (P)'!P68,'7.4 (P) (2)'!I68,'7.4 (P) (2)'!P68,'7.4 (P) (3)'!I68,'7.4 (P) (3)'!P68)</f>
        <v>72</v>
      </c>
      <c r="J68" s="211">
        <f>SUM('7.4 (P)'!J68,'7.4 (P)'!Q68,'7.4 (P) (2)'!J68,'7.4 (P) (2)'!Q68,'7.4 (P) (3)'!J68,'7.4 (P) (3)'!Q68)</f>
        <v>48</v>
      </c>
      <c r="K68" s="223"/>
      <c r="L68" s="222"/>
    </row>
    <row r="69" spans="1:12" ht="15" customHeight="1">
      <c r="B69" s="153"/>
      <c r="C69" s="152"/>
      <c r="D69" s="149">
        <v>2022</v>
      </c>
      <c r="E69" s="211">
        <f>SUM('7.4 (P)'!E69,'7.4 (P)'!L69,'7.4 (P) (2)'!E69,'7.4 (P) (2)'!L69,'7.4 (P) (3)'!E69,'7.4 (P) (3)'!L69)</f>
        <v>76</v>
      </c>
      <c r="F69" s="211">
        <f>SUM('7.4 (P)'!F69,'7.4 (P)'!M69,'7.4 (P) (2)'!F69,'7.4 (P) (2)'!M69,'7.4 (P) (3)'!F69,'7.4 (P) (3)'!M69)</f>
        <v>344</v>
      </c>
      <c r="G69" s="211">
        <f>SUM('7.4 (P)'!G69,'7.4 (P)'!N69,'7.4 (P) (2)'!G69,'7.4 (P) (2)'!N69,'7.4 (P) (3)'!G69,'7.4 (P) (3)'!N69)</f>
        <v>252</v>
      </c>
      <c r="H69" s="211">
        <f>SUM('7.4 (P)'!H69,'7.4 (P)'!O69,'7.4 (P) (2)'!H69,'7.4 (P) (2)'!O69,'7.4 (P) (3)'!H69,'7.4 (P) (3)'!O69)</f>
        <v>163</v>
      </c>
      <c r="I69" s="211">
        <f>SUM('7.4 (P)'!I69,'7.4 (P)'!P69,'7.4 (P) (2)'!I69,'7.4 (P) (2)'!P69,'7.4 (P) (3)'!I69,'7.4 (P) (3)'!P69)</f>
        <v>89</v>
      </c>
      <c r="J69" s="211">
        <f>SUM('7.4 (P)'!J69,'7.4 (P)'!Q69,'7.4 (P) (2)'!J69,'7.4 (P) (2)'!Q69,'7.4 (P) (3)'!J69,'7.4 (P) (3)'!Q69)</f>
        <v>51</v>
      </c>
      <c r="K69" s="223"/>
      <c r="L69" s="222"/>
    </row>
    <row r="70" spans="1:12" ht="15" customHeight="1">
      <c r="B70" s="153"/>
      <c r="C70" s="152"/>
      <c r="D70" s="149">
        <v>2023</v>
      </c>
      <c r="E70" s="211">
        <f>SUM('7.4 (P)'!E70,'7.4 (P)'!L70,'7.4 (P) (2)'!E70,'7.4 (P) (2)'!L70,'7.4 (P) (3)'!E70,'7.4 (P) (3)'!L70)</f>
        <v>65</v>
      </c>
      <c r="F70" s="211">
        <f>SUM('7.4 (P)'!F70,'7.4 (P)'!M70,'7.4 (P) (2)'!F70,'7.4 (P) (2)'!M70,'7.4 (P) (3)'!F70,'7.4 (P) (3)'!M70)</f>
        <v>357</v>
      </c>
      <c r="G70" s="211">
        <f>SUM('7.4 (P)'!G70,'7.4 (P)'!N70,'7.4 (P) (2)'!G70,'7.4 (P) (2)'!N70,'7.4 (P) (3)'!G70,'7.4 (P) (3)'!N70)</f>
        <v>319</v>
      </c>
      <c r="H70" s="211">
        <f>SUM('7.4 (P)'!H70,'7.4 (P)'!O70,'7.4 (P) (2)'!H70,'7.4 (P) (2)'!O70,'7.4 (P) (3)'!H70,'7.4 (P) (3)'!O70)</f>
        <v>203</v>
      </c>
      <c r="I70" s="211">
        <f>SUM('7.4 (P)'!I70,'7.4 (P)'!P70,'7.4 (P) (2)'!I70,'7.4 (P) (2)'!P70,'7.4 (P) (3)'!I70,'7.4 (P) (3)'!P70)</f>
        <v>127</v>
      </c>
      <c r="J70" s="211">
        <f>SUM('7.4 (P)'!J70,'7.4 (P)'!Q70,'7.4 (P) (2)'!J70,'7.4 (P) (2)'!Q70,'7.4 (P) (3)'!J70,'7.4 (P) (3)'!Q70)</f>
        <v>58</v>
      </c>
      <c r="K70" s="223"/>
      <c r="L70" s="222"/>
    </row>
    <row r="71" spans="1:12" ht="8.1" customHeight="1">
      <c r="B71" s="153"/>
      <c r="C71" s="151"/>
      <c r="D71" s="149"/>
      <c r="E71" s="150"/>
      <c r="F71" s="203"/>
      <c r="G71" s="203"/>
      <c r="H71" s="203"/>
      <c r="I71" s="203"/>
      <c r="J71" s="203"/>
      <c r="K71" s="203"/>
      <c r="L71" s="203"/>
    </row>
    <row r="72" spans="1:12" ht="15" customHeight="1">
      <c r="B72" s="151" t="s">
        <v>109</v>
      </c>
      <c r="C72" s="152"/>
      <c r="D72" s="149">
        <v>2021</v>
      </c>
      <c r="E72" s="211">
        <f>SUM('7.4 (P)'!E72,'7.4 (P)'!L72,'7.4 (P) (2)'!E72,'7.4 (P) (2)'!L72,'7.4 (P) (3)'!E72,'7.4 (P) (3)'!L72)</f>
        <v>93</v>
      </c>
      <c r="F72" s="211">
        <f>SUM('7.4 (P)'!F72,'7.4 (P)'!M72,'7.4 (P) (2)'!F72,'7.4 (P) (2)'!M72,'7.4 (P) (3)'!F72,'7.4 (P) (3)'!M72)</f>
        <v>630</v>
      </c>
      <c r="G72" s="211">
        <f>SUM('7.4 (P)'!G72,'7.4 (P)'!N72,'7.4 (P) (2)'!G72,'7.4 (P) (2)'!N72,'7.4 (P) (3)'!G72,'7.4 (P) (3)'!N72)</f>
        <v>500</v>
      </c>
      <c r="H72" s="211">
        <f>SUM('7.4 (P)'!H72,'7.4 (P)'!O72,'7.4 (P) (2)'!H72,'7.4 (P) (2)'!O72,'7.4 (P) (3)'!H72,'7.4 (P) (3)'!O72)</f>
        <v>293</v>
      </c>
      <c r="I72" s="211">
        <f>SUM('7.4 (P)'!I72,'7.4 (P)'!P72,'7.4 (P) (2)'!I72,'7.4 (P) (2)'!P72,'7.4 (P) (3)'!I72,'7.4 (P) (3)'!P72)</f>
        <v>147</v>
      </c>
      <c r="J72" s="211">
        <f>SUM('7.4 (P)'!J72,'7.4 (P)'!Q72,'7.4 (P) (2)'!J72,'7.4 (P) (2)'!Q72,'7.4 (P) (3)'!J72,'7.4 (P) (3)'!Q72)</f>
        <v>83</v>
      </c>
      <c r="K72" s="223"/>
      <c r="L72" s="222"/>
    </row>
    <row r="73" spans="1:12" ht="15" customHeight="1">
      <c r="B73" s="153"/>
      <c r="C73" s="152"/>
      <c r="D73" s="149">
        <v>2022</v>
      </c>
      <c r="E73" s="211">
        <f>SUM('7.4 (P)'!E73,'7.4 (P)'!L73,'7.4 (P) (2)'!E73,'7.4 (P) (2)'!L73,'7.4 (P) (3)'!E73,'7.4 (P) (3)'!L73)</f>
        <v>107</v>
      </c>
      <c r="F73" s="211">
        <f>SUM('7.4 (P)'!F73,'7.4 (P)'!M73,'7.4 (P) (2)'!F73,'7.4 (P) (2)'!M73,'7.4 (P) (3)'!F73,'7.4 (P) (3)'!M73)</f>
        <v>730</v>
      </c>
      <c r="G73" s="211">
        <f>SUM('7.4 (P)'!G73,'7.4 (P)'!N73,'7.4 (P) (2)'!G73,'7.4 (P) (2)'!N73,'7.4 (P) (3)'!G73,'7.4 (P) (3)'!N73)</f>
        <v>635</v>
      </c>
      <c r="H73" s="211">
        <f>SUM('7.4 (P)'!H73,'7.4 (P)'!O73,'7.4 (P) (2)'!H73,'7.4 (P) (2)'!O73,'7.4 (P) (3)'!H73,'7.4 (P) (3)'!O73)</f>
        <v>361</v>
      </c>
      <c r="I73" s="211">
        <f>SUM('7.4 (P)'!I73,'7.4 (P)'!P73,'7.4 (P) (2)'!I73,'7.4 (P) (2)'!P73,'7.4 (P) (3)'!I73,'7.4 (P) (3)'!P73)</f>
        <v>163</v>
      </c>
      <c r="J73" s="211">
        <f>SUM('7.4 (P)'!J73,'7.4 (P)'!Q73,'7.4 (P) (2)'!J73,'7.4 (P) (2)'!Q73,'7.4 (P) (3)'!J73,'7.4 (P) (3)'!Q73)</f>
        <v>97</v>
      </c>
      <c r="K73" s="223"/>
      <c r="L73" s="222"/>
    </row>
    <row r="74" spans="1:12" ht="15" customHeight="1">
      <c r="A74" s="177"/>
      <c r="B74" s="225"/>
      <c r="C74" s="226"/>
      <c r="D74" s="227">
        <v>2023</v>
      </c>
      <c r="E74" s="211">
        <f>SUM('7.4 (P)'!E74,'7.4 (P)'!L74,'7.4 (P) (2)'!E74,'7.4 (P) (2)'!L74,'7.4 (P) (3)'!E74,'7.4 (P) (3)'!L74)</f>
        <v>110</v>
      </c>
      <c r="F74" s="211">
        <f>SUM('7.4 (P)'!F74,'7.4 (P)'!M74,'7.4 (P) (2)'!F74,'7.4 (P) (2)'!M74,'7.4 (P) (3)'!F74,'7.4 (P) (3)'!M74)</f>
        <v>714</v>
      </c>
      <c r="G74" s="211">
        <f>SUM('7.4 (P)'!G74,'7.4 (P)'!N74,'7.4 (P) (2)'!G74,'7.4 (P) (2)'!N74,'7.4 (P) (3)'!G74,'7.4 (P) (3)'!N74)</f>
        <v>608</v>
      </c>
      <c r="H74" s="211">
        <f>SUM('7.4 (P)'!H74,'7.4 (P)'!O74,'7.4 (P) (2)'!H74,'7.4 (P) (2)'!O74,'7.4 (P) (3)'!H74,'7.4 (P) (3)'!O74)</f>
        <v>405</v>
      </c>
      <c r="I74" s="211">
        <f>SUM('7.4 (P)'!I74,'7.4 (P)'!P74,'7.4 (P) (2)'!I74,'7.4 (P) (2)'!P74,'7.4 (P) (3)'!I74,'7.4 (P) (3)'!P74)</f>
        <v>210</v>
      </c>
      <c r="J74" s="211">
        <f>SUM('7.4 (P)'!J74,'7.4 (P)'!Q74,'7.4 (P) (2)'!J74,'7.4 (P) (2)'!Q74,'7.4 (P) (3)'!J74,'7.4 (P) (3)'!Q74)</f>
        <v>188</v>
      </c>
      <c r="K74" s="223"/>
      <c r="L74" s="222"/>
    </row>
    <row r="75" spans="1:12" ht="8.1" customHeight="1" thickBot="1">
      <c r="A75" s="156"/>
      <c r="B75" s="156"/>
      <c r="C75" s="156"/>
      <c r="D75" s="157"/>
      <c r="E75" s="158"/>
      <c r="F75" s="158"/>
      <c r="G75" s="158"/>
      <c r="H75" s="158"/>
      <c r="I75" s="158"/>
      <c r="J75" s="158"/>
      <c r="K75" s="158"/>
      <c r="L75" s="158"/>
    </row>
    <row r="76" spans="1:12" s="87" customFormat="1" ht="15.95" customHeight="1">
      <c r="B76" s="88"/>
      <c r="C76" s="89"/>
      <c r="D76" s="90"/>
      <c r="E76" s="91"/>
      <c r="F76" s="91"/>
      <c r="L76" s="92" t="s">
        <v>19</v>
      </c>
    </row>
    <row r="77" spans="1:12" s="87" customFormat="1" ht="15.95" customHeight="1">
      <c r="B77" s="88"/>
      <c r="C77" s="89"/>
      <c r="D77" s="90"/>
      <c r="E77" s="91"/>
      <c r="F77" s="91"/>
      <c r="L77" s="93" t="s">
        <v>20</v>
      </c>
    </row>
    <row r="78" spans="1:12" ht="15" customHeight="1">
      <c r="B78" s="212"/>
      <c r="C78" s="213"/>
      <c r="D78" s="214"/>
      <c r="E78" s="219"/>
      <c r="F78" s="220"/>
      <c r="G78" s="220"/>
      <c r="H78" s="220"/>
      <c r="I78" s="220"/>
      <c r="J78" s="220"/>
      <c r="K78" s="220"/>
      <c r="L78" s="220"/>
    </row>
    <row r="79" spans="1:12" ht="15" customHeight="1">
      <c r="D79" s="217"/>
      <c r="E79" s="216"/>
      <c r="F79" s="216"/>
      <c r="G79" s="216"/>
      <c r="H79" s="216"/>
    </row>
    <row r="80" spans="1:12" ht="15" customHeight="1">
      <c r="B80" s="138"/>
      <c r="C80" s="138"/>
      <c r="D80" s="139"/>
      <c r="E80" s="140"/>
      <c r="F80" s="140"/>
      <c r="G80" s="140"/>
      <c r="H80" s="140"/>
      <c r="I80" s="140"/>
      <c r="J80" s="140"/>
      <c r="K80" s="140"/>
      <c r="L80" s="140"/>
    </row>
    <row r="81" spans="2:12" ht="15" customHeight="1">
      <c r="B81" s="138"/>
      <c r="C81" s="138"/>
      <c r="D81" s="139"/>
      <c r="E81" s="140"/>
      <c r="F81" s="140"/>
      <c r="G81" s="140"/>
      <c r="H81" s="140"/>
      <c r="I81" s="140"/>
      <c r="J81" s="140"/>
      <c r="K81" s="140"/>
      <c r="L81" s="140"/>
    </row>
    <row r="82" spans="2:12" ht="15" customHeight="1">
      <c r="B82" s="138"/>
      <c r="C82" s="138"/>
      <c r="D82" s="139"/>
      <c r="E82" s="140"/>
      <c r="F82" s="140"/>
      <c r="G82" s="140"/>
      <c r="H82" s="140"/>
      <c r="I82" s="140"/>
      <c r="J82" s="140"/>
      <c r="K82" s="140"/>
      <c r="L82" s="140"/>
    </row>
    <row r="83" spans="2:12" ht="15" customHeight="1">
      <c r="B83" s="138"/>
      <c r="C83" s="138"/>
      <c r="D83" s="139"/>
      <c r="E83" s="140"/>
      <c r="F83" s="140"/>
      <c r="G83" s="140"/>
      <c r="H83" s="140"/>
      <c r="I83" s="140"/>
      <c r="J83" s="140"/>
      <c r="K83" s="140"/>
      <c r="L83" s="140"/>
    </row>
    <row r="84" spans="2:12" ht="15" customHeight="1">
      <c r="B84" s="138"/>
      <c r="C84" s="138"/>
      <c r="D84" s="139"/>
      <c r="E84" s="140"/>
      <c r="F84" s="140"/>
      <c r="G84" s="140"/>
      <c r="H84" s="140"/>
      <c r="I84" s="140"/>
      <c r="J84" s="140"/>
      <c r="K84" s="140"/>
      <c r="L84" s="140"/>
    </row>
    <row r="85" spans="2:12" ht="15" customHeight="1">
      <c r="B85" s="138"/>
      <c r="C85" s="138"/>
      <c r="D85" s="139"/>
      <c r="E85" s="140"/>
      <c r="F85" s="140"/>
      <c r="G85" s="140"/>
      <c r="H85" s="140"/>
      <c r="I85" s="140"/>
      <c r="J85" s="140"/>
      <c r="K85" s="140"/>
      <c r="L85" s="140"/>
    </row>
    <row r="86" spans="2:12" ht="15" customHeight="1">
      <c r="B86" s="138"/>
      <c r="C86" s="138"/>
      <c r="D86" s="139"/>
      <c r="E86" s="140"/>
      <c r="F86" s="140"/>
      <c r="G86" s="140"/>
      <c r="H86" s="140"/>
      <c r="I86" s="140"/>
      <c r="J86" s="140"/>
      <c r="K86" s="140"/>
      <c r="L86" s="140"/>
    </row>
    <row r="87" spans="2:12" ht="15" customHeight="1">
      <c r="B87" s="138"/>
      <c r="C87" s="138"/>
      <c r="D87" s="139"/>
      <c r="E87" s="140"/>
      <c r="F87" s="140"/>
      <c r="G87" s="140"/>
      <c r="H87" s="140"/>
      <c r="I87" s="140"/>
      <c r="J87" s="140"/>
      <c r="K87" s="140"/>
      <c r="L87" s="140"/>
    </row>
    <row r="88" spans="2:12" ht="15" customHeight="1">
      <c r="B88" s="138"/>
      <c r="C88" s="138"/>
      <c r="D88" s="139"/>
      <c r="E88" s="140"/>
      <c r="F88" s="140"/>
      <c r="G88" s="140"/>
      <c r="H88" s="140"/>
      <c r="I88" s="140"/>
      <c r="J88" s="140"/>
      <c r="K88" s="140"/>
      <c r="L88" s="140"/>
    </row>
    <row r="89" spans="2:12" ht="15" customHeight="1">
      <c r="B89" s="138"/>
      <c r="C89" s="138"/>
      <c r="D89" s="139"/>
      <c r="E89" s="140"/>
      <c r="F89" s="140"/>
      <c r="G89" s="140"/>
      <c r="H89" s="140"/>
      <c r="I89" s="140"/>
      <c r="J89" s="140"/>
      <c r="K89" s="140"/>
      <c r="L89" s="140"/>
    </row>
    <row r="90" spans="2:12" ht="15" customHeight="1">
      <c r="B90" s="138"/>
      <c r="C90" s="138"/>
      <c r="D90" s="139"/>
      <c r="E90" s="140"/>
      <c r="F90" s="140"/>
      <c r="G90" s="140"/>
      <c r="H90" s="140"/>
      <c r="I90" s="140"/>
      <c r="J90" s="140"/>
      <c r="K90" s="140"/>
      <c r="L90" s="140"/>
    </row>
    <row r="91" spans="2:12" ht="15" customHeight="1">
      <c r="B91" s="138"/>
      <c r="C91" s="138"/>
      <c r="D91" s="139"/>
      <c r="E91" s="140"/>
      <c r="F91" s="140"/>
      <c r="G91" s="140"/>
      <c r="H91" s="140"/>
      <c r="I91" s="140"/>
      <c r="J91" s="140"/>
      <c r="K91" s="140"/>
      <c r="L91" s="140"/>
    </row>
    <row r="92" spans="2:12" ht="15" customHeight="1">
      <c r="B92" s="138"/>
      <c r="C92" s="138"/>
      <c r="D92" s="139"/>
      <c r="E92" s="140"/>
      <c r="F92" s="140"/>
      <c r="G92" s="140"/>
      <c r="H92" s="140"/>
      <c r="I92" s="140"/>
      <c r="J92" s="140"/>
      <c r="K92" s="140"/>
      <c r="L92" s="140"/>
    </row>
    <row r="93" spans="2:12" ht="15" customHeight="1">
      <c r="B93" s="138"/>
      <c r="C93" s="138"/>
      <c r="D93" s="139"/>
      <c r="E93" s="140"/>
      <c r="F93" s="140"/>
      <c r="G93" s="140"/>
      <c r="H93" s="140"/>
      <c r="I93" s="140"/>
      <c r="J93" s="140"/>
      <c r="K93" s="140"/>
      <c r="L93" s="140"/>
    </row>
    <row r="94" spans="2:12" ht="15" customHeight="1">
      <c r="B94" s="138"/>
      <c r="C94" s="138"/>
      <c r="D94" s="139"/>
      <c r="E94" s="140"/>
      <c r="F94" s="140"/>
      <c r="G94" s="140"/>
      <c r="H94" s="140"/>
      <c r="I94" s="140"/>
      <c r="J94" s="140"/>
      <c r="K94" s="140"/>
      <c r="L94" s="140"/>
    </row>
    <row r="95" spans="2:12" ht="15" customHeight="1">
      <c r="B95" s="138"/>
      <c r="C95" s="138"/>
      <c r="D95" s="139"/>
      <c r="E95" s="140"/>
      <c r="F95" s="140"/>
      <c r="G95" s="140"/>
      <c r="H95" s="140"/>
      <c r="I95" s="140"/>
      <c r="J95" s="140"/>
      <c r="K95" s="140"/>
      <c r="L95" s="140"/>
    </row>
    <row r="96" spans="2:12" ht="15" customHeight="1">
      <c r="B96" s="138"/>
      <c r="C96" s="138"/>
      <c r="D96" s="139"/>
      <c r="E96" s="140"/>
      <c r="F96" s="140"/>
      <c r="G96" s="140"/>
      <c r="H96" s="140"/>
      <c r="I96" s="140"/>
      <c r="J96" s="140"/>
      <c r="K96" s="140"/>
      <c r="L96" s="140"/>
    </row>
    <row r="97" spans="2:12" ht="15" customHeight="1">
      <c r="B97" s="138"/>
      <c r="C97" s="138"/>
      <c r="D97" s="139"/>
      <c r="E97" s="140"/>
      <c r="F97" s="140"/>
      <c r="G97" s="140"/>
      <c r="H97" s="140"/>
      <c r="I97" s="140"/>
      <c r="J97" s="140"/>
      <c r="K97" s="140"/>
      <c r="L97" s="140"/>
    </row>
    <row r="98" spans="2:12" ht="15" customHeight="1">
      <c r="B98" s="138"/>
      <c r="C98" s="138"/>
      <c r="D98" s="139"/>
      <c r="E98" s="140"/>
      <c r="F98" s="140"/>
      <c r="G98" s="140"/>
      <c r="H98" s="140"/>
      <c r="I98" s="140"/>
      <c r="J98" s="140"/>
      <c r="K98" s="140"/>
      <c r="L98" s="140"/>
    </row>
    <row r="99" spans="2:12" ht="15" customHeight="1">
      <c r="B99" s="138"/>
      <c r="C99" s="138"/>
      <c r="D99" s="139"/>
      <c r="E99" s="140"/>
      <c r="F99" s="140"/>
      <c r="G99" s="140"/>
      <c r="H99" s="140"/>
      <c r="I99" s="140"/>
      <c r="J99" s="140"/>
      <c r="K99" s="140"/>
      <c r="L99" s="140"/>
    </row>
    <row r="100" spans="2:12" ht="15" customHeight="1">
      <c r="B100" s="138"/>
      <c r="C100" s="138"/>
      <c r="D100" s="139"/>
      <c r="E100" s="140"/>
      <c r="F100" s="140"/>
      <c r="G100" s="140"/>
      <c r="H100" s="140"/>
      <c r="I100" s="140"/>
      <c r="J100" s="140"/>
      <c r="K100" s="140"/>
      <c r="L100" s="140"/>
    </row>
    <row r="101" spans="2:12" ht="15" customHeight="1">
      <c r="B101" s="138"/>
      <c r="C101" s="138"/>
      <c r="D101" s="139"/>
      <c r="E101" s="140"/>
      <c r="F101" s="140"/>
      <c r="G101" s="140"/>
      <c r="H101" s="140"/>
      <c r="I101" s="140"/>
      <c r="J101" s="140"/>
      <c r="K101" s="140"/>
      <c r="L101" s="140"/>
    </row>
    <row r="102" spans="2:12" ht="15" customHeight="1">
      <c r="B102" s="138"/>
      <c r="C102" s="138"/>
      <c r="D102" s="139"/>
      <c r="E102" s="140"/>
      <c r="F102" s="140"/>
      <c r="G102" s="140"/>
      <c r="H102" s="140"/>
      <c r="I102" s="140"/>
      <c r="J102" s="140"/>
      <c r="K102" s="140"/>
      <c r="L102" s="140"/>
    </row>
    <row r="103" spans="2:12" ht="15" customHeight="1">
      <c r="B103" s="138"/>
      <c r="C103" s="138"/>
      <c r="D103" s="139"/>
      <c r="E103" s="140"/>
      <c r="F103" s="140"/>
      <c r="G103" s="140"/>
      <c r="H103" s="140"/>
      <c r="I103" s="140"/>
      <c r="J103" s="140"/>
      <c r="K103" s="140"/>
      <c r="L103" s="140"/>
    </row>
    <row r="104" spans="2:12" ht="15" customHeight="1">
      <c r="B104" s="138"/>
      <c r="C104" s="138"/>
      <c r="D104" s="139"/>
      <c r="E104" s="140"/>
      <c r="F104" s="140"/>
      <c r="G104" s="140"/>
      <c r="H104" s="140"/>
      <c r="I104" s="140"/>
      <c r="J104" s="140"/>
      <c r="K104" s="140"/>
      <c r="L104" s="140"/>
    </row>
    <row r="105" spans="2:12" ht="15" customHeight="1">
      <c r="B105" s="138"/>
      <c r="C105" s="138"/>
      <c r="D105" s="139"/>
      <c r="E105" s="140"/>
      <c r="F105" s="140"/>
      <c r="G105" s="140"/>
      <c r="H105" s="140"/>
      <c r="I105" s="140"/>
      <c r="J105" s="140"/>
      <c r="K105" s="140"/>
      <c r="L105" s="140"/>
    </row>
    <row r="106" spans="2:12" ht="15" customHeight="1">
      <c r="B106" s="138"/>
      <c r="C106" s="138"/>
      <c r="D106" s="139"/>
      <c r="E106" s="140"/>
      <c r="F106" s="140"/>
      <c r="G106" s="140"/>
      <c r="H106" s="140"/>
      <c r="I106" s="140"/>
      <c r="J106" s="140"/>
      <c r="K106" s="140"/>
      <c r="L106" s="140"/>
    </row>
    <row r="107" spans="2:12" ht="15" customHeight="1">
      <c r="B107" s="138"/>
      <c r="C107" s="138"/>
      <c r="D107" s="139"/>
      <c r="E107" s="140"/>
      <c r="F107" s="140"/>
      <c r="G107" s="140"/>
      <c r="H107" s="140"/>
      <c r="I107" s="140"/>
      <c r="J107" s="140"/>
      <c r="K107" s="140"/>
      <c r="L107" s="140"/>
    </row>
    <row r="108" spans="2:12" ht="15" customHeight="1">
      <c r="B108" s="138"/>
      <c r="C108" s="138"/>
      <c r="D108" s="139"/>
      <c r="E108" s="140"/>
      <c r="F108" s="140"/>
      <c r="G108" s="140"/>
      <c r="H108" s="140"/>
      <c r="I108" s="140"/>
      <c r="J108" s="140"/>
      <c r="K108" s="140"/>
      <c r="L108" s="140"/>
    </row>
    <row r="109" spans="2:12" ht="15" customHeight="1">
      <c r="B109" s="138"/>
      <c r="C109" s="138"/>
      <c r="D109" s="139"/>
      <c r="E109" s="140"/>
      <c r="F109" s="140"/>
      <c r="G109" s="140"/>
      <c r="H109" s="140"/>
      <c r="I109" s="140"/>
      <c r="J109" s="140"/>
      <c r="K109" s="140"/>
      <c r="L109" s="140"/>
    </row>
    <row r="110" spans="2:12" ht="15" customHeight="1">
      <c r="B110" s="138"/>
      <c r="C110" s="138"/>
      <c r="D110" s="139"/>
      <c r="E110" s="140"/>
      <c r="F110" s="140"/>
      <c r="G110" s="140"/>
      <c r="H110" s="140"/>
      <c r="I110" s="140"/>
      <c r="J110" s="140"/>
      <c r="K110" s="140"/>
      <c r="L110" s="140"/>
    </row>
    <row r="111" spans="2:12" ht="15" customHeight="1">
      <c r="B111" s="138"/>
      <c r="C111" s="138"/>
      <c r="D111" s="139"/>
      <c r="E111" s="140"/>
      <c r="F111" s="140"/>
      <c r="G111" s="140"/>
      <c r="H111" s="140"/>
      <c r="I111" s="140"/>
      <c r="J111" s="140"/>
      <c r="K111" s="140"/>
      <c r="L111" s="140"/>
    </row>
    <row r="112" spans="2:12" ht="15" customHeight="1">
      <c r="B112" s="138"/>
      <c r="C112" s="138"/>
      <c r="D112" s="139"/>
      <c r="E112" s="140"/>
      <c r="F112" s="140"/>
      <c r="G112" s="140"/>
      <c r="H112" s="140"/>
      <c r="I112" s="140"/>
      <c r="J112" s="140"/>
      <c r="K112" s="140"/>
      <c r="L112" s="140"/>
    </row>
    <row r="113" spans="2:12" ht="15" customHeight="1">
      <c r="B113" s="138"/>
      <c r="C113" s="138"/>
      <c r="D113" s="139"/>
      <c r="E113" s="140"/>
      <c r="F113" s="140"/>
      <c r="G113" s="140"/>
      <c r="H113" s="140"/>
      <c r="I113" s="140"/>
      <c r="J113" s="140"/>
      <c r="K113" s="140"/>
      <c r="L113" s="140"/>
    </row>
    <row r="114" spans="2:12" ht="15" customHeight="1">
      <c r="B114" s="138"/>
      <c r="C114" s="138"/>
      <c r="D114" s="139"/>
      <c r="E114" s="140"/>
      <c r="F114" s="140"/>
      <c r="G114" s="140"/>
      <c r="H114" s="140"/>
      <c r="I114" s="140"/>
      <c r="J114" s="140"/>
      <c r="K114" s="140"/>
      <c r="L114" s="140"/>
    </row>
    <row r="115" spans="2:12" ht="15" customHeight="1">
      <c r="B115" s="138"/>
      <c r="C115" s="138"/>
      <c r="D115" s="139"/>
      <c r="E115" s="140"/>
      <c r="F115" s="140"/>
      <c r="G115" s="140"/>
      <c r="H115" s="140"/>
      <c r="I115" s="140"/>
      <c r="J115" s="140"/>
      <c r="K115" s="140"/>
      <c r="L115" s="140"/>
    </row>
    <row r="116" spans="2:12" ht="15" customHeight="1">
      <c r="B116" s="138"/>
      <c r="C116" s="138"/>
      <c r="D116" s="139"/>
      <c r="E116" s="140"/>
      <c r="F116" s="140"/>
      <c r="G116" s="140"/>
      <c r="H116" s="140"/>
      <c r="I116" s="140"/>
      <c r="J116" s="140"/>
      <c r="K116" s="140"/>
      <c r="L116" s="140"/>
    </row>
    <row r="117" spans="2:12" ht="15" customHeight="1">
      <c r="B117" s="138"/>
      <c r="C117" s="138"/>
      <c r="D117" s="139"/>
      <c r="E117" s="140"/>
      <c r="F117" s="140"/>
      <c r="G117" s="140"/>
      <c r="H117" s="140"/>
      <c r="I117" s="140"/>
      <c r="J117" s="140"/>
      <c r="K117" s="140"/>
      <c r="L117" s="140"/>
    </row>
    <row r="118" spans="2:12" ht="15" customHeight="1">
      <c r="B118" s="138"/>
      <c r="C118" s="138"/>
      <c r="D118" s="139"/>
      <c r="E118" s="140"/>
      <c r="F118" s="140"/>
      <c r="G118" s="140"/>
      <c r="H118" s="140"/>
      <c r="I118" s="140"/>
      <c r="J118" s="140"/>
      <c r="K118" s="140"/>
      <c r="L118" s="140"/>
    </row>
    <row r="119" spans="2:12" ht="15" customHeight="1">
      <c r="B119" s="138"/>
      <c r="C119" s="138"/>
      <c r="D119" s="139"/>
      <c r="E119" s="140"/>
      <c r="F119" s="140"/>
      <c r="G119" s="140"/>
      <c r="H119" s="140"/>
      <c r="I119" s="140"/>
      <c r="J119" s="140"/>
      <c r="K119" s="140"/>
      <c r="L119" s="140"/>
    </row>
    <row r="120" spans="2:12" ht="15" customHeight="1">
      <c r="B120" s="138"/>
      <c r="C120" s="138"/>
      <c r="D120" s="139"/>
      <c r="E120" s="140"/>
      <c r="F120" s="140"/>
      <c r="G120" s="140"/>
      <c r="H120" s="140"/>
      <c r="I120" s="140"/>
      <c r="J120" s="140"/>
      <c r="K120" s="140"/>
      <c r="L120" s="140"/>
    </row>
    <row r="121" spans="2:12" ht="15" customHeight="1">
      <c r="B121" s="138"/>
      <c r="C121" s="138"/>
      <c r="D121" s="139"/>
      <c r="E121" s="140"/>
      <c r="F121" s="140"/>
      <c r="G121" s="140"/>
      <c r="H121" s="140"/>
      <c r="I121" s="140"/>
      <c r="J121" s="140"/>
      <c r="K121" s="140"/>
      <c r="L121" s="140"/>
    </row>
    <row r="122" spans="2:12" ht="15" customHeight="1">
      <c r="B122" s="138"/>
      <c r="C122" s="138"/>
      <c r="D122" s="139"/>
      <c r="E122" s="140"/>
      <c r="F122" s="140"/>
      <c r="G122" s="140"/>
      <c r="H122" s="140"/>
      <c r="I122" s="140"/>
      <c r="J122" s="140"/>
      <c r="K122" s="140"/>
      <c r="L122" s="140"/>
    </row>
    <row r="123" spans="2:12" ht="15" customHeight="1">
      <c r="B123" s="138"/>
      <c r="C123" s="138"/>
      <c r="D123" s="139"/>
      <c r="E123" s="140"/>
      <c r="F123" s="140"/>
      <c r="G123" s="140"/>
      <c r="H123" s="140"/>
      <c r="I123" s="140"/>
      <c r="J123" s="140"/>
      <c r="K123" s="140"/>
      <c r="L123" s="140"/>
    </row>
    <row r="124" spans="2:12" ht="15" customHeight="1">
      <c r="B124" s="138"/>
      <c r="C124" s="138"/>
      <c r="D124" s="139"/>
      <c r="E124" s="140"/>
      <c r="F124" s="140"/>
      <c r="G124" s="140"/>
      <c r="H124" s="140"/>
      <c r="I124" s="140"/>
      <c r="J124" s="140"/>
      <c r="K124" s="140"/>
      <c r="L124" s="140"/>
    </row>
    <row r="125" spans="2:12" ht="15" customHeight="1">
      <c r="B125" s="138"/>
      <c r="C125" s="138"/>
      <c r="D125" s="139"/>
      <c r="E125" s="140"/>
      <c r="F125" s="140"/>
      <c r="G125" s="140"/>
      <c r="H125" s="140"/>
      <c r="I125" s="140"/>
      <c r="J125" s="140"/>
      <c r="K125" s="140"/>
      <c r="L125" s="140"/>
    </row>
    <row r="126" spans="2:12" ht="15" customHeight="1">
      <c r="B126" s="138"/>
      <c r="C126" s="138"/>
      <c r="D126" s="139"/>
      <c r="E126" s="140"/>
      <c r="F126" s="140"/>
      <c r="G126" s="140"/>
      <c r="H126" s="140"/>
      <c r="I126" s="140"/>
      <c r="J126" s="140"/>
      <c r="K126" s="140"/>
      <c r="L126" s="140"/>
    </row>
    <row r="127" spans="2:12" ht="15" customHeight="1">
      <c r="B127" s="138"/>
      <c r="C127" s="138"/>
      <c r="D127" s="139"/>
      <c r="E127" s="140"/>
      <c r="F127" s="140"/>
      <c r="G127" s="140"/>
      <c r="H127" s="140"/>
      <c r="I127" s="140"/>
      <c r="J127" s="140"/>
      <c r="K127" s="140"/>
      <c r="L127" s="140"/>
    </row>
    <row r="128" spans="2:12" ht="15" customHeight="1">
      <c r="B128" s="138"/>
      <c r="C128" s="138"/>
      <c r="D128" s="139"/>
      <c r="E128" s="140"/>
      <c r="F128" s="140"/>
      <c r="G128" s="140"/>
      <c r="H128" s="140"/>
      <c r="I128" s="140"/>
      <c r="J128" s="140"/>
      <c r="K128" s="140"/>
      <c r="L128" s="140"/>
    </row>
    <row r="129" spans="2:12" ht="15" customHeight="1">
      <c r="B129" s="138"/>
      <c r="C129" s="138"/>
      <c r="D129" s="139"/>
      <c r="E129" s="140"/>
      <c r="F129" s="140"/>
      <c r="G129" s="140"/>
      <c r="H129" s="140"/>
      <c r="I129" s="140"/>
      <c r="J129" s="140"/>
      <c r="K129" s="140"/>
      <c r="L129" s="140"/>
    </row>
    <row r="130" spans="2:12" ht="15" customHeight="1">
      <c r="B130" s="138"/>
      <c r="C130" s="138"/>
      <c r="D130" s="139"/>
      <c r="E130" s="140"/>
      <c r="F130" s="140"/>
      <c r="G130" s="140"/>
      <c r="H130" s="140"/>
      <c r="I130" s="140"/>
      <c r="J130" s="140"/>
      <c r="K130" s="140"/>
      <c r="L130" s="140"/>
    </row>
    <row r="131" spans="2:12" ht="15" customHeight="1">
      <c r="B131" s="138"/>
      <c r="C131" s="138"/>
      <c r="D131" s="139"/>
      <c r="E131" s="140"/>
      <c r="F131" s="140"/>
      <c r="G131" s="140"/>
      <c r="H131" s="140"/>
      <c r="I131" s="140"/>
      <c r="J131" s="140"/>
      <c r="K131" s="140"/>
      <c r="L131" s="140"/>
    </row>
    <row r="132" spans="2:12" ht="15" customHeight="1">
      <c r="B132" s="138"/>
      <c r="C132" s="138"/>
      <c r="D132" s="139"/>
      <c r="E132" s="140"/>
      <c r="F132" s="140"/>
      <c r="G132" s="140"/>
      <c r="H132" s="140"/>
      <c r="I132" s="140"/>
      <c r="J132" s="140"/>
      <c r="K132" s="140"/>
      <c r="L132" s="140"/>
    </row>
    <row r="133" spans="2:12" ht="15" customHeight="1">
      <c r="B133" s="138"/>
      <c r="C133" s="138"/>
      <c r="D133" s="139"/>
      <c r="E133" s="140"/>
      <c r="F133" s="140"/>
      <c r="G133" s="140"/>
      <c r="H133" s="140"/>
      <c r="I133" s="140"/>
      <c r="J133" s="140"/>
      <c r="K133" s="140"/>
      <c r="L133" s="140"/>
    </row>
    <row r="134" spans="2:12" ht="15" customHeight="1">
      <c r="B134" s="138"/>
      <c r="C134" s="138"/>
      <c r="D134" s="139"/>
      <c r="E134" s="140"/>
      <c r="F134" s="140"/>
      <c r="G134" s="140"/>
      <c r="H134" s="140"/>
      <c r="I134" s="140"/>
      <c r="J134" s="140"/>
      <c r="K134" s="140"/>
      <c r="L134" s="140"/>
    </row>
    <row r="135" spans="2:12" ht="15" customHeight="1">
      <c r="B135" s="138"/>
      <c r="C135" s="138"/>
      <c r="D135" s="139"/>
      <c r="E135" s="140"/>
      <c r="F135" s="140"/>
      <c r="G135" s="140"/>
      <c r="H135" s="140"/>
      <c r="I135" s="140"/>
      <c r="J135" s="140"/>
      <c r="K135" s="140"/>
      <c r="L135" s="140"/>
    </row>
    <row r="136" spans="2:12" ht="15" customHeight="1">
      <c r="B136" s="138"/>
      <c r="C136" s="138"/>
      <c r="D136" s="139"/>
      <c r="E136" s="140"/>
      <c r="F136" s="140"/>
      <c r="G136" s="140"/>
      <c r="H136" s="140"/>
      <c r="I136" s="140"/>
      <c r="J136" s="140"/>
      <c r="K136" s="140"/>
      <c r="L136" s="140"/>
    </row>
    <row r="137" spans="2:12" ht="15" customHeight="1">
      <c r="B137" s="138"/>
      <c r="C137" s="138"/>
      <c r="D137" s="139"/>
      <c r="E137" s="140"/>
      <c r="F137" s="140"/>
      <c r="G137" s="140"/>
      <c r="H137" s="140"/>
      <c r="I137" s="140"/>
      <c r="J137" s="140"/>
      <c r="K137" s="140"/>
      <c r="L137" s="140"/>
    </row>
    <row r="138" spans="2:12" ht="15" customHeight="1">
      <c r="B138" s="138"/>
      <c r="C138" s="138"/>
      <c r="D138" s="139"/>
      <c r="E138" s="140"/>
      <c r="F138" s="140"/>
      <c r="G138" s="140"/>
      <c r="H138" s="140"/>
      <c r="I138" s="140"/>
      <c r="J138" s="140"/>
      <c r="K138" s="140"/>
      <c r="L138" s="140"/>
    </row>
    <row r="139" spans="2:12" ht="15" customHeight="1">
      <c r="B139" s="138"/>
      <c r="C139" s="138"/>
      <c r="D139" s="139"/>
      <c r="E139" s="140"/>
      <c r="F139" s="140"/>
      <c r="G139" s="140"/>
      <c r="H139" s="140"/>
      <c r="I139" s="140"/>
      <c r="J139" s="140"/>
      <c r="K139" s="140"/>
      <c r="L139" s="140"/>
    </row>
    <row r="140" spans="2:12" ht="15" customHeight="1">
      <c r="B140" s="138"/>
      <c r="C140" s="138"/>
      <c r="D140" s="139"/>
      <c r="E140" s="140"/>
      <c r="F140" s="140"/>
      <c r="G140" s="140"/>
      <c r="H140" s="140"/>
      <c r="I140" s="140"/>
      <c r="J140" s="140"/>
      <c r="K140" s="140"/>
      <c r="L140" s="140"/>
    </row>
    <row r="141" spans="2:12" ht="15" customHeight="1">
      <c r="B141" s="138"/>
      <c r="C141" s="138"/>
      <c r="D141" s="139"/>
      <c r="E141" s="140"/>
      <c r="F141" s="140"/>
      <c r="G141" s="140"/>
      <c r="H141" s="140"/>
      <c r="I141" s="140"/>
      <c r="J141" s="140"/>
      <c r="K141" s="140"/>
      <c r="L141" s="140"/>
    </row>
    <row r="142" spans="2:12" ht="15" customHeight="1">
      <c r="B142" s="138"/>
      <c r="C142" s="138"/>
      <c r="D142" s="139"/>
      <c r="E142" s="140"/>
      <c r="F142" s="140"/>
      <c r="G142" s="140"/>
      <c r="H142" s="140"/>
      <c r="I142" s="140"/>
      <c r="J142" s="140"/>
      <c r="K142" s="140"/>
      <c r="L142" s="140"/>
    </row>
    <row r="143" spans="2:12" ht="15" customHeight="1">
      <c r="B143" s="138"/>
      <c r="C143" s="138"/>
      <c r="D143" s="139"/>
      <c r="E143" s="140"/>
      <c r="F143" s="140"/>
      <c r="G143" s="140"/>
      <c r="H143" s="140"/>
      <c r="I143" s="140"/>
      <c r="J143" s="140"/>
      <c r="K143" s="140"/>
      <c r="L143" s="140"/>
    </row>
    <row r="144" spans="2:12" ht="15" customHeight="1">
      <c r="B144" s="138"/>
      <c r="C144" s="138"/>
      <c r="D144" s="139"/>
      <c r="E144" s="140"/>
      <c r="F144" s="140"/>
      <c r="G144" s="140"/>
      <c r="H144" s="140"/>
      <c r="I144" s="140"/>
      <c r="J144" s="140"/>
      <c r="K144" s="140"/>
      <c r="L144" s="140"/>
    </row>
    <row r="145" spans="2:12" ht="15" customHeight="1">
      <c r="B145" s="138"/>
      <c r="C145" s="138"/>
      <c r="D145" s="139"/>
      <c r="E145" s="140"/>
      <c r="F145" s="140"/>
      <c r="G145" s="140"/>
      <c r="H145" s="140"/>
      <c r="I145" s="140"/>
      <c r="J145" s="140"/>
      <c r="K145" s="140"/>
      <c r="L145" s="140"/>
    </row>
    <row r="146" spans="2:12" ht="15" customHeight="1">
      <c r="B146" s="138"/>
      <c r="C146" s="138"/>
      <c r="D146" s="139"/>
      <c r="E146" s="140"/>
      <c r="F146" s="140"/>
      <c r="G146" s="140"/>
      <c r="H146" s="140"/>
      <c r="I146" s="140"/>
      <c r="J146" s="140"/>
      <c r="K146" s="140"/>
      <c r="L146" s="140"/>
    </row>
    <row r="147" spans="2:12" ht="15" customHeight="1">
      <c r="B147" s="138"/>
      <c r="C147" s="138"/>
      <c r="D147" s="139"/>
      <c r="E147" s="140"/>
      <c r="F147" s="140"/>
      <c r="G147" s="140"/>
      <c r="H147" s="140"/>
      <c r="I147" s="140"/>
      <c r="J147" s="140"/>
      <c r="K147" s="140"/>
      <c r="L147" s="140"/>
    </row>
    <row r="148" spans="2:12" ht="15" customHeight="1">
      <c r="B148" s="138"/>
      <c r="C148" s="138"/>
      <c r="D148" s="139"/>
      <c r="E148" s="140"/>
      <c r="F148" s="140"/>
      <c r="G148" s="140"/>
      <c r="H148" s="140"/>
      <c r="I148" s="140"/>
      <c r="J148" s="140"/>
      <c r="K148" s="140"/>
      <c r="L148" s="140"/>
    </row>
    <row r="149" spans="2:12" ht="15" customHeight="1">
      <c r="B149" s="138"/>
      <c r="C149" s="138"/>
      <c r="D149" s="139"/>
      <c r="E149" s="140"/>
      <c r="F149" s="140"/>
      <c r="G149" s="140"/>
      <c r="H149" s="140"/>
      <c r="I149" s="140"/>
      <c r="J149" s="140"/>
      <c r="K149" s="140"/>
      <c r="L149" s="140"/>
    </row>
    <row r="150" spans="2:12" ht="15" customHeight="1">
      <c r="B150" s="138"/>
      <c r="C150" s="138"/>
      <c r="D150" s="139"/>
      <c r="E150" s="140"/>
      <c r="F150" s="140"/>
      <c r="G150" s="140"/>
      <c r="H150" s="140"/>
      <c r="I150" s="140"/>
      <c r="J150" s="140"/>
      <c r="K150" s="140"/>
      <c r="L150" s="140"/>
    </row>
    <row r="151" spans="2:12" ht="15" customHeight="1">
      <c r="B151" s="138"/>
      <c r="C151" s="138"/>
      <c r="D151" s="139"/>
      <c r="E151" s="140"/>
      <c r="F151" s="140"/>
      <c r="G151" s="140"/>
      <c r="H151" s="140"/>
      <c r="I151" s="140"/>
      <c r="J151" s="140"/>
      <c r="K151" s="140"/>
      <c r="L151" s="140"/>
    </row>
    <row r="152" spans="2:12" ht="15" customHeight="1">
      <c r="B152" s="138"/>
      <c r="C152" s="138"/>
      <c r="D152" s="139"/>
      <c r="E152" s="140"/>
      <c r="F152" s="140"/>
      <c r="G152" s="140"/>
      <c r="H152" s="140"/>
      <c r="I152" s="140"/>
      <c r="J152" s="140"/>
      <c r="K152" s="140"/>
      <c r="L152" s="140"/>
    </row>
    <row r="153" spans="2:12" ht="15" customHeight="1">
      <c r="B153" s="138"/>
      <c r="C153" s="138"/>
      <c r="D153" s="139"/>
      <c r="E153" s="140"/>
      <c r="F153" s="140"/>
      <c r="G153" s="140"/>
      <c r="H153" s="140"/>
      <c r="I153" s="140"/>
      <c r="J153" s="140"/>
      <c r="K153" s="140"/>
      <c r="L153" s="140"/>
    </row>
    <row r="154" spans="2:12" ht="15" customHeight="1">
      <c r="B154" s="138"/>
      <c r="C154" s="138"/>
      <c r="D154" s="139"/>
      <c r="E154" s="140"/>
      <c r="F154" s="140"/>
      <c r="G154" s="140"/>
      <c r="H154" s="140"/>
      <c r="I154" s="140"/>
      <c r="J154" s="140"/>
      <c r="K154" s="140"/>
      <c r="L154" s="140"/>
    </row>
    <row r="155" spans="2:12" ht="15" customHeight="1">
      <c r="B155" s="138"/>
      <c r="C155" s="138"/>
      <c r="D155" s="139"/>
      <c r="E155" s="140"/>
      <c r="F155" s="140"/>
      <c r="G155" s="140"/>
      <c r="H155" s="140"/>
      <c r="I155" s="140"/>
      <c r="J155" s="140"/>
      <c r="K155" s="140"/>
      <c r="L155" s="140"/>
    </row>
    <row r="156" spans="2:12" ht="15" customHeight="1">
      <c r="B156" s="138"/>
      <c r="C156" s="138"/>
      <c r="D156" s="139"/>
      <c r="E156" s="140"/>
      <c r="F156" s="140"/>
      <c r="G156" s="140"/>
      <c r="H156" s="140"/>
      <c r="I156" s="140"/>
      <c r="J156" s="140"/>
      <c r="K156" s="140"/>
      <c r="L156" s="140"/>
    </row>
    <row r="157" spans="2:12" ht="15" customHeight="1">
      <c r="B157" s="138"/>
      <c r="C157" s="138"/>
      <c r="D157" s="139"/>
      <c r="E157" s="140"/>
      <c r="F157" s="140"/>
      <c r="G157" s="140"/>
      <c r="H157" s="140"/>
      <c r="I157" s="140"/>
      <c r="J157" s="140"/>
      <c r="K157" s="140"/>
      <c r="L157" s="140"/>
    </row>
    <row r="158" spans="2:12" ht="15" customHeight="1">
      <c r="B158" s="138"/>
      <c r="C158" s="138"/>
      <c r="D158" s="139"/>
      <c r="E158" s="140"/>
      <c r="F158" s="140"/>
      <c r="G158" s="140"/>
      <c r="H158" s="140"/>
      <c r="I158" s="140"/>
      <c r="J158" s="140"/>
      <c r="K158" s="140"/>
      <c r="L158" s="140"/>
    </row>
    <row r="159" spans="2:12" ht="15" customHeight="1">
      <c r="B159" s="138"/>
      <c r="C159" s="138"/>
      <c r="D159" s="139"/>
      <c r="E159" s="140"/>
      <c r="F159" s="140"/>
      <c r="G159" s="140"/>
      <c r="H159" s="140"/>
      <c r="I159" s="140"/>
      <c r="J159" s="140"/>
      <c r="K159" s="140"/>
      <c r="L159" s="140"/>
    </row>
    <row r="160" spans="2:12" ht="15" customHeight="1">
      <c r="B160" s="138"/>
      <c r="C160" s="138"/>
      <c r="D160" s="139"/>
      <c r="E160" s="140"/>
      <c r="F160" s="140"/>
      <c r="G160" s="140"/>
      <c r="H160" s="140"/>
      <c r="I160" s="140"/>
      <c r="J160" s="140"/>
      <c r="K160" s="140"/>
      <c r="L160" s="140"/>
    </row>
    <row r="161" spans="2:12" ht="15" customHeight="1">
      <c r="B161" s="138"/>
      <c r="C161" s="138"/>
      <c r="D161" s="139"/>
      <c r="E161" s="140"/>
      <c r="F161" s="140"/>
      <c r="G161" s="140"/>
      <c r="H161" s="140"/>
      <c r="I161" s="140"/>
      <c r="J161" s="140"/>
      <c r="K161" s="140"/>
      <c r="L161" s="140"/>
    </row>
    <row r="162" spans="2:12" ht="15" customHeight="1">
      <c r="B162" s="138"/>
      <c r="C162" s="138"/>
      <c r="D162" s="139"/>
      <c r="E162" s="140"/>
      <c r="F162" s="140"/>
      <c r="G162" s="140"/>
      <c r="H162" s="140"/>
      <c r="I162" s="140"/>
      <c r="J162" s="140"/>
      <c r="K162" s="140"/>
      <c r="L162" s="140"/>
    </row>
    <row r="163" spans="2:12" ht="15" customHeight="1">
      <c r="B163" s="138"/>
      <c r="C163" s="138"/>
      <c r="D163" s="139"/>
      <c r="E163" s="140"/>
      <c r="F163" s="140"/>
      <c r="G163" s="140"/>
      <c r="H163" s="140"/>
      <c r="I163" s="140"/>
      <c r="J163" s="140"/>
      <c r="K163" s="140"/>
      <c r="L163" s="140"/>
    </row>
    <row r="164" spans="2:12" ht="15" customHeight="1">
      <c r="B164" s="138"/>
      <c r="C164" s="138"/>
      <c r="D164" s="139"/>
      <c r="E164" s="140"/>
      <c r="F164" s="140"/>
      <c r="G164" s="140"/>
      <c r="H164" s="140"/>
      <c r="I164" s="140"/>
      <c r="J164" s="140"/>
      <c r="K164" s="140"/>
      <c r="L164" s="140"/>
    </row>
    <row r="165" spans="2:12" ht="15" customHeight="1">
      <c r="B165" s="138"/>
      <c r="C165" s="138"/>
      <c r="D165" s="139"/>
      <c r="E165" s="140"/>
      <c r="F165" s="140"/>
      <c r="G165" s="140"/>
      <c r="H165" s="140"/>
      <c r="I165" s="140"/>
      <c r="J165" s="140"/>
      <c r="K165" s="140"/>
      <c r="L165" s="140"/>
    </row>
    <row r="166" spans="2:12" ht="15" customHeight="1">
      <c r="B166" s="138"/>
      <c r="C166" s="138"/>
      <c r="D166" s="139"/>
      <c r="E166" s="140"/>
      <c r="F166" s="140"/>
      <c r="G166" s="140"/>
      <c r="H166" s="140"/>
      <c r="I166" s="140"/>
      <c r="J166" s="140"/>
      <c r="K166" s="140"/>
      <c r="L166" s="140"/>
    </row>
    <row r="167" spans="2:12" ht="15" customHeight="1">
      <c r="B167" s="138"/>
      <c r="C167" s="138"/>
      <c r="D167" s="139"/>
      <c r="E167" s="140"/>
      <c r="F167" s="140"/>
      <c r="G167" s="140"/>
      <c r="H167" s="140"/>
      <c r="I167" s="140"/>
      <c r="J167" s="140"/>
      <c r="K167" s="140"/>
      <c r="L167" s="140"/>
    </row>
    <row r="168" spans="2:12" ht="15" customHeight="1">
      <c r="B168" s="138"/>
      <c r="C168" s="138"/>
      <c r="D168" s="139"/>
      <c r="E168" s="140"/>
      <c r="F168" s="140"/>
      <c r="G168" s="140"/>
      <c r="H168" s="140"/>
      <c r="I168" s="140"/>
      <c r="J168" s="140"/>
      <c r="K168" s="140"/>
      <c r="L168" s="140"/>
    </row>
    <row r="169" spans="2:12" ht="15" customHeight="1">
      <c r="B169" s="138"/>
      <c r="C169" s="138"/>
      <c r="D169" s="139"/>
      <c r="E169" s="140"/>
      <c r="F169" s="140"/>
      <c r="G169" s="140"/>
      <c r="H169" s="140"/>
      <c r="I169" s="140"/>
      <c r="J169" s="140"/>
      <c r="K169" s="140"/>
      <c r="L169" s="140"/>
    </row>
    <row r="170" spans="2:12" ht="15" customHeight="1">
      <c r="B170" s="138"/>
      <c r="C170" s="138"/>
      <c r="D170" s="139"/>
      <c r="E170" s="140"/>
      <c r="F170" s="140"/>
      <c r="G170" s="140"/>
      <c r="H170" s="140"/>
      <c r="I170" s="140"/>
      <c r="J170" s="140"/>
      <c r="K170" s="140"/>
      <c r="L170" s="140"/>
    </row>
    <row r="171" spans="2:12" ht="15" customHeight="1">
      <c r="B171" s="138"/>
      <c r="C171" s="138"/>
      <c r="D171" s="139"/>
      <c r="E171" s="140"/>
      <c r="F171" s="140"/>
      <c r="G171" s="140"/>
      <c r="H171" s="140"/>
      <c r="I171" s="140"/>
      <c r="J171" s="140"/>
      <c r="K171" s="140"/>
      <c r="L171" s="140"/>
    </row>
    <row r="172" spans="2:12" ht="15" customHeight="1">
      <c r="B172" s="138"/>
      <c r="C172" s="138"/>
      <c r="D172" s="139"/>
      <c r="E172" s="140"/>
      <c r="F172" s="140"/>
      <c r="G172" s="140"/>
      <c r="H172" s="140"/>
      <c r="I172" s="140"/>
      <c r="J172" s="140"/>
      <c r="K172" s="140"/>
      <c r="L172" s="140"/>
    </row>
    <row r="173" spans="2:12" ht="15" customHeight="1">
      <c r="B173" s="138"/>
      <c r="C173" s="138"/>
      <c r="D173" s="139"/>
      <c r="E173" s="140"/>
      <c r="F173" s="140"/>
      <c r="G173" s="140"/>
      <c r="H173" s="140"/>
      <c r="I173" s="140"/>
      <c r="J173" s="140"/>
      <c r="K173" s="140"/>
      <c r="L173" s="140"/>
    </row>
  </sheetData>
  <mergeCells count="2">
    <mergeCell ref="E10:J10"/>
    <mergeCell ref="E11:J11"/>
  </mergeCells>
  <printOptions horizontalCentered="1"/>
  <pageMargins left="0.39370078740157483" right="0.39370078740157483" top="0.51181102362204722" bottom="0.39370078740157483" header="0.31496062992125984" footer="0.31496062992125984"/>
  <pageSetup paperSize="9" scale="75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R173"/>
  <sheetViews>
    <sheetView tabSelected="1" view="pageBreakPreview" zoomScale="73" zoomScaleNormal="84" zoomScaleSheetLayoutView="73" workbookViewId="0">
      <selection activeCell="M12" sqref="M12"/>
    </sheetView>
  </sheetViews>
  <sheetFormatPr defaultColWidth="7.140625" defaultRowHeight="13.5"/>
  <cols>
    <col min="1" max="1" width="1.7109375" style="116" customWidth="1"/>
    <col min="2" max="2" width="13.140625" style="116" customWidth="1"/>
    <col min="3" max="3" width="7" style="116" customWidth="1"/>
    <col min="4" max="4" width="10.7109375" style="116" customWidth="1"/>
    <col min="5" max="10" width="7.5703125" style="116" customWidth="1"/>
    <col min="11" max="11" width="1.5703125" style="116" customWidth="1"/>
    <col min="12" max="16" width="7.5703125" style="116" customWidth="1"/>
    <col min="17" max="17" width="7.5703125" style="177" customWidth="1"/>
    <col min="18" max="18" width="1.7109375" style="116" customWidth="1"/>
    <col min="19" max="16384" width="7.140625" style="116"/>
  </cols>
  <sheetData>
    <row r="1" spans="1:18" s="1" customFormat="1" ht="15" customHeight="1">
      <c r="B1" s="2"/>
      <c r="C1" s="2"/>
      <c r="D1" s="3"/>
      <c r="E1" s="201"/>
      <c r="F1" s="201"/>
      <c r="G1" s="201"/>
      <c r="H1" s="201"/>
      <c r="I1" s="201"/>
      <c r="J1" s="201"/>
      <c r="K1" s="297"/>
      <c r="L1" s="297"/>
      <c r="M1" s="297"/>
    </row>
    <row r="2" spans="1:18" s="1" customFormat="1">
      <c r="B2" s="2"/>
      <c r="C2" s="2"/>
      <c r="D2" s="3"/>
      <c r="E2" s="201"/>
      <c r="F2" s="201"/>
      <c r="G2" s="201"/>
      <c r="H2" s="201"/>
      <c r="I2" s="201"/>
      <c r="J2" s="201"/>
      <c r="K2" s="201"/>
      <c r="L2" s="201"/>
      <c r="R2" s="4" t="s">
        <v>7</v>
      </c>
    </row>
    <row r="3" spans="1:18" s="1" customFormat="1">
      <c r="B3" s="2"/>
      <c r="C3" s="2"/>
      <c r="D3" s="3"/>
      <c r="E3" s="201"/>
      <c r="F3" s="201"/>
      <c r="G3" s="201"/>
      <c r="H3" s="201"/>
      <c r="I3" s="201"/>
      <c r="J3" s="201"/>
      <c r="K3" s="201"/>
      <c r="L3" s="201"/>
      <c r="R3" s="5" t="s">
        <v>55</v>
      </c>
    </row>
    <row r="4" spans="1:18" s="1" customFormat="1">
      <c r="B4" s="7"/>
      <c r="C4" s="7"/>
      <c r="D4" s="3"/>
    </row>
    <row r="5" spans="1:18" ht="15" customHeight="1">
      <c r="B5" s="8" t="s">
        <v>120</v>
      </c>
      <c r="C5" s="9" t="s">
        <v>144</v>
      </c>
      <c r="D5" s="117"/>
      <c r="E5" s="118"/>
      <c r="F5" s="118"/>
      <c r="G5" s="118"/>
      <c r="H5" s="118"/>
      <c r="I5" s="118"/>
      <c r="J5" s="118"/>
      <c r="K5" s="118"/>
      <c r="L5" s="118"/>
      <c r="R5" s="118"/>
    </row>
    <row r="6" spans="1:18" ht="15" customHeight="1">
      <c r="B6" s="12" t="s">
        <v>121</v>
      </c>
      <c r="C6" s="13" t="s">
        <v>145</v>
      </c>
      <c r="D6" s="114"/>
      <c r="E6" s="115"/>
      <c r="F6" s="115"/>
      <c r="G6" s="115"/>
      <c r="H6" s="115"/>
      <c r="I6" s="115"/>
      <c r="J6" s="115"/>
      <c r="K6" s="115"/>
      <c r="L6" s="115"/>
      <c r="R6" s="115"/>
    </row>
    <row r="7" spans="1:18" ht="8.1" customHeight="1">
      <c r="B7" s="112"/>
      <c r="C7" s="113"/>
      <c r="D7" s="114"/>
      <c r="E7" s="115"/>
      <c r="F7" s="115"/>
      <c r="G7" s="115"/>
      <c r="H7" s="115"/>
      <c r="I7" s="115"/>
      <c r="J7" s="115"/>
      <c r="K7" s="115"/>
      <c r="L7" s="298"/>
      <c r="M7" s="298"/>
      <c r="R7" s="115"/>
    </row>
    <row r="8" spans="1:18" ht="15.95" customHeight="1" thickBot="1">
      <c r="B8" s="116" t="s">
        <v>122</v>
      </c>
      <c r="D8" s="117"/>
      <c r="E8" s="118"/>
      <c r="F8" s="118"/>
      <c r="G8" s="118"/>
      <c r="H8" s="118"/>
      <c r="I8" s="118"/>
      <c r="J8" s="118"/>
      <c r="K8" s="118"/>
      <c r="L8" s="118"/>
      <c r="N8" s="118"/>
      <c r="O8" s="118"/>
      <c r="P8" s="118"/>
      <c r="Q8" s="116"/>
      <c r="R8" s="118"/>
    </row>
    <row r="9" spans="1:18" ht="8.1" customHeight="1" thickTop="1">
      <c r="A9" s="119"/>
      <c r="B9" s="120"/>
      <c r="C9" s="121"/>
      <c r="D9" s="122"/>
      <c r="E9" s="123"/>
      <c r="F9" s="123"/>
      <c r="G9" s="123"/>
      <c r="H9" s="123"/>
      <c r="I9" s="123"/>
      <c r="J9" s="123"/>
      <c r="K9" s="123"/>
      <c r="L9" s="123"/>
      <c r="M9" s="119"/>
      <c r="N9" s="123"/>
      <c r="O9" s="123"/>
      <c r="P9" s="123"/>
      <c r="Q9" s="119"/>
      <c r="R9" s="123"/>
    </row>
    <row r="10" spans="1:18" ht="15" customHeight="1">
      <c r="A10" s="124"/>
      <c r="B10" s="125" t="s">
        <v>90</v>
      </c>
      <c r="C10" s="126"/>
      <c r="D10" s="127" t="s">
        <v>91</v>
      </c>
      <c r="E10" s="292" t="s">
        <v>125</v>
      </c>
      <c r="F10" s="292"/>
      <c r="G10" s="292"/>
      <c r="H10" s="292"/>
      <c r="I10" s="292"/>
      <c r="J10" s="292"/>
      <c r="K10" s="127"/>
      <c r="L10" s="292" t="s">
        <v>87</v>
      </c>
      <c r="M10" s="292"/>
      <c r="N10" s="292"/>
      <c r="O10" s="292"/>
      <c r="P10" s="292"/>
      <c r="Q10" s="292"/>
      <c r="R10" s="127"/>
    </row>
    <row r="11" spans="1:18" ht="15" customHeight="1">
      <c r="A11" s="124"/>
      <c r="B11" s="129" t="s">
        <v>92</v>
      </c>
      <c r="C11" s="126"/>
      <c r="D11" s="130" t="s">
        <v>93</v>
      </c>
      <c r="E11" s="293" t="s">
        <v>133</v>
      </c>
      <c r="F11" s="293"/>
      <c r="G11" s="293"/>
      <c r="H11" s="293"/>
      <c r="I11" s="293"/>
      <c r="J11" s="293"/>
      <c r="K11" s="128"/>
      <c r="L11" s="293" t="s">
        <v>135</v>
      </c>
      <c r="M11" s="293"/>
      <c r="N11" s="293"/>
      <c r="O11" s="293"/>
      <c r="P11" s="293"/>
      <c r="Q11" s="293"/>
      <c r="R11" s="128"/>
    </row>
    <row r="12" spans="1:18" ht="15" customHeight="1">
      <c r="A12" s="124"/>
      <c r="B12" s="125"/>
      <c r="C12" s="126"/>
      <c r="D12" s="127"/>
      <c r="E12" s="172"/>
      <c r="F12" s="172"/>
      <c r="G12" s="192"/>
      <c r="H12" s="192"/>
      <c r="I12" s="192"/>
      <c r="J12" s="192"/>
      <c r="K12" s="192"/>
      <c r="L12" s="192"/>
      <c r="M12" s="192"/>
      <c r="N12" s="192"/>
      <c r="O12" s="192"/>
      <c r="P12" s="192"/>
      <c r="Q12" s="192"/>
      <c r="R12" s="192"/>
    </row>
    <row r="13" spans="1:18" ht="15" customHeight="1">
      <c r="A13" s="124"/>
      <c r="B13" s="125"/>
      <c r="C13" s="126"/>
      <c r="D13" s="127"/>
      <c r="E13" s="278" t="s">
        <v>112</v>
      </c>
      <c r="F13" s="278" t="s">
        <v>113</v>
      </c>
      <c r="G13" s="278" t="s">
        <v>114</v>
      </c>
      <c r="H13" s="278" t="s">
        <v>115</v>
      </c>
      <c r="I13" s="278" t="s">
        <v>116</v>
      </c>
      <c r="J13" s="278" t="s">
        <v>132</v>
      </c>
      <c r="K13" s="278"/>
      <c r="L13" s="278" t="s">
        <v>112</v>
      </c>
      <c r="M13" s="278" t="s">
        <v>113</v>
      </c>
      <c r="N13" s="278" t="s">
        <v>114</v>
      </c>
      <c r="O13" s="278" t="s">
        <v>115</v>
      </c>
      <c r="P13" s="278" t="s">
        <v>116</v>
      </c>
      <c r="Q13" s="278" t="s">
        <v>132</v>
      </c>
      <c r="R13" s="230"/>
    </row>
    <row r="14" spans="1:18" ht="8.1" customHeight="1">
      <c r="A14" s="135"/>
      <c r="B14" s="136"/>
      <c r="C14" s="135"/>
      <c r="D14" s="135"/>
      <c r="E14" s="137"/>
      <c r="F14" s="137"/>
      <c r="G14" s="137"/>
      <c r="H14" s="137"/>
      <c r="I14" s="137"/>
      <c r="J14" s="137"/>
      <c r="K14" s="137"/>
      <c r="L14" s="137"/>
      <c r="M14" s="135"/>
      <c r="N14" s="135"/>
      <c r="O14" s="224"/>
      <c r="P14" s="224"/>
      <c r="Q14" s="224"/>
      <c r="R14" s="137"/>
    </row>
    <row r="15" spans="1:18" ht="8.1" customHeight="1">
      <c r="A15" s="138"/>
      <c r="B15" s="138"/>
      <c r="C15" s="138"/>
      <c r="D15" s="146"/>
      <c r="E15" s="140"/>
      <c r="F15" s="140"/>
      <c r="G15" s="140"/>
      <c r="H15" s="141"/>
      <c r="I15" s="142"/>
      <c r="J15" s="142"/>
      <c r="K15" s="142"/>
      <c r="L15" s="143"/>
      <c r="M15" s="142"/>
      <c r="N15" s="142"/>
      <c r="R15" s="142"/>
    </row>
    <row r="16" spans="1:18" ht="15" customHeight="1">
      <c r="B16" s="144" t="s">
        <v>107</v>
      </c>
      <c r="C16" s="145"/>
      <c r="D16" s="147">
        <v>2021</v>
      </c>
      <c r="E16" s="211">
        <f>SUM(E20,E24,E28,E32,E36,E40,E44,E48,E52,E56,E60,E64,E68,E72)</f>
        <v>200</v>
      </c>
      <c r="F16" s="211">
        <f t="shared" ref="F16:Q18" si="0">SUM(F20,F24,F28,F32,F36,F40,F44,F48,F52,F56,F60,F64,F68,F72)</f>
        <v>1070</v>
      </c>
      <c r="G16" s="211">
        <f t="shared" si="0"/>
        <v>834</v>
      </c>
      <c r="H16" s="211">
        <f t="shared" si="0"/>
        <v>574</v>
      </c>
      <c r="I16" s="211">
        <f t="shared" si="0"/>
        <v>405</v>
      </c>
      <c r="J16" s="211">
        <f t="shared" si="0"/>
        <v>336</v>
      </c>
      <c r="K16" s="211"/>
      <c r="L16" s="211">
        <f t="shared" si="0"/>
        <v>31</v>
      </c>
      <c r="M16" s="211">
        <f t="shared" si="0"/>
        <v>126</v>
      </c>
      <c r="N16" s="211">
        <f t="shared" si="0"/>
        <v>118</v>
      </c>
      <c r="O16" s="211">
        <f t="shared" si="0"/>
        <v>96</v>
      </c>
      <c r="P16" s="211">
        <f t="shared" si="0"/>
        <v>67</v>
      </c>
      <c r="Q16" s="211">
        <f t="shared" si="0"/>
        <v>25</v>
      </c>
      <c r="R16" s="211"/>
    </row>
    <row r="17" spans="2:18" ht="15" customHeight="1">
      <c r="B17" s="145"/>
      <c r="C17" s="145"/>
      <c r="D17" s="146">
        <v>2022</v>
      </c>
      <c r="E17" s="211">
        <f t="shared" ref="E17" si="1">SUM(E21,E25,E29,E33,E37,E41,E45,E49,E53,E57,E61,E65,E69,E73)</f>
        <v>214</v>
      </c>
      <c r="F17" s="211">
        <f t="shared" si="0"/>
        <v>1340</v>
      </c>
      <c r="G17" s="211">
        <f t="shared" si="0"/>
        <v>1181</v>
      </c>
      <c r="H17" s="211">
        <f t="shared" si="0"/>
        <v>814</v>
      </c>
      <c r="I17" s="211">
        <f t="shared" si="0"/>
        <v>553</v>
      </c>
      <c r="J17" s="211">
        <f t="shared" si="0"/>
        <v>340</v>
      </c>
      <c r="K17" s="211"/>
      <c r="L17" s="211">
        <f t="shared" si="0"/>
        <v>40</v>
      </c>
      <c r="M17" s="211">
        <f t="shared" si="0"/>
        <v>133</v>
      </c>
      <c r="N17" s="211">
        <f t="shared" si="0"/>
        <v>200</v>
      </c>
      <c r="O17" s="211">
        <f t="shared" si="0"/>
        <v>195</v>
      </c>
      <c r="P17" s="211">
        <f t="shared" si="0"/>
        <v>97</v>
      </c>
      <c r="Q17" s="211">
        <f t="shared" si="0"/>
        <v>46</v>
      </c>
      <c r="R17" s="211"/>
    </row>
    <row r="18" spans="2:18" ht="15" customHeight="1">
      <c r="B18" s="145"/>
      <c r="C18" s="145"/>
      <c r="D18" s="146">
        <v>2023</v>
      </c>
      <c r="E18" s="211">
        <f>SUM(E22,E26,E30,E34,E38,E42,E46,E50,E54,E58,E62,E66,E70,E74)</f>
        <v>378</v>
      </c>
      <c r="F18" s="211">
        <f t="shared" si="0"/>
        <v>1883</v>
      </c>
      <c r="G18" s="211">
        <f t="shared" si="0"/>
        <v>1325</v>
      </c>
      <c r="H18" s="211">
        <f t="shared" si="0"/>
        <v>985</v>
      </c>
      <c r="I18" s="211">
        <f t="shared" si="0"/>
        <v>722</v>
      </c>
      <c r="J18" s="211">
        <f t="shared" si="0"/>
        <v>538</v>
      </c>
      <c r="K18" s="211"/>
      <c r="L18" s="211">
        <f>SUM(L22,L26,L30,L34,L38,L42,L46,L50,L54,L58,L62,L66,L70,L74)</f>
        <v>59</v>
      </c>
      <c r="M18" s="211">
        <f t="shared" si="0"/>
        <v>256</v>
      </c>
      <c r="N18" s="211">
        <f t="shared" si="0"/>
        <v>294</v>
      </c>
      <c r="O18" s="211">
        <f t="shared" si="0"/>
        <v>236</v>
      </c>
      <c r="P18" s="211">
        <f t="shared" si="0"/>
        <v>151</v>
      </c>
      <c r="Q18" s="211">
        <f t="shared" si="0"/>
        <v>119</v>
      </c>
      <c r="R18" s="211"/>
    </row>
    <row r="19" spans="2:18" ht="8.1" customHeight="1">
      <c r="B19" s="145"/>
      <c r="C19" s="148"/>
      <c r="D19" s="149"/>
      <c r="E19" s="179"/>
      <c r="F19" s="184"/>
      <c r="G19" s="184"/>
      <c r="H19" s="184"/>
      <c r="I19" s="184"/>
      <c r="J19" s="184"/>
      <c r="K19" s="184"/>
      <c r="L19" s="184"/>
      <c r="M19" s="185"/>
      <c r="N19" s="185"/>
      <c r="O19" s="186"/>
      <c r="P19" s="186"/>
      <c r="Q19" s="186"/>
      <c r="R19" s="184"/>
    </row>
    <row r="20" spans="2:18" ht="15" customHeight="1">
      <c r="B20" s="151" t="s">
        <v>94</v>
      </c>
      <c r="C20" s="152"/>
      <c r="D20" s="149">
        <v>2021</v>
      </c>
      <c r="E20" s="223">
        <v>18</v>
      </c>
      <c r="F20" s="223">
        <v>86</v>
      </c>
      <c r="G20" s="223">
        <v>88</v>
      </c>
      <c r="H20" s="223">
        <v>63</v>
      </c>
      <c r="I20" s="223">
        <v>39</v>
      </c>
      <c r="J20" s="223">
        <v>43</v>
      </c>
      <c r="K20" s="223"/>
      <c r="L20" s="231" t="s">
        <v>22</v>
      </c>
      <c r="M20" s="223">
        <v>6</v>
      </c>
      <c r="N20" s="223">
        <v>5</v>
      </c>
      <c r="O20" s="223">
        <v>5</v>
      </c>
      <c r="P20" s="223">
        <v>3</v>
      </c>
      <c r="Q20" s="223">
        <v>1</v>
      </c>
      <c r="R20" s="222"/>
    </row>
    <row r="21" spans="2:18" ht="15" customHeight="1">
      <c r="B21" s="153"/>
      <c r="C21" s="152"/>
      <c r="D21" s="149">
        <v>2022</v>
      </c>
      <c r="E21" s="223">
        <v>6</v>
      </c>
      <c r="F21" s="223">
        <v>114</v>
      </c>
      <c r="G21" s="223">
        <v>109</v>
      </c>
      <c r="H21" s="223">
        <v>88</v>
      </c>
      <c r="I21" s="223">
        <v>61</v>
      </c>
      <c r="J21" s="223">
        <v>34</v>
      </c>
      <c r="K21" s="223"/>
      <c r="L21" s="223">
        <v>3</v>
      </c>
      <c r="M21" s="223">
        <v>13</v>
      </c>
      <c r="N21" s="223">
        <v>23</v>
      </c>
      <c r="O21" s="223">
        <v>22</v>
      </c>
      <c r="P21" s="223">
        <v>8</v>
      </c>
      <c r="Q21" s="223">
        <v>4</v>
      </c>
      <c r="R21" s="222"/>
    </row>
    <row r="22" spans="2:18" ht="15" customHeight="1">
      <c r="B22" s="153"/>
      <c r="C22" s="152"/>
      <c r="D22" s="149">
        <v>2023</v>
      </c>
      <c r="E22" s="223">
        <v>34</v>
      </c>
      <c r="F22" s="223">
        <v>186</v>
      </c>
      <c r="G22" s="223">
        <v>136</v>
      </c>
      <c r="H22" s="223">
        <v>96</v>
      </c>
      <c r="I22" s="223">
        <v>77</v>
      </c>
      <c r="J22" s="223">
        <v>60</v>
      </c>
      <c r="K22" s="223"/>
      <c r="L22" s="223">
        <v>11</v>
      </c>
      <c r="M22" s="223">
        <v>40</v>
      </c>
      <c r="N22" s="223">
        <v>49</v>
      </c>
      <c r="O22" s="223">
        <v>47</v>
      </c>
      <c r="P22" s="223">
        <v>22</v>
      </c>
      <c r="Q22" s="223">
        <v>10</v>
      </c>
      <c r="R22" s="222"/>
    </row>
    <row r="23" spans="2:18" ht="8.1" customHeight="1">
      <c r="B23" s="153"/>
      <c r="C23" s="154"/>
      <c r="D23" s="149"/>
      <c r="E23" s="150"/>
      <c r="F23" s="203"/>
      <c r="G23" s="203"/>
      <c r="H23" s="203"/>
      <c r="I23" s="203"/>
      <c r="J23" s="203"/>
      <c r="K23" s="203"/>
      <c r="L23" s="203"/>
      <c r="M23" s="204"/>
      <c r="N23" s="204"/>
      <c r="O23" s="204"/>
      <c r="P23" s="204"/>
      <c r="Q23" s="204"/>
      <c r="R23" s="203"/>
    </row>
    <row r="24" spans="2:18" ht="15" customHeight="1">
      <c r="B24" s="151" t="s">
        <v>95</v>
      </c>
      <c r="C24" s="152"/>
      <c r="D24" s="149">
        <v>2021</v>
      </c>
      <c r="E24" s="182">
        <v>19</v>
      </c>
      <c r="F24" s="182">
        <v>59</v>
      </c>
      <c r="G24" s="182">
        <v>48</v>
      </c>
      <c r="H24" s="182">
        <v>45</v>
      </c>
      <c r="I24" s="182">
        <v>29</v>
      </c>
      <c r="J24" s="182">
        <v>9</v>
      </c>
      <c r="K24" s="182"/>
      <c r="L24" s="182">
        <v>3</v>
      </c>
      <c r="M24" s="182">
        <v>11</v>
      </c>
      <c r="N24" s="182">
        <v>7</v>
      </c>
      <c r="O24" s="182">
        <v>7</v>
      </c>
      <c r="P24" s="182">
        <v>7</v>
      </c>
      <c r="Q24" s="182">
        <v>4</v>
      </c>
      <c r="R24" s="222"/>
    </row>
    <row r="25" spans="2:18" ht="15" customHeight="1">
      <c r="B25" s="151"/>
      <c r="C25" s="152"/>
      <c r="D25" s="149">
        <v>2022</v>
      </c>
      <c r="E25" s="182">
        <v>19</v>
      </c>
      <c r="F25" s="182">
        <v>55</v>
      </c>
      <c r="G25" s="182">
        <v>69</v>
      </c>
      <c r="H25" s="182">
        <v>65</v>
      </c>
      <c r="I25" s="182">
        <v>28</v>
      </c>
      <c r="J25" s="182">
        <v>18</v>
      </c>
      <c r="K25" s="182"/>
      <c r="L25" s="271">
        <v>2</v>
      </c>
      <c r="M25" s="182">
        <v>4</v>
      </c>
      <c r="N25" s="182">
        <v>9</v>
      </c>
      <c r="O25" s="182">
        <v>10</v>
      </c>
      <c r="P25" s="182">
        <v>6</v>
      </c>
      <c r="Q25" s="182">
        <v>1</v>
      </c>
      <c r="R25" s="222"/>
    </row>
    <row r="26" spans="2:18" ht="15" customHeight="1">
      <c r="B26" s="151"/>
      <c r="C26" s="152"/>
      <c r="D26" s="149">
        <v>2023</v>
      </c>
      <c r="E26" s="272">
        <v>19</v>
      </c>
      <c r="F26" s="272">
        <v>113</v>
      </c>
      <c r="G26" s="272">
        <v>64</v>
      </c>
      <c r="H26" s="272">
        <v>59</v>
      </c>
      <c r="I26" s="272">
        <v>44</v>
      </c>
      <c r="J26" s="272">
        <v>21</v>
      </c>
      <c r="K26" s="182"/>
      <c r="L26" s="272">
        <v>5</v>
      </c>
      <c r="M26" s="272">
        <v>13</v>
      </c>
      <c r="N26" s="272">
        <v>11</v>
      </c>
      <c r="O26" s="272">
        <v>6</v>
      </c>
      <c r="P26" s="272">
        <v>5</v>
      </c>
      <c r="Q26" s="272">
        <v>4</v>
      </c>
      <c r="R26" s="222"/>
    </row>
    <row r="27" spans="2:18" ht="8.1" customHeight="1">
      <c r="B27" s="151"/>
      <c r="C27" s="154"/>
      <c r="D27" s="149"/>
      <c r="E27" s="179"/>
      <c r="F27" s="184"/>
      <c r="G27" s="184"/>
      <c r="H27" s="184"/>
      <c r="I27" s="184"/>
      <c r="J27" s="184"/>
      <c r="K27" s="184"/>
      <c r="L27" s="184"/>
      <c r="M27" s="186"/>
      <c r="N27" s="186"/>
      <c r="O27" s="186"/>
      <c r="P27" s="186"/>
      <c r="Q27" s="186"/>
      <c r="R27" s="203"/>
    </row>
    <row r="28" spans="2:18" ht="15" customHeight="1">
      <c r="B28" s="151" t="s">
        <v>96</v>
      </c>
      <c r="C28" s="152"/>
      <c r="D28" s="149">
        <v>2021</v>
      </c>
      <c r="E28" s="182">
        <v>9</v>
      </c>
      <c r="F28" s="182">
        <v>25</v>
      </c>
      <c r="G28" s="182">
        <v>18</v>
      </c>
      <c r="H28" s="182">
        <v>15</v>
      </c>
      <c r="I28" s="182">
        <v>9</v>
      </c>
      <c r="J28" s="182">
        <v>4</v>
      </c>
      <c r="K28" s="182"/>
      <c r="L28" s="182">
        <v>1</v>
      </c>
      <c r="M28" s="182">
        <v>3</v>
      </c>
      <c r="N28" s="182">
        <v>4</v>
      </c>
      <c r="O28" s="182">
        <v>3</v>
      </c>
      <c r="P28" s="182">
        <v>5</v>
      </c>
      <c r="Q28" s="182">
        <v>1</v>
      </c>
      <c r="R28" s="222"/>
    </row>
    <row r="29" spans="2:18" ht="15" customHeight="1">
      <c r="B29" s="153"/>
      <c r="C29" s="152"/>
      <c r="D29" s="149">
        <v>2022</v>
      </c>
      <c r="E29" s="182">
        <v>5</v>
      </c>
      <c r="F29" s="182">
        <v>53</v>
      </c>
      <c r="G29" s="182">
        <v>40</v>
      </c>
      <c r="H29" s="182">
        <v>28</v>
      </c>
      <c r="I29" s="182">
        <v>19</v>
      </c>
      <c r="J29" s="182">
        <v>14</v>
      </c>
      <c r="K29" s="182"/>
      <c r="L29" s="182">
        <v>2</v>
      </c>
      <c r="M29" s="182">
        <v>5</v>
      </c>
      <c r="N29" s="182">
        <v>8</v>
      </c>
      <c r="O29" s="182">
        <v>6</v>
      </c>
      <c r="P29" s="271" t="s">
        <v>22</v>
      </c>
      <c r="Q29" s="182">
        <v>2</v>
      </c>
      <c r="R29" s="222"/>
    </row>
    <row r="30" spans="2:18" ht="15" customHeight="1">
      <c r="B30" s="153"/>
      <c r="C30" s="152"/>
      <c r="D30" s="149">
        <v>2023</v>
      </c>
      <c r="E30" s="223">
        <v>8</v>
      </c>
      <c r="F30" s="223">
        <v>56</v>
      </c>
      <c r="G30" s="223">
        <v>49</v>
      </c>
      <c r="H30" s="223">
        <v>25</v>
      </c>
      <c r="I30" s="223">
        <v>29</v>
      </c>
      <c r="J30" s="223">
        <v>24</v>
      </c>
      <c r="K30" s="223"/>
      <c r="L30" s="231" t="s">
        <v>22</v>
      </c>
      <c r="M30" s="223">
        <v>4</v>
      </c>
      <c r="N30" s="223">
        <v>7</v>
      </c>
      <c r="O30" s="223">
        <v>5</v>
      </c>
      <c r="P30" s="231" t="s">
        <v>22</v>
      </c>
      <c r="Q30" s="223">
        <v>6</v>
      </c>
      <c r="R30" s="222"/>
    </row>
    <row r="31" spans="2:18" ht="8.1" customHeight="1">
      <c r="B31" s="153"/>
      <c r="C31" s="148"/>
      <c r="D31" s="149"/>
      <c r="E31" s="150"/>
      <c r="F31" s="203"/>
      <c r="G31" s="203"/>
      <c r="H31" s="203"/>
      <c r="I31" s="203"/>
      <c r="J31" s="203"/>
      <c r="K31" s="203"/>
      <c r="L31" s="203"/>
      <c r="M31" s="204"/>
      <c r="N31" s="204"/>
      <c r="O31" s="205"/>
      <c r="P31" s="206"/>
      <c r="Q31" s="206"/>
      <c r="R31" s="203"/>
    </row>
    <row r="32" spans="2:18" ht="15" customHeight="1">
      <c r="B32" s="151" t="s">
        <v>97</v>
      </c>
      <c r="C32" s="152"/>
      <c r="D32" s="149">
        <v>2021</v>
      </c>
      <c r="E32" s="223">
        <v>8</v>
      </c>
      <c r="F32" s="223">
        <v>43</v>
      </c>
      <c r="G32" s="223">
        <v>38</v>
      </c>
      <c r="H32" s="223">
        <v>35</v>
      </c>
      <c r="I32" s="223">
        <v>16</v>
      </c>
      <c r="J32" s="223">
        <v>17</v>
      </c>
      <c r="K32" s="223"/>
      <c r="L32" s="223">
        <v>1</v>
      </c>
      <c r="M32" s="223">
        <v>6</v>
      </c>
      <c r="N32" s="223">
        <v>6</v>
      </c>
      <c r="O32" s="223">
        <v>3</v>
      </c>
      <c r="P32" s="223">
        <v>1</v>
      </c>
      <c r="Q32" s="223">
        <v>1</v>
      </c>
      <c r="R32" s="222"/>
    </row>
    <row r="33" spans="2:18" ht="15" customHeight="1">
      <c r="B33" s="153"/>
      <c r="C33" s="152"/>
      <c r="D33" s="149">
        <v>2022</v>
      </c>
      <c r="E33" s="223">
        <v>11</v>
      </c>
      <c r="F33" s="223">
        <v>61</v>
      </c>
      <c r="G33" s="223">
        <v>59</v>
      </c>
      <c r="H33" s="223">
        <v>36</v>
      </c>
      <c r="I33" s="223">
        <v>36</v>
      </c>
      <c r="J33" s="223">
        <v>25</v>
      </c>
      <c r="K33" s="223"/>
      <c r="L33" s="223">
        <v>2</v>
      </c>
      <c r="M33" s="223">
        <v>4</v>
      </c>
      <c r="N33" s="223">
        <v>10</v>
      </c>
      <c r="O33" s="223">
        <v>8</v>
      </c>
      <c r="P33" s="223">
        <v>11</v>
      </c>
      <c r="Q33" s="223">
        <v>1</v>
      </c>
      <c r="R33" s="222"/>
    </row>
    <row r="34" spans="2:18" ht="15" customHeight="1">
      <c r="B34" s="153"/>
      <c r="C34" s="152"/>
      <c r="D34" s="149">
        <v>2023</v>
      </c>
      <c r="E34" s="223">
        <v>15</v>
      </c>
      <c r="F34" s="223">
        <v>65</v>
      </c>
      <c r="G34" s="223">
        <v>39</v>
      </c>
      <c r="H34" s="223">
        <v>27</v>
      </c>
      <c r="I34" s="223">
        <v>26</v>
      </c>
      <c r="J34" s="223">
        <v>17</v>
      </c>
      <c r="K34" s="223"/>
      <c r="L34" s="223">
        <v>5</v>
      </c>
      <c r="M34" s="223">
        <v>12</v>
      </c>
      <c r="N34" s="223">
        <v>11</v>
      </c>
      <c r="O34" s="223">
        <v>6</v>
      </c>
      <c r="P34" s="223">
        <v>6</v>
      </c>
      <c r="Q34" s="223">
        <v>2</v>
      </c>
      <c r="R34" s="222"/>
    </row>
    <row r="35" spans="2:18" ht="8.1" customHeight="1">
      <c r="B35" s="153"/>
      <c r="C35" s="154"/>
      <c r="D35" s="149"/>
      <c r="E35" s="150"/>
      <c r="F35" s="203"/>
      <c r="G35" s="203"/>
      <c r="H35" s="203"/>
      <c r="I35" s="203"/>
      <c r="J35" s="203"/>
      <c r="K35" s="203"/>
      <c r="L35" s="203"/>
      <c r="M35" s="204"/>
      <c r="N35" s="204"/>
      <c r="O35" s="205"/>
      <c r="P35" s="206"/>
      <c r="Q35" s="206"/>
      <c r="R35" s="203"/>
    </row>
    <row r="36" spans="2:18" ht="15" customHeight="1">
      <c r="B36" s="151" t="s">
        <v>98</v>
      </c>
      <c r="C36" s="152"/>
      <c r="D36" s="149">
        <v>2021</v>
      </c>
      <c r="E36" s="223">
        <v>20</v>
      </c>
      <c r="F36" s="223">
        <v>122</v>
      </c>
      <c r="G36" s="223">
        <v>79</v>
      </c>
      <c r="H36" s="223">
        <v>46</v>
      </c>
      <c r="I36" s="223">
        <v>26</v>
      </c>
      <c r="J36" s="223">
        <v>22</v>
      </c>
      <c r="K36" s="223"/>
      <c r="L36" s="223">
        <v>5</v>
      </c>
      <c r="M36" s="223">
        <v>21</v>
      </c>
      <c r="N36" s="223">
        <v>8</v>
      </c>
      <c r="O36" s="223">
        <v>6</v>
      </c>
      <c r="P36" s="223">
        <v>5</v>
      </c>
      <c r="Q36" s="223">
        <v>1</v>
      </c>
      <c r="R36" s="222"/>
    </row>
    <row r="37" spans="2:18" ht="15" customHeight="1">
      <c r="B37" s="153"/>
      <c r="C37" s="152"/>
      <c r="D37" s="149">
        <v>2022</v>
      </c>
      <c r="E37" s="223">
        <v>41</v>
      </c>
      <c r="F37" s="223">
        <v>185</v>
      </c>
      <c r="G37" s="223">
        <v>138</v>
      </c>
      <c r="H37" s="223">
        <v>82</v>
      </c>
      <c r="I37" s="223">
        <v>47</v>
      </c>
      <c r="J37" s="223">
        <v>27</v>
      </c>
      <c r="K37" s="223"/>
      <c r="L37" s="223">
        <v>7</v>
      </c>
      <c r="M37" s="223">
        <v>11</v>
      </c>
      <c r="N37" s="223">
        <v>28</v>
      </c>
      <c r="O37" s="223">
        <v>20</v>
      </c>
      <c r="P37" s="223">
        <v>9</v>
      </c>
      <c r="Q37" s="223">
        <v>4</v>
      </c>
      <c r="R37" s="222"/>
    </row>
    <row r="38" spans="2:18" ht="15" customHeight="1">
      <c r="B38" s="153"/>
      <c r="C38" s="152"/>
      <c r="D38" s="149">
        <v>2023</v>
      </c>
      <c r="E38" s="223">
        <v>33</v>
      </c>
      <c r="F38" s="223">
        <v>136</v>
      </c>
      <c r="G38" s="223">
        <v>77</v>
      </c>
      <c r="H38" s="223">
        <v>69</v>
      </c>
      <c r="I38" s="223">
        <v>46</v>
      </c>
      <c r="J38" s="223">
        <v>30</v>
      </c>
      <c r="K38" s="223"/>
      <c r="L38" s="223">
        <v>8</v>
      </c>
      <c r="M38" s="223">
        <v>25</v>
      </c>
      <c r="N38" s="223">
        <v>22</v>
      </c>
      <c r="O38" s="223">
        <v>11</v>
      </c>
      <c r="P38" s="223">
        <v>10</v>
      </c>
      <c r="Q38" s="223">
        <v>5</v>
      </c>
      <c r="R38" s="222"/>
    </row>
    <row r="39" spans="2:18" ht="8.1" customHeight="1">
      <c r="B39" s="153"/>
      <c r="C39" s="154"/>
      <c r="D39" s="149"/>
      <c r="E39" s="150"/>
      <c r="F39" s="203"/>
      <c r="G39" s="203"/>
      <c r="H39" s="203"/>
      <c r="I39" s="203"/>
      <c r="J39" s="203"/>
      <c r="K39" s="203"/>
      <c r="L39" s="203"/>
      <c r="M39" s="204"/>
      <c r="N39" s="204"/>
      <c r="O39" s="205"/>
      <c r="P39" s="206"/>
      <c r="Q39" s="206"/>
      <c r="R39" s="203"/>
    </row>
    <row r="40" spans="2:18" ht="15" customHeight="1">
      <c r="B40" s="151" t="s">
        <v>99</v>
      </c>
      <c r="C40" s="152"/>
      <c r="D40" s="149">
        <v>2021</v>
      </c>
      <c r="E40" s="223">
        <v>10</v>
      </c>
      <c r="F40" s="223">
        <v>45</v>
      </c>
      <c r="G40" s="223">
        <v>35</v>
      </c>
      <c r="H40" s="223">
        <v>22</v>
      </c>
      <c r="I40" s="223">
        <v>16</v>
      </c>
      <c r="J40" s="223">
        <v>14</v>
      </c>
      <c r="K40" s="223"/>
      <c r="L40" s="223">
        <v>1</v>
      </c>
      <c r="M40" s="223">
        <v>4</v>
      </c>
      <c r="N40" s="231">
        <v>7</v>
      </c>
      <c r="O40" s="223">
        <v>3</v>
      </c>
      <c r="P40" s="223">
        <v>5</v>
      </c>
      <c r="Q40" s="223">
        <v>2</v>
      </c>
      <c r="R40" s="222"/>
    </row>
    <row r="41" spans="2:18" ht="15" customHeight="1">
      <c r="B41" s="153"/>
      <c r="C41" s="152"/>
      <c r="D41" s="149">
        <v>2022</v>
      </c>
      <c r="E41" s="223">
        <v>11</v>
      </c>
      <c r="F41" s="223">
        <v>92</v>
      </c>
      <c r="G41" s="223">
        <v>79</v>
      </c>
      <c r="H41" s="223">
        <v>53</v>
      </c>
      <c r="I41" s="223">
        <v>29</v>
      </c>
      <c r="J41" s="223">
        <v>21</v>
      </c>
      <c r="K41" s="223"/>
      <c r="L41" s="231" t="s">
        <v>22</v>
      </c>
      <c r="M41" s="223">
        <v>7</v>
      </c>
      <c r="N41" s="223">
        <v>8</v>
      </c>
      <c r="O41" s="223">
        <v>5</v>
      </c>
      <c r="P41" s="223">
        <v>6</v>
      </c>
      <c r="Q41" s="223">
        <v>2</v>
      </c>
      <c r="R41" s="222"/>
    </row>
    <row r="42" spans="2:18" ht="15" customHeight="1">
      <c r="B42" s="153"/>
      <c r="C42" s="152"/>
      <c r="D42" s="149">
        <v>2023</v>
      </c>
      <c r="E42" s="223">
        <v>23</v>
      </c>
      <c r="F42" s="223">
        <v>96</v>
      </c>
      <c r="G42" s="223">
        <v>75</v>
      </c>
      <c r="H42" s="223">
        <v>46</v>
      </c>
      <c r="I42" s="223">
        <v>39</v>
      </c>
      <c r="J42" s="223">
        <v>33</v>
      </c>
      <c r="K42" s="223"/>
      <c r="L42" s="223">
        <v>2</v>
      </c>
      <c r="M42" s="223">
        <v>10</v>
      </c>
      <c r="N42" s="223">
        <v>18</v>
      </c>
      <c r="O42" s="223">
        <v>9</v>
      </c>
      <c r="P42" s="223">
        <v>5</v>
      </c>
      <c r="Q42" s="223">
        <v>2</v>
      </c>
      <c r="R42" s="222"/>
    </row>
    <row r="43" spans="2:18" ht="8.1" customHeight="1">
      <c r="B43" s="153"/>
      <c r="C43" s="148"/>
      <c r="D43" s="149"/>
      <c r="E43" s="150"/>
      <c r="F43" s="203"/>
      <c r="G43" s="203"/>
      <c r="H43" s="203"/>
      <c r="I43" s="203"/>
      <c r="J43" s="203"/>
      <c r="K43" s="203"/>
      <c r="L43" s="203"/>
      <c r="M43" s="204"/>
      <c r="N43" s="204"/>
      <c r="O43" s="204"/>
      <c r="P43" s="204"/>
      <c r="Q43" s="204"/>
      <c r="R43" s="203"/>
    </row>
    <row r="44" spans="2:18" ht="15" customHeight="1">
      <c r="B44" s="151" t="s">
        <v>100</v>
      </c>
      <c r="C44" s="152"/>
      <c r="D44" s="149">
        <v>2021</v>
      </c>
      <c r="E44" s="223">
        <v>33</v>
      </c>
      <c r="F44" s="223">
        <v>141</v>
      </c>
      <c r="G44" s="223">
        <v>115</v>
      </c>
      <c r="H44" s="223">
        <v>79</v>
      </c>
      <c r="I44" s="223">
        <v>60</v>
      </c>
      <c r="J44" s="223">
        <v>41</v>
      </c>
      <c r="K44" s="223"/>
      <c r="L44" s="223">
        <v>2</v>
      </c>
      <c r="M44" s="223">
        <v>6</v>
      </c>
      <c r="N44" s="223">
        <v>6</v>
      </c>
      <c r="O44" s="223">
        <v>12</v>
      </c>
      <c r="P44" s="223">
        <v>3</v>
      </c>
      <c r="Q44" s="231" t="s">
        <v>22</v>
      </c>
      <c r="R44" s="222"/>
    </row>
    <row r="45" spans="2:18" ht="15" customHeight="1">
      <c r="B45" s="151"/>
      <c r="C45" s="152"/>
      <c r="D45" s="149">
        <v>2022</v>
      </c>
      <c r="E45" s="223">
        <v>19</v>
      </c>
      <c r="F45" s="223">
        <v>135</v>
      </c>
      <c r="G45" s="223">
        <v>100</v>
      </c>
      <c r="H45" s="223">
        <v>82</v>
      </c>
      <c r="I45" s="223">
        <v>60</v>
      </c>
      <c r="J45" s="223">
        <v>30</v>
      </c>
      <c r="K45" s="223"/>
      <c r="L45" s="223">
        <v>3</v>
      </c>
      <c r="M45" s="223">
        <v>12</v>
      </c>
      <c r="N45" s="223">
        <v>18</v>
      </c>
      <c r="O45" s="223">
        <v>18</v>
      </c>
      <c r="P45" s="223">
        <v>5</v>
      </c>
      <c r="Q45" s="223">
        <v>5</v>
      </c>
      <c r="R45" s="222"/>
    </row>
    <row r="46" spans="2:18" ht="15" customHeight="1">
      <c r="B46" s="151"/>
      <c r="C46" s="152"/>
      <c r="D46" s="149">
        <v>2023</v>
      </c>
      <c r="E46" s="223">
        <v>26</v>
      </c>
      <c r="F46" s="223">
        <v>175</v>
      </c>
      <c r="G46" s="223">
        <v>116</v>
      </c>
      <c r="H46" s="223">
        <v>110</v>
      </c>
      <c r="I46" s="223">
        <v>65</v>
      </c>
      <c r="J46" s="223">
        <v>49</v>
      </c>
      <c r="K46" s="223"/>
      <c r="L46" s="223">
        <v>5</v>
      </c>
      <c r="M46" s="223">
        <v>10</v>
      </c>
      <c r="N46" s="223">
        <v>19</v>
      </c>
      <c r="O46" s="223">
        <v>26</v>
      </c>
      <c r="P46" s="223">
        <v>13</v>
      </c>
      <c r="Q46" s="223">
        <v>4</v>
      </c>
      <c r="R46" s="222"/>
    </row>
    <row r="47" spans="2:18" ht="8.1" customHeight="1">
      <c r="B47" s="151"/>
      <c r="C47" s="154"/>
      <c r="D47" s="149"/>
      <c r="E47" s="150"/>
      <c r="F47" s="203"/>
      <c r="G47" s="203"/>
      <c r="H47" s="203"/>
      <c r="I47" s="203"/>
      <c r="J47" s="203"/>
      <c r="K47" s="203"/>
      <c r="L47" s="203"/>
      <c r="M47" s="204"/>
      <c r="N47" s="204"/>
      <c r="O47" s="204"/>
      <c r="P47" s="204"/>
      <c r="Q47" s="204"/>
      <c r="R47" s="203"/>
    </row>
    <row r="48" spans="2:18" ht="15" customHeight="1">
      <c r="B48" s="151" t="s">
        <v>101</v>
      </c>
      <c r="C48" s="152"/>
      <c r="D48" s="149">
        <v>2021</v>
      </c>
      <c r="E48" s="223">
        <v>16</v>
      </c>
      <c r="F48" s="223">
        <v>63</v>
      </c>
      <c r="G48" s="223">
        <v>47</v>
      </c>
      <c r="H48" s="223">
        <v>28</v>
      </c>
      <c r="I48" s="223">
        <v>34</v>
      </c>
      <c r="J48" s="223">
        <v>35</v>
      </c>
      <c r="K48" s="223"/>
      <c r="L48" s="231" t="s">
        <v>22</v>
      </c>
      <c r="M48" s="223">
        <v>9</v>
      </c>
      <c r="N48" s="223">
        <v>4</v>
      </c>
      <c r="O48" s="223">
        <v>3</v>
      </c>
      <c r="P48" s="223">
        <v>5</v>
      </c>
      <c r="Q48" s="223">
        <v>2</v>
      </c>
      <c r="R48" s="222"/>
    </row>
    <row r="49" spans="2:18" ht="15" customHeight="1">
      <c r="B49" s="153"/>
      <c r="C49" s="152"/>
      <c r="D49" s="149">
        <v>2022</v>
      </c>
      <c r="E49" s="223">
        <v>20</v>
      </c>
      <c r="F49" s="223">
        <v>66</v>
      </c>
      <c r="G49" s="223">
        <v>78</v>
      </c>
      <c r="H49" s="223">
        <v>61</v>
      </c>
      <c r="I49" s="223">
        <v>35</v>
      </c>
      <c r="J49" s="223">
        <v>23</v>
      </c>
      <c r="K49" s="223"/>
      <c r="L49" s="231">
        <v>3</v>
      </c>
      <c r="M49" s="223">
        <v>9</v>
      </c>
      <c r="N49" s="223">
        <v>7</v>
      </c>
      <c r="O49" s="223">
        <v>6</v>
      </c>
      <c r="P49" s="223">
        <v>5</v>
      </c>
      <c r="Q49" s="223">
        <v>2</v>
      </c>
      <c r="R49" s="222"/>
    </row>
    <row r="50" spans="2:18" ht="15" customHeight="1">
      <c r="B50" s="153"/>
      <c r="C50" s="152"/>
      <c r="D50" s="149">
        <v>2023</v>
      </c>
      <c r="E50" s="223">
        <v>45</v>
      </c>
      <c r="F50" s="223">
        <v>105</v>
      </c>
      <c r="G50" s="223">
        <v>84</v>
      </c>
      <c r="H50" s="223">
        <v>76</v>
      </c>
      <c r="I50" s="223">
        <v>66</v>
      </c>
      <c r="J50" s="223">
        <v>49</v>
      </c>
      <c r="K50" s="223"/>
      <c r="L50" s="223">
        <v>3</v>
      </c>
      <c r="M50" s="223">
        <v>20</v>
      </c>
      <c r="N50" s="223">
        <v>16</v>
      </c>
      <c r="O50" s="223">
        <v>17</v>
      </c>
      <c r="P50" s="223">
        <v>13</v>
      </c>
      <c r="Q50" s="223">
        <v>10</v>
      </c>
      <c r="R50" s="222"/>
    </row>
    <row r="51" spans="2:18" ht="8.1" customHeight="1">
      <c r="B51" s="153"/>
      <c r="C51" s="138"/>
      <c r="D51" s="149"/>
      <c r="E51" s="150"/>
      <c r="F51" s="203"/>
      <c r="G51" s="203"/>
      <c r="H51" s="203"/>
      <c r="I51" s="203"/>
      <c r="J51" s="203"/>
      <c r="K51" s="203"/>
      <c r="L51" s="203"/>
      <c r="M51" s="207"/>
      <c r="N51" s="207"/>
      <c r="O51" s="204"/>
      <c r="P51" s="204"/>
      <c r="Q51" s="204"/>
      <c r="R51" s="203"/>
    </row>
    <row r="52" spans="2:18" ht="15" customHeight="1">
      <c r="B52" s="151" t="s">
        <v>102</v>
      </c>
      <c r="C52" s="152"/>
      <c r="D52" s="149">
        <v>2021</v>
      </c>
      <c r="E52" s="223">
        <v>2</v>
      </c>
      <c r="F52" s="223">
        <v>13</v>
      </c>
      <c r="G52" s="223">
        <v>11</v>
      </c>
      <c r="H52" s="223">
        <v>6</v>
      </c>
      <c r="I52" s="223">
        <v>3</v>
      </c>
      <c r="J52" s="223">
        <v>1</v>
      </c>
      <c r="K52" s="223"/>
      <c r="L52" s="231" t="s">
        <v>22</v>
      </c>
      <c r="M52" s="231" t="s">
        <v>22</v>
      </c>
      <c r="N52" s="223">
        <v>3</v>
      </c>
      <c r="O52" s="223">
        <v>1</v>
      </c>
      <c r="P52" s="231" t="s">
        <v>22</v>
      </c>
      <c r="Q52" s="231" t="s">
        <v>22</v>
      </c>
      <c r="R52" s="222"/>
    </row>
    <row r="53" spans="2:18" ht="15" customHeight="1">
      <c r="B53" s="153"/>
      <c r="C53" s="152"/>
      <c r="D53" s="149">
        <v>2022</v>
      </c>
      <c r="E53" s="223">
        <v>9</v>
      </c>
      <c r="F53" s="223">
        <v>22</v>
      </c>
      <c r="G53" s="223">
        <v>13</v>
      </c>
      <c r="H53" s="223">
        <v>7</v>
      </c>
      <c r="I53" s="223">
        <v>10</v>
      </c>
      <c r="J53" s="223">
        <v>2</v>
      </c>
      <c r="K53" s="223"/>
      <c r="L53" s="223">
        <v>3</v>
      </c>
      <c r="M53" s="223">
        <v>3</v>
      </c>
      <c r="N53" s="223">
        <v>3</v>
      </c>
      <c r="O53" s="223">
        <v>1</v>
      </c>
      <c r="P53" s="231">
        <v>3</v>
      </c>
      <c r="Q53" s="223">
        <v>2</v>
      </c>
      <c r="R53" s="222"/>
    </row>
    <row r="54" spans="2:18" ht="15" customHeight="1">
      <c r="B54" s="153"/>
      <c r="C54" s="152"/>
      <c r="D54" s="149">
        <v>2023</v>
      </c>
      <c r="E54" s="223">
        <v>10</v>
      </c>
      <c r="F54" s="223">
        <v>30</v>
      </c>
      <c r="G54" s="223">
        <v>16</v>
      </c>
      <c r="H54" s="223">
        <v>10</v>
      </c>
      <c r="I54" s="223">
        <v>9</v>
      </c>
      <c r="J54" s="223">
        <v>5</v>
      </c>
      <c r="K54" s="223"/>
      <c r="L54" s="231" t="s">
        <v>22</v>
      </c>
      <c r="M54" s="223">
        <v>2</v>
      </c>
      <c r="N54" s="223">
        <v>3</v>
      </c>
      <c r="O54" s="223">
        <v>1</v>
      </c>
      <c r="P54" s="231" t="s">
        <v>22</v>
      </c>
      <c r="Q54" s="231">
        <v>2</v>
      </c>
      <c r="R54" s="222"/>
    </row>
    <row r="55" spans="2:18" ht="8.1" customHeight="1">
      <c r="B55" s="153"/>
      <c r="C55" s="154"/>
      <c r="D55" s="149"/>
      <c r="E55" s="150"/>
      <c r="F55" s="203"/>
      <c r="G55" s="203"/>
      <c r="H55" s="203"/>
      <c r="I55" s="203"/>
      <c r="J55" s="203"/>
      <c r="K55" s="203"/>
      <c r="L55" s="203"/>
      <c r="M55" s="204"/>
      <c r="N55" s="204"/>
      <c r="O55" s="204"/>
      <c r="P55" s="204"/>
      <c r="Q55" s="204"/>
      <c r="R55" s="203"/>
    </row>
    <row r="56" spans="2:18" ht="15" customHeight="1">
      <c r="B56" s="151" t="s">
        <v>103</v>
      </c>
      <c r="C56" s="152"/>
      <c r="D56" s="149">
        <v>2021</v>
      </c>
      <c r="E56" s="223">
        <v>17</v>
      </c>
      <c r="F56" s="223">
        <v>142</v>
      </c>
      <c r="G56" s="223">
        <v>106</v>
      </c>
      <c r="H56" s="223">
        <v>68</v>
      </c>
      <c r="I56" s="223">
        <v>44</v>
      </c>
      <c r="J56" s="223">
        <v>50</v>
      </c>
      <c r="K56" s="223"/>
      <c r="L56" s="223">
        <v>3</v>
      </c>
      <c r="M56" s="223">
        <v>6</v>
      </c>
      <c r="N56" s="223">
        <v>14</v>
      </c>
      <c r="O56" s="223">
        <v>9</v>
      </c>
      <c r="P56" s="223">
        <v>9</v>
      </c>
      <c r="Q56" s="223">
        <v>3</v>
      </c>
      <c r="R56" s="222"/>
    </row>
    <row r="57" spans="2:18" ht="15" customHeight="1">
      <c r="B57" s="153"/>
      <c r="C57" s="152"/>
      <c r="D57" s="149">
        <v>2022</v>
      </c>
      <c r="E57" s="223">
        <v>18</v>
      </c>
      <c r="F57" s="223">
        <v>148</v>
      </c>
      <c r="G57" s="223">
        <v>118</v>
      </c>
      <c r="H57" s="223">
        <v>91</v>
      </c>
      <c r="I57" s="223">
        <v>72</v>
      </c>
      <c r="J57" s="223">
        <v>29</v>
      </c>
      <c r="K57" s="223"/>
      <c r="L57" s="223">
        <v>1</v>
      </c>
      <c r="M57" s="223">
        <v>10</v>
      </c>
      <c r="N57" s="223">
        <v>25</v>
      </c>
      <c r="O57" s="223">
        <v>25</v>
      </c>
      <c r="P57" s="223">
        <v>11</v>
      </c>
      <c r="Q57" s="223">
        <v>3</v>
      </c>
      <c r="R57" s="222"/>
    </row>
    <row r="58" spans="2:18" ht="15" customHeight="1">
      <c r="B58" s="153"/>
      <c r="C58" s="152"/>
      <c r="D58" s="149">
        <v>2023</v>
      </c>
      <c r="E58" s="223">
        <v>68</v>
      </c>
      <c r="F58" s="223">
        <v>389</v>
      </c>
      <c r="G58" s="223">
        <v>271</v>
      </c>
      <c r="H58" s="223">
        <v>191</v>
      </c>
      <c r="I58" s="223">
        <v>119</v>
      </c>
      <c r="J58" s="223">
        <v>99</v>
      </c>
      <c r="K58" s="223"/>
      <c r="L58" s="223">
        <v>4</v>
      </c>
      <c r="M58" s="223">
        <v>41</v>
      </c>
      <c r="N58" s="223">
        <v>49</v>
      </c>
      <c r="O58" s="223">
        <v>48</v>
      </c>
      <c r="P58" s="223">
        <v>30</v>
      </c>
      <c r="Q58" s="223">
        <v>18</v>
      </c>
      <c r="R58" s="222"/>
    </row>
    <row r="59" spans="2:18" ht="8.1" customHeight="1">
      <c r="B59" s="153"/>
      <c r="C59" s="148"/>
      <c r="D59" s="149"/>
      <c r="E59" s="150"/>
      <c r="F59" s="203"/>
      <c r="G59" s="203"/>
      <c r="H59" s="203"/>
      <c r="I59" s="203"/>
      <c r="J59" s="203"/>
      <c r="K59" s="203"/>
      <c r="L59" s="203"/>
      <c r="M59" s="204"/>
      <c r="N59" s="204"/>
      <c r="O59" s="204"/>
      <c r="P59" s="204"/>
      <c r="Q59" s="204"/>
      <c r="R59" s="203"/>
    </row>
    <row r="60" spans="2:18" ht="15" customHeight="1">
      <c r="B60" s="151" t="s">
        <v>104</v>
      </c>
      <c r="C60" s="152"/>
      <c r="D60" s="149">
        <v>2021</v>
      </c>
      <c r="E60" s="223">
        <v>9</v>
      </c>
      <c r="F60" s="223">
        <v>43</v>
      </c>
      <c r="G60" s="223">
        <v>20</v>
      </c>
      <c r="H60" s="223">
        <v>14</v>
      </c>
      <c r="I60" s="223">
        <v>11</v>
      </c>
      <c r="J60" s="223">
        <v>3</v>
      </c>
      <c r="K60" s="223"/>
      <c r="L60" s="223">
        <v>3</v>
      </c>
      <c r="M60" s="223">
        <v>11</v>
      </c>
      <c r="N60" s="223">
        <v>7</v>
      </c>
      <c r="O60" s="223">
        <v>8</v>
      </c>
      <c r="P60" s="223">
        <v>3</v>
      </c>
      <c r="Q60" s="231" t="s">
        <v>22</v>
      </c>
      <c r="R60" s="222"/>
    </row>
    <row r="61" spans="2:18" ht="15" customHeight="1">
      <c r="B61" s="153"/>
      <c r="C61" s="152"/>
      <c r="D61" s="149">
        <v>2022</v>
      </c>
      <c r="E61" s="223">
        <v>16</v>
      </c>
      <c r="F61" s="223">
        <v>68</v>
      </c>
      <c r="G61" s="223">
        <v>66</v>
      </c>
      <c r="H61" s="223">
        <v>25</v>
      </c>
      <c r="I61" s="223">
        <v>19</v>
      </c>
      <c r="J61" s="223">
        <v>11</v>
      </c>
      <c r="K61" s="223"/>
      <c r="L61" s="231">
        <v>6</v>
      </c>
      <c r="M61" s="223">
        <v>16</v>
      </c>
      <c r="N61" s="223">
        <v>8</v>
      </c>
      <c r="O61" s="223">
        <v>11</v>
      </c>
      <c r="P61" s="223">
        <v>3</v>
      </c>
      <c r="Q61" s="223">
        <v>3</v>
      </c>
      <c r="R61" s="222"/>
    </row>
    <row r="62" spans="2:18" ht="15" customHeight="1">
      <c r="B62" s="153"/>
      <c r="C62" s="152"/>
      <c r="D62" s="149">
        <v>2023</v>
      </c>
      <c r="E62" s="223">
        <v>23</v>
      </c>
      <c r="F62" s="223">
        <v>64</v>
      </c>
      <c r="G62" s="223">
        <v>41</v>
      </c>
      <c r="H62" s="223">
        <v>35</v>
      </c>
      <c r="I62" s="223">
        <v>31</v>
      </c>
      <c r="J62" s="223">
        <v>15</v>
      </c>
      <c r="K62" s="223"/>
      <c r="L62" s="223">
        <v>5</v>
      </c>
      <c r="M62" s="223">
        <v>9</v>
      </c>
      <c r="N62" s="223">
        <v>11</v>
      </c>
      <c r="O62" s="223">
        <v>6</v>
      </c>
      <c r="P62" s="223">
        <v>5</v>
      </c>
      <c r="Q62" s="223">
        <v>3</v>
      </c>
      <c r="R62" s="222"/>
    </row>
    <row r="63" spans="2:18" ht="8.1" customHeight="1">
      <c r="B63" s="153"/>
      <c r="C63" s="154"/>
      <c r="D63" s="149"/>
      <c r="E63" s="150"/>
      <c r="F63" s="203"/>
      <c r="G63" s="203"/>
      <c r="H63" s="203"/>
      <c r="I63" s="203"/>
      <c r="J63" s="203"/>
      <c r="K63" s="203"/>
      <c r="L63" s="203"/>
      <c r="M63" s="204"/>
      <c r="N63" s="204"/>
      <c r="O63" s="204"/>
      <c r="P63" s="208"/>
      <c r="Q63" s="208"/>
      <c r="R63" s="203"/>
    </row>
    <row r="64" spans="2:18" ht="15" customHeight="1">
      <c r="B64" s="151" t="s">
        <v>108</v>
      </c>
      <c r="C64" s="152"/>
      <c r="D64" s="149">
        <v>2021</v>
      </c>
      <c r="E64" s="223">
        <v>9</v>
      </c>
      <c r="F64" s="223">
        <v>45</v>
      </c>
      <c r="G64" s="223">
        <v>37</v>
      </c>
      <c r="H64" s="223">
        <v>28</v>
      </c>
      <c r="I64" s="223">
        <v>17</v>
      </c>
      <c r="J64" s="223">
        <v>20</v>
      </c>
      <c r="K64" s="223"/>
      <c r="L64" s="223">
        <v>2</v>
      </c>
      <c r="M64" s="223">
        <v>5</v>
      </c>
      <c r="N64" s="223">
        <v>3</v>
      </c>
      <c r="O64" s="223">
        <v>5</v>
      </c>
      <c r="P64" s="223">
        <v>6</v>
      </c>
      <c r="Q64" s="223">
        <v>2</v>
      </c>
      <c r="R64" s="222"/>
    </row>
    <row r="65" spans="1:18" ht="15" customHeight="1">
      <c r="B65" s="153"/>
      <c r="C65" s="152"/>
      <c r="D65" s="149">
        <v>2022</v>
      </c>
      <c r="E65" s="223">
        <v>2</v>
      </c>
      <c r="F65" s="223">
        <v>55</v>
      </c>
      <c r="G65" s="223">
        <v>80</v>
      </c>
      <c r="H65" s="223">
        <v>49</v>
      </c>
      <c r="I65" s="223">
        <v>37</v>
      </c>
      <c r="J65" s="223">
        <v>21</v>
      </c>
      <c r="K65" s="223"/>
      <c r="L65" s="231" t="s">
        <v>22</v>
      </c>
      <c r="M65" s="223">
        <v>4</v>
      </c>
      <c r="N65" s="223">
        <v>6</v>
      </c>
      <c r="O65" s="223">
        <v>7</v>
      </c>
      <c r="P65" s="223">
        <v>4</v>
      </c>
      <c r="Q65" s="223">
        <v>2</v>
      </c>
      <c r="R65" s="222"/>
    </row>
    <row r="66" spans="1:18" ht="15" customHeight="1">
      <c r="B66" s="153"/>
      <c r="C66" s="152"/>
      <c r="D66" s="149">
        <v>2023</v>
      </c>
      <c r="E66" s="223">
        <v>15</v>
      </c>
      <c r="F66" s="223">
        <v>90</v>
      </c>
      <c r="G66" s="223">
        <v>90</v>
      </c>
      <c r="H66" s="223">
        <v>44</v>
      </c>
      <c r="I66" s="223">
        <v>40</v>
      </c>
      <c r="J66" s="223">
        <v>17</v>
      </c>
      <c r="K66" s="223"/>
      <c r="L66" s="223">
        <v>3</v>
      </c>
      <c r="M66" s="223">
        <v>8</v>
      </c>
      <c r="N66" s="223">
        <v>17</v>
      </c>
      <c r="O66" s="223">
        <v>15</v>
      </c>
      <c r="P66" s="223">
        <v>6</v>
      </c>
      <c r="Q66" s="223">
        <v>3</v>
      </c>
      <c r="R66" s="222"/>
    </row>
    <row r="67" spans="1:18" ht="8.1" customHeight="1">
      <c r="B67" s="155"/>
      <c r="C67" s="145"/>
      <c r="D67" s="149"/>
      <c r="E67" s="150"/>
      <c r="F67" s="203"/>
      <c r="G67" s="203"/>
      <c r="H67" s="203"/>
      <c r="I67" s="203"/>
      <c r="J67" s="203"/>
      <c r="K67" s="203"/>
      <c r="L67" s="203"/>
      <c r="M67" s="208"/>
      <c r="N67" s="208"/>
      <c r="O67" s="204"/>
      <c r="P67" s="204"/>
      <c r="Q67" s="204"/>
      <c r="R67" s="203"/>
    </row>
    <row r="68" spans="1:18" ht="15" customHeight="1">
      <c r="B68" s="151" t="s">
        <v>105</v>
      </c>
      <c r="C68" s="152"/>
      <c r="D68" s="149">
        <v>2021</v>
      </c>
      <c r="E68" s="223">
        <v>14</v>
      </c>
      <c r="F68" s="223">
        <v>72</v>
      </c>
      <c r="G68" s="223">
        <v>54</v>
      </c>
      <c r="H68" s="223">
        <v>51</v>
      </c>
      <c r="I68" s="223">
        <v>34</v>
      </c>
      <c r="J68" s="223">
        <v>30</v>
      </c>
      <c r="K68" s="223"/>
      <c r="L68" s="223">
        <v>7</v>
      </c>
      <c r="M68" s="223">
        <v>27</v>
      </c>
      <c r="N68" s="223">
        <v>25</v>
      </c>
      <c r="O68" s="223">
        <v>20</v>
      </c>
      <c r="P68" s="223">
        <v>12</v>
      </c>
      <c r="Q68" s="223">
        <v>5</v>
      </c>
      <c r="R68" s="222"/>
    </row>
    <row r="69" spans="1:18" ht="15" customHeight="1">
      <c r="B69" s="153"/>
      <c r="C69" s="152"/>
      <c r="D69" s="149">
        <v>2022</v>
      </c>
      <c r="E69" s="223">
        <v>11</v>
      </c>
      <c r="F69" s="223">
        <v>81</v>
      </c>
      <c r="G69" s="223">
        <v>58</v>
      </c>
      <c r="H69" s="223">
        <v>51</v>
      </c>
      <c r="I69" s="223">
        <v>39</v>
      </c>
      <c r="J69" s="223">
        <v>26</v>
      </c>
      <c r="K69" s="223"/>
      <c r="L69" s="223">
        <v>5</v>
      </c>
      <c r="M69" s="223">
        <v>22</v>
      </c>
      <c r="N69" s="223">
        <v>20</v>
      </c>
      <c r="O69" s="223">
        <v>26</v>
      </c>
      <c r="P69" s="223">
        <v>15</v>
      </c>
      <c r="Q69" s="223">
        <v>8</v>
      </c>
      <c r="R69" s="222"/>
    </row>
    <row r="70" spans="1:18" ht="15" customHeight="1">
      <c r="B70" s="153"/>
      <c r="C70" s="152"/>
      <c r="D70" s="149">
        <v>2023</v>
      </c>
      <c r="E70" s="223">
        <v>16</v>
      </c>
      <c r="F70" s="223">
        <v>95</v>
      </c>
      <c r="G70" s="223">
        <v>72</v>
      </c>
      <c r="H70" s="223">
        <v>54</v>
      </c>
      <c r="I70" s="223">
        <v>44</v>
      </c>
      <c r="J70" s="223">
        <v>33</v>
      </c>
      <c r="K70" s="223"/>
      <c r="L70" s="223">
        <v>4</v>
      </c>
      <c r="M70" s="223">
        <v>34</v>
      </c>
      <c r="N70" s="223">
        <v>35</v>
      </c>
      <c r="O70" s="223">
        <v>17</v>
      </c>
      <c r="P70" s="223">
        <v>19</v>
      </c>
      <c r="Q70" s="223">
        <v>10</v>
      </c>
      <c r="R70" s="222"/>
    </row>
    <row r="71" spans="1:18" ht="8.1" customHeight="1">
      <c r="B71" s="153"/>
      <c r="C71" s="151"/>
      <c r="D71" s="149"/>
      <c r="E71" s="150"/>
      <c r="F71" s="203"/>
      <c r="G71" s="203"/>
      <c r="H71" s="203"/>
      <c r="I71" s="203"/>
      <c r="J71" s="203"/>
      <c r="K71" s="203"/>
      <c r="L71" s="203"/>
      <c r="M71" s="204"/>
      <c r="N71" s="204"/>
      <c r="O71" s="204"/>
      <c r="P71" s="208"/>
      <c r="Q71" s="208"/>
      <c r="R71" s="203"/>
    </row>
    <row r="72" spans="1:18" ht="15" customHeight="1">
      <c r="B72" s="151" t="s">
        <v>109</v>
      </c>
      <c r="C72" s="152"/>
      <c r="D72" s="149">
        <v>2021</v>
      </c>
      <c r="E72" s="223">
        <v>16</v>
      </c>
      <c r="F72" s="223">
        <v>171</v>
      </c>
      <c r="G72" s="223">
        <v>138</v>
      </c>
      <c r="H72" s="223">
        <v>74</v>
      </c>
      <c r="I72" s="223">
        <v>67</v>
      </c>
      <c r="J72" s="223">
        <v>47</v>
      </c>
      <c r="K72" s="223"/>
      <c r="L72" s="231">
        <v>3</v>
      </c>
      <c r="M72" s="223">
        <v>11</v>
      </c>
      <c r="N72" s="223">
        <v>19</v>
      </c>
      <c r="O72" s="223">
        <v>11</v>
      </c>
      <c r="P72" s="223">
        <v>3</v>
      </c>
      <c r="Q72" s="223">
        <v>3</v>
      </c>
      <c r="R72" s="222"/>
    </row>
    <row r="73" spans="1:18" ht="15" customHeight="1">
      <c r="B73" s="153"/>
      <c r="C73" s="152"/>
      <c r="D73" s="149">
        <v>2022</v>
      </c>
      <c r="E73" s="223">
        <v>26</v>
      </c>
      <c r="F73" s="223">
        <v>205</v>
      </c>
      <c r="G73" s="223">
        <v>174</v>
      </c>
      <c r="H73" s="223">
        <v>96</v>
      </c>
      <c r="I73" s="223">
        <v>61</v>
      </c>
      <c r="J73" s="223">
        <v>59</v>
      </c>
      <c r="K73" s="223"/>
      <c r="L73" s="223">
        <v>3</v>
      </c>
      <c r="M73" s="223">
        <v>13</v>
      </c>
      <c r="N73" s="223">
        <v>27</v>
      </c>
      <c r="O73" s="223">
        <v>30</v>
      </c>
      <c r="P73" s="223">
        <v>11</v>
      </c>
      <c r="Q73" s="223">
        <v>7</v>
      </c>
      <c r="R73" s="222"/>
    </row>
    <row r="74" spans="1:18" ht="15" customHeight="1">
      <c r="A74" s="177"/>
      <c r="B74" s="225"/>
      <c r="C74" s="226"/>
      <c r="D74" s="227">
        <v>2023</v>
      </c>
      <c r="E74" s="223">
        <v>43</v>
      </c>
      <c r="F74" s="223">
        <v>283</v>
      </c>
      <c r="G74" s="223">
        <v>195</v>
      </c>
      <c r="H74" s="223">
        <v>143</v>
      </c>
      <c r="I74" s="223">
        <v>87</v>
      </c>
      <c r="J74" s="223">
        <v>86</v>
      </c>
      <c r="K74" s="223"/>
      <c r="L74" s="223">
        <v>4</v>
      </c>
      <c r="M74" s="223">
        <v>28</v>
      </c>
      <c r="N74" s="223">
        <v>26</v>
      </c>
      <c r="O74" s="223">
        <v>22</v>
      </c>
      <c r="P74" s="223">
        <v>17</v>
      </c>
      <c r="Q74" s="223">
        <v>40</v>
      </c>
      <c r="R74" s="222"/>
    </row>
    <row r="75" spans="1:18" ht="8.1" customHeight="1" thickBot="1">
      <c r="A75" s="156"/>
      <c r="B75" s="156"/>
      <c r="C75" s="156"/>
      <c r="D75" s="157"/>
      <c r="E75" s="158"/>
      <c r="F75" s="158"/>
      <c r="G75" s="158"/>
      <c r="H75" s="158"/>
      <c r="I75" s="158"/>
      <c r="J75" s="158"/>
      <c r="K75" s="158"/>
      <c r="L75" s="158"/>
      <c r="M75" s="228"/>
      <c r="N75" s="228"/>
      <c r="O75" s="229"/>
      <c r="P75" s="229"/>
      <c r="Q75" s="229"/>
      <c r="R75" s="158"/>
    </row>
    <row r="76" spans="1:18" s="87" customFormat="1" ht="15.95" customHeight="1">
      <c r="B76" s="88"/>
      <c r="C76" s="89"/>
      <c r="D76" s="90"/>
      <c r="E76" s="91"/>
      <c r="F76" s="91"/>
      <c r="R76" s="92" t="s">
        <v>19</v>
      </c>
    </row>
    <row r="77" spans="1:18" s="87" customFormat="1" ht="15.95" customHeight="1">
      <c r="B77" s="88"/>
      <c r="C77" s="89"/>
      <c r="D77" s="90"/>
      <c r="E77" s="91"/>
      <c r="F77" s="91"/>
      <c r="R77" s="93" t="s">
        <v>20</v>
      </c>
    </row>
    <row r="78" spans="1:18" ht="15" customHeight="1">
      <c r="B78" s="212"/>
      <c r="C78" s="213"/>
      <c r="D78" s="214"/>
      <c r="E78" s="219"/>
      <c r="F78" s="220"/>
      <c r="G78" s="220"/>
      <c r="H78" s="220"/>
      <c r="I78" s="220"/>
      <c r="J78" s="220"/>
      <c r="K78" s="220"/>
      <c r="L78" s="220"/>
      <c r="M78" s="221"/>
      <c r="N78" s="221"/>
      <c r="O78" s="196"/>
      <c r="P78" s="196"/>
      <c r="Q78" s="196"/>
      <c r="R78" s="220"/>
    </row>
    <row r="79" spans="1:18" ht="15" customHeight="1">
      <c r="D79" s="217"/>
      <c r="E79" s="216"/>
      <c r="F79" s="216"/>
      <c r="G79" s="216"/>
      <c r="H79" s="216"/>
      <c r="L79" s="215"/>
      <c r="M79" s="218"/>
      <c r="N79" s="218"/>
    </row>
    <row r="80" spans="1:18" ht="15" customHeight="1">
      <c r="B80" s="138"/>
      <c r="C80" s="138"/>
      <c r="D80" s="139"/>
      <c r="E80" s="140"/>
      <c r="F80" s="140"/>
      <c r="G80" s="140"/>
      <c r="H80" s="140"/>
      <c r="I80" s="140"/>
      <c r="J80" s="140"/>
      <c r="K80" s="140"/>
      <c r="L80" s="140"/>
      <c r="R80" s="140"/>
    </row>
    <row r="81" spans="2:18" ht="15" customHeight="1">
      <c r="B81" s="138"/>
      <c r="C81" s="138"/>
      <c r="D81" s="139"/>
      <c r="E81" s="140"/>
      <c r="F81" s="140"/>
      <c r="G81" s="140"/>
      <c r="H81" s="140"/>
      <c r="I81" s="140"/>
      <c r="J81" s="140"/>
      <c r="K81" s="140"/>
      <c r="L81" s="140"/>
      <c r="R81" s="140"/>
    </row>
    <row r="82" spans="2:18" ht="15" customHeight="1">
      <c r="B82" s="138"/>
      <c r="C82" s="138"/>
      <c r="D82" s="139"/>
      <c r="E82" s="140"/>
      <c r="F82" s="140"/>
      <c r="G82" s="140"/>
      <c r="H82" s="140"/>
      <c r="I82" s="140"/>
      <c r="J82" s="140"/>
      <c r="K82" s="140"/>
      <c r="L82" s="140"/>
      <c r="R82" s="140"/>
    </row>
    <row r="83" spans="2:18" ht="15" customHeight="1">
      <c r="B83" s="138"/>
      <c r="C83" s="138"/>
      <c r="D83" s="139"/>
      <c r="E83" s="140"/>
      <c r="F83" s="140"/>
      <c r="G83" s="140"/>
      <c r="H83" s="140"/>
      <c r="I83" s="140"/>
      <c r="J83" s="140"/>
      <c r="K83" s="140"/>
      <c r="L83" s="140"/>
      <c r="R83" s="140"/>
    </row>
    <row r="84" spans="2:18" ht="15" customHeight="1">
      <c r="B84" s="138"/>
      <c r="C84" s="138"/>
      <c r="D84" s="139"/>
      <c r="E84" s="140"/>
      <c r="F84" s="140"/>
      <c r="G84" s="140"/>
      <c r="H84" s="140"/>
      <c r="I84" s="140"/>
      <c r="J84" s="140"/>
      <c r="K84" s="140"/>
      <c r="L84" s="140"/>
      <c r="R84" s="140"/>
    </row>
    <row r="85" spans="2:18" ht="15" customHeight="1">
      <c r="B85" s="138"/>
      <c r="C85" s="138"/>
      <c r="D85" s="139"/>
      <c r="E85" s="140"/>
      <c r="F85" s="140"/>
      <c r="G85" s="140"/>
      <c r="H85" s="140"/>
      <c r="I85" s="140"/>
      <c r="J85" s="140"/>
      <c r="K85" s="140"/>
      <c r="L85" s="140"/>
      <c r="R85" s="140"/>
    </row>
    <row r="86" spans="2:18" ht="15" customHeight="1">
      <c r="B86" s="138"/>
      <c r="C86" s="138"/>
      <c r="D86" s="139"/>
      <c r="E86" s="140"/>
      <c r="F86" s="140"/>
      <c r="G86" s="140"/>
      <c r="H86" s="140"/>
      <c r="I86" s="140"/>
      <c r="J86" s="140"/>
      <c r="K86" s="140"/>
      <c r="L86" s="140"/>
      <c r="R86" s="140"/>
    </row>
    <row r="87" spans="2:18" ht="15" customHeight="1">
      <c r="B87" s="138"/>
      <c r="C87" s="138"/>
      <c r="D87" s="139"/>
      <c r="E87" s="140"/>
      <c r="F87" s="140"/>
      <c r="G87" s="140"/>
      <c r="H87" s="140"/>
      <c r="I87" s="140"/>
      <c r="J87" s="140"/>
      <c r="K87" s="140"/>
      <c r="L87" s="140"/>
      <c r="R87" s="140"/>
    </row>
    <row r="88" spans="2:18" ht="15" customHeight="1">
      <c r="B88" s="138"/>
      <c r="C88" s="138"/>
      <c r="D88" s="139"/>
      <c r="E88" s="140"/>
      <c r="F88" s="140"/>
      <c r="G88" s="140"/>
      <c r="H88" s="140"/>
      <c r="I88" s="140"/>
      <c r="J88" s="140"/>
      <c r="K88" s="140"/>
      <c r="L88" s="140"/>
      <c r="R88" s="140"/>
    </row>
    <row r="89" spans="2:18" ht="15" customHeight="1">
      <c r="B89" s="138"/>
      <c r="C89" s="138"/>
      <c r="D89" s="139"/>
      <c r="E89" s="140"/>
      <c r="F89" s="140"/>
      <c r="G89" s="140"/>
      <c r="H89" s="140"/>
      <c r="I89" s="140"/>
      <c r="J89" s="140"/>
      <c r="K89" s="140"/>
      <c r="L89" s="140"/>
      <c r="R89" s="140"/>
    </row>
    <row r="90" spans="2:18" ht="15" customHeight="1">
      <c r="B90" s="138"/>
      <c r="C90" s="138"/>
      <c r="D90" s="139"/>
      <c r="E90" s="140"/>
      <c r="F90" s="140"/>
      <c r="G90" s="140"/>
      <c r="H90" s="140"/>
      <c r="I90" s="140"/>
      <c r="J90" s="140"/>
      <c r="K90" s="140"/>
      <c r="L90" s="140"/>
      <c r="R90" s="140"/>
    </row>
    <row r="91" spans="2:18" ht="15" customHeight="1">
      <c r="B91" s="138"/>
      <c r="C91" s="138"/>
      <c r="D91" s="139"/>
      <c r="E91" s="140"/>
      <c r="F91" s="140"/>
      <c r="G91" s="140"/>
      <c r="H91" s="140"/>
      <c r="I91" s="140"/>
      <c r="J91" s="140"/>
      <c r="K91" s="140"/>
      <c r="L91" s="140"/>
      <c r="R91" s="140"/>
    </row>
    <row r="92" spans="2:18" ht="15" customHeight="1">
      <c r="B92" s="138"/>
      <c r="C92" s="138"/>
      <c r="D92" s="139"/>
      <c r="E92" s="140"/>
      <c r="F92" s="140"/>
      <c r="G92" s="140"/>
      <c r="H92" s="140"/>
      <c r="I92" s="140"/>
      <c r="J92" s="140"/>
      <c r="K92" s="140"/>
      <c r="L92" s="140"/>
      <c r="R92" s="140"/>
    </row>
    <row r="93" spans="2:18" ht="15" customHeight="1">
      <c r="B93" s="138"/>
      <c r="C93" s="138"/>
      <c r="D93" s="139"/>
      <c r="E93" s="140"/>
      <c r="F93" s="140"/>
      <c r="G93" s="140"/>
      <c r="H93" s="140"/>
      <c r="I93" s="140"/>
      <c r="J93" s="140"/>
      <c r="K93" s="140"/>
      <c r="L93" s="140"/>
      <c r="R93" s="140"/>
    </row>
    <row r="94" spans="2:18" ht="15" customHeight="1">
      <c r="B94" s="138"/>
      <c r="C94" s="138"/>
      <c r="D94" s="139"/>
      <c r="E94" s="140"/>
      <c r="F94" s="140"/>
      <c r="G94" s="140"/>
      <c r="H94" s="140"/>
      <c r="I94" s="140"/>
      <c r="J94" s="140"/>
      <c r="K94" s="140"/>
      <c r="L94" s="140"/>
      <c r="R94" s="140"/>
    </row>
    <row r="95" spans="2:18" ht="15" customHeight="1">
      <c r="B95" s="138"/>
      <c r="C95" s="138"/>
      <c r="D95" s="139"/>
      <c r="E95" s="140"/>
      <c r="F95" s="140"/>
      <c r="G95" s="140"/>
      <c r="H95" s="140"/>
      <c r="I95" s="140"/>
      <c r="J95" s="140"/>
      <c r="K95" s="140"/>
      <c r="L95" s="140"/>
      <c r="R95" s="140"/>
    </row>
    <row r="96" spans="2:18" ht="15" customHeight="1">
      <c r="B96" s="138"/>
      <c r="C96" s="138"/>
      <c r="D96" s="139"/>
      <c r="E96" s="140"/>
      <c r="F96" s="140"/>
      <c r="G96" s="140"/>
      <c r="H96" s="140"/>
      <c r="I96" s="140"/>
      <c r="J96" s="140"/>
      <c r="K96" s="140"/>
      <c r="L96" s="140"/>
      <c r="R96" s="140"/>
    </row>
    <row r="97" spans="2:18" ht="15" customHeight="1">
      <c r="B97" s="138"/>
      <c r="C97" s="138"/>
      <c r="D97" s="139"/>
      <c r="E97" s="140"/>
      <c r="F97" s="140"/>
      <c r="G97" s="140"/>
      <c r="H97" s="140"/>
      <c r="I97" s="140"/>
      <c r="J97" s="140"/>
      <c r="K97" s="140"/>
      <c r="L97" s="140"/>
      <c r="R97" s="140"/>
    </row>
    <row r="98" spans="2:18" ht="15" customHeight="1">
      <c r="B98" s="138"/>
      <c r="C98" s="138"/>
      <c r="D98" s="139"/>
      <c r="E98" s="140"/>
      <c r="F98" s="140"/>
      <c r="G98" s="140"/>
      <c r="H98" s="140"/>
      <c r="I98" s="140"/>
      <c r="J98" s="140"/>
      <c r="K98" s="140"/>
      <c r="L98" s="140"/>
      <c r="R98" s="140"/>
    </row>
    <row r="99" spans="2:18" ht="15" customHeight="1">
      <c r="B99" s="138"/>
      <c r="C99" s="138"/>
      <c r="D99" s="139"/>
      <c r="E99" s="140"/>
      <c r="F99" s="140"/>
      <c r="G99" s="140"/>
      <c r="H99" s="140"/>
      <c r="I99" s="140"/>
      <c r="J99" s="140"/>
      <c r="K99" s="140"/>
      <c r="L99" s="140"/>
      <c r="R99" s="140"/>
    </row>
    <row r="100" spans="2:18" ht="15" customHeight="1">
      <c r="B100" s="138"/>
      <c r="C100" s="138"/>
      <c r="D100" s="139"/>
      <c r="E100" s="140"/>
      <c r="F100" s="140"/>
      <c r="G100" s="140"/>
      <c r="H100" s="140"/>
      <c r="I100" s="140"/>
      <c r="J100" s="140"/>
      <c r="K100" s="140"/>
      <c r="L100" s="140"/>
      <c r="R100" s="140"/>
    </row>
    <row r="101" spans="2:18" ht="15" customHeight="1">
      <c r="B101" s="138"/>
      <c r="C101" s="138"/>
      <c r="D101" s="139"/>
      <c r="E101" s="140"/>
      <c r="F101" s="140"/>
      <c r="G101" s="140"/>
      <c r="H101" s="140"/>
      <c r="I101" s="140"/>
      <c r="J101" s="140"/>
      <c r="K101" s="140"/>
      <c r="L101" s="140"/>
      <c r="R101" s="140"/>
    </row>
    <row r="102" spans="2:18" ht="15" customHeight="1">
      <c r="B102" s="138"/>
      <c r="C102" s="138"/>
      <c r="D102" s="139"/>
      <c r="E102" s="140"/>
      <c r="F102" s="140"/>
      <c r="G102" s="140"/>
      <c r="H102" s="140"/>
      <c r="I102" s="140"/>
      <c r="J102" s="140"/>
      <c r="K102" s="140"/>
      <c r="L102" s="140"/>
      <c r="R102" s="140"/>
    </row>
    <row r="103" spans="2:18" ht="15" customHeight="1">
      <c r="B103" s="138"/>
      <c r="C103" s="138"/>
      <c r="D103" s="139"/>
      <c r="E103" s="140"/>
      <c r="F103" s="140"/>
      <c r="G103" s="140"/>
      <c r="H103" s="140"/>
      <c r="I103" s="140"/>
      <c r="J103" s="140"/>
      <c r="K103" s="140"/>
      <c r="L103" s="140"/>
      <c r="R103" s="140"/>
    </row>
    <row r="104" spans="2:18" ht="15" customHeight="1">
      <c r="B104" s="138"/>
      <c r="C104" s="138"/>
      <c r="D104" s="139"/>
      <c r="E104" s="140"/>
      <c r="F104" s="140"/>
      <c r="G104" s="140"/>
      <c r="H104" s="140"/>
      <c r="I104" s="140"/>
      <c r="J104" s="140"/>
      <c r="K104" s="140"/>
      <c r="L104" s="140"/>
      <c r="R104" s="140"/>
    </row>
    <row r="105" spans="2:18" ht="15" customHeight="1">
      <c r="B105" s="138"/>
      <c r="C105" s="138"/>
      <c r="D105" s="139"/>
      <c r="E105" s="140"/>
      <c r="F105" s="140"/>
      <c r="G105" s="140"/>
      <c r="H105" s="140"/>
      <c r="I105" s="140"/>
      <c r="J105" s="140"/>
      <c r="K105" s="140"/>
      <c r="L105" s="140"/>
      <c r="R105" s="140"/>
    </row>
    <row r="106" spans="2:18" ht="15" customHeight="1">
      <c r="B106" s="138"/>
      <c r="C106" s="138"/>
      <c r="D106" s="139"/>
      <c r="E106" s="140"/>
      <c r="F106" s="140"/>
      <c r="G106" s="140"/>
      <c r="H106" s="140"/>
      <c r="I106" s="140"/>
      <c r="J106" s="140"/>
      <c r="K106" s="140"/>
      <c r="L106" s="140"/>
      <c r="R106" s="140"/>
    </row>
    <row r="107" spans="2:18" ht="15" customHeight="1">
      <c r="B107" s="138"/>
      <c r="C107" s="138"/>
      <c r="D107" s="139"/>
      <c r="E107" s="140"/>
      <c r="F107" s="140"/>
      <c r="G107" s="140"/>
      <c r="H107" s="140"/>
      <c r="I107" s="140"/>
      <c r="J107" s="140"/>
      <c r="K107" s="140"/>
      <c r="L107" s="140"/>
      <c r="R107" s="140"/>
    </row>
    <row r="108" spans="2:18" ht="15" customHeight="1">
      <c r="B108" s="138"/>
      <c r="C108" s="138"/>
      <c r="D108" s="139"/>
      <c r="E108" s="140"/>
      <c r="F108" s="140"/>
      <c r="G108" s="140"/>
      <c r="H108" s="140"/>
      <c r="I108" s="140"/>
      <c r="J108" s="140"/>
      <c r="K108" s="140"/>
      <c r="L108" s="140"/>
      <c r="R108" s="140"/>
    </row>
    <row r="109" spans="2:18" ht="15" customHeight="1">
      <c r="B109" s="138"/>
      <c r="C109" s="138"/>
      <c r="D109" s="139"/>
      <c r="E109" s="140"/>
      <c r="F109" s="140"/>
      <c r="G109" s="140"/>
      <c r="H109" s="140"/>
      <c r="I109" s="140"/>
      <c r="J109" s="140"/>
      <c r="K109" s="140"/>
      <c r="L109" s="140"/>
      <c r="R109" s="140"/>
    </row>
    <row r="110" spans="2:18" ht="15" customHeight="1">
      <c r="B110" s="138"/>
      <c r="C110" s="138"/>
      <c r="D110" s="139"/>
      <c r="E110" s="140"/>
      <c r="F110" s="140"/>
      <c r="G110" s="140"/>
      <c r="H110" s="140"/>
      <c r="I110" s="140"/>
      <c r="J110" s="140"/>
      <c r="K110" s="140"/>
      <c r="L110" s="140"/>
      <c r="R110" s="140"/>
    </row>
    <row r="111" spans="2:18" ht="15" customHeight="1">
      <c r="B111" s="138"/>
      <c r="C111" s="138"/>
      <c r="D111" s="139"/>
      <c r="E111" s="140"/>
      <c r="F111" s="140"/>
      <c r="G111" s="140"/>
      <c r="H111" s="140"/>
      <c r="I111" s="140"/>
      <c r="J111" s="140"/>
      <c r="K111" s="140"/>
      <c r="L111" s="140"/>
      <c r="R111" s="140"/>
    </row>
    <row r="112" spans="2:18" ht="15" customHeight="1">
      <c r="B112" s="138"/>
      <c r="C112" s="138"/>
      <c r="D112" s="139"/>
      <c r="E112" s="140"/>
      <c r="F112" s="140"/>
      <c r="G112" s="140"/>
      <c r="H112" s="140"/>
      <c r="I112" s="140"/>
      <c r="J112" s="140"/>
      <c r="K112" s="140"/>
      <c r="L112" s="140"/>
      <c r="R112" s="140"/>
    </row>
    <row r="113" spans="2:18" ht="15" customHeight="1">
      <c r="B113" s="138"/>
      <c r="C113" s="138"/>
      <c r="D113" s="139"/>
      <c r="E113" s="140"/>
      <c r="F113" s="140"/>
      <c r="G113" s="140"/>
      <c r="H113" s="140"/>
      <c r="I113" s="140"/>
      <c r="J113" s="140"/>
      <c r="K113" s="140"/>
      <c r="L113" s="140"/>
      <c r="R113" s="140"/>
    </row>
    <row r="114" spans="2:18" ht="15" customHeight="1">
      <c r="B114" s="138"/>
      <c r="C114" s="138"/>
      <c r="D114" s="139"/>
      <c r="E114" s="140"/>
      <c r="F114" s="140"/>
      <c r="G114" s="140"/>
      <c r="H114" s="140"/>
      <c r="I114" s="140"/>
      <c r="J114" s="140"/>
      <c r="K114" s="140"/>
      <c r="L114" s="140"/>
      <c r="R114" s="140"/>
    </row>
    <row r="115" spans="2:18" ht="15" customHeight="1">
      <c r="B115" s="138"/>
      <c r="C115" s="138"/>
      <c r="D115" s="139"/>
      <c r="E115" s="140"/>
      <c r="F115" s="140"/>
      <c r="G115" s="140"/>
      <c r="H115" s="140"/>
      <c r="I115" s="140"/>
      <c r="J115" s="140"/>
      <c r="K115" s="140"/>
      <c r="L115" s="140"/>
      <c r="R115" s="140"/>
    </row>
    <row r="116" spans="2:18" ht="15" customHeight="1">
      <c r="B116" s="138"/>
      <c r="C116" s="138"/>
      <c r="D116" s="139"/>
      <c r="E116" s="140"/>
      <c r="F116" s="140"/>
      <c r="G116" s="140"/>
      <c r="H116" s="140"/>
      <c r="I116" s="140"/>
      <c r="J116" s="140"/>
      <c r="K116" s="140"/>
      <c r="L116" s="140"/>
      <c r="R116" s="140"/>
    </row>
    <row r="117" spans="2:18" ht="15" customHeight="1">
      <c r="B117" s="138"/>
      <c r="C117" s="138"/>
      <c r="D117" s="139"/>
      <c r="E117" s="140"/>
      <c r="F117" s="140"/>
      <c r="G117" s="140"/>
      <c r="H117" s="140"/>
      <c r="I117" s="140"/>
      <c r="J117" s="140"/>
      <c r="K117" s="140"/>
      <c r="L117" s="140"/>
      <c r="R117" s="140"/>
    </row>
    <row r="118" spans="2:18" ht="15" customHeight="1">
      <c r="B118" s="138"/>
      <c r="C118" s="138"/>
      <c r="D118" s="139"/>
      <c r="E118" s="140"/>
      <c r="F118" s="140"/>
      <c r="G118" s="140"/>
      <c r="H118" s="140"/>
      <c r="I118" s="140"/>
      <c r="J118" s="140"/>
      <c r="K118" s="140"/>
      <c r="L118" s="140"/>
      <c r="R118" s="140"/>
    </row>
    <row r="119" spans="2:18" ht="15" customHeight="1">
      <c r="B119" s="138"/>
      <c r="C119" s="138"/>
      <c r="D119" s="139"/>
      <c r="E119" s="140"/>
      <c r="F119" s="140"/>
      <c r="G119" s="140"/>
      <c r="H119" s="140"/>
      <c r="I119" s="140"/>
      <c r="J119" s="140"/>
      <c r="K119" s="140"/>
      <c r="L119" s="140"/>
      <c r="R119" s="140"/>
    </row>
    <row r="120" spans="2:18" ht="15" customHeight="1">
      <c r="B120" s="138"/>
      <c r="C120" s="138"/>
      <c r="D120" s="139"/>
      <c r="E120" s="140"/>
      <c r="F120" s="140"/>
      <c r="G120" s="140"/>
      <c r="H120" s="140"/>
      <c r="I120" s="140"/>
      <c r="J120" s="140"/>
      <c r="K120" s="140"/>
      <c r="L120" s="140"/>
      <c r="R120" s="140"/>
    </row>
    <row r="121" spans="2:18" ht="15" customHeight="1">
      <c r="B121" s="138"/>
      <c r="C121" s="138"/>
      <c r="D121" s="139"/>
      <c r="E121" s="140"/>
      <c r="F121" s="140"/>
      <c r="G121" s="140"/>
      <c r="H121" s="140"/>
      <c r="I121" s="140"/>
      <c r="J121" s="140"/>
      <c r="K121" s="140"/>
      <c r="L121" s="140"/>
      <c r="R121" s="140"/>
    </row>
    <row r="122" spans="2:18" ht="15" customHeight="1">
      <c r="B122" s="138"/>
      <c r="C122" s="138"/>
      <c r="D122" s="139"/>
      <c r="E122" s="140"/>
      <c r="F122" s="140"/>
      <c r="G122" s="140"/>
      <c r="H122" s="140"/>
      <c r="I122" s="140"/>
      <c r="J122" s="140"/>
      <c r="K122" s="140"/>
      <c r="L122" s="140"/>
      <c r="R122" s="140"/>
    </row>
    <row r="123" spans="2:18" ht="15" customHeight="1">
      <c r="B123" s="138"/>
      <c r="C123" s="138"/>
      <c r="D123" s="139"/>
      <c r="E123" s="140"/>
      <c r="F123" s="140"/>
      <c r="G123" s="140"/>
      <c r="H123" s="140"/>
      <c r="I123" s="140"/>
      <c r="J123" s="140"/>
      <c r="K123" s="140"/>
      <c r="L123" s="140"/>
      <c r="R123" s="140"/>
    </row>
    <row r="124" spans="2:18" ht="15" customHeight="1">
      <c r="B124" s="138"/>
      <c r="C124" s="138"/>
      <c r="D124" s="139"/>
      <c r="E124" s="140"/>
      <c r="F124" s="140"/>
      <c r="G124" s="140"/>
      <c r="H124" s="140"/>
      <c r="I124" s="140"/>
      <c r="J124" s="140"/>
      <c r="K124" s="140"/>
      <c r="L124" s="140"/>
      <c r="R124" s="140"/>
    </row>
    <row r="125" spans="2:18" ht="15" customHeight="1">
      <c r="B125" s="138"/>
      <c r="C125" s="138"/>
      <c r="D125" s="139"/>
      <c r="E125" s="140"/>
      <c r="F125" s="140"/>
      <c r="G125" s="140"/>
      <c r="H125" s="140"/>
      <c r="I125" s="140"/>
      <c r="J125" s="140"/>
      <c r="K125" s="140"/>
      <c r="L125" s="140"/>
      <c r="R125" s="140"/>
    </row>
    <row r="126" spans="2:18" ht="15" customHeight="1">
      <c r="B126" s="138"/>
      <c r="C126" s="138"/>
      <c r="D126" s="139"/>
      <c r="E126" s="140"/>
      <c r="F126" s="140"/>
      <c r="G126" s="140"/>
      <c r="H126" s="140"/>
      <c r="I126" s="140"/>
      <c r="J126" s="140"/>
      <c r="K126" s="140"/>
      <c r="L126" s="140"/>
      <c r="R126" s="140"/>
    </row>
    <row r="127" spans="2:18" ht="15" customHeight="1">
      <c r="B127" s="138"/>
      <c r="C127" s="138"/>
      <c r="D127" s="139"/>
      <c r="E127" s="140"/>
      <c r="F127" s="140"/>
      <c r="G127" s="140"/>
      <c r="H127" s="140"/>
      <c r="I127" s="140"/>
      <c r="J127" s="140"/>
      <c r="K127" s="140"/>
      <c r="L127" s="140"/>
      <c r="R127" s="140"/>
    </row>
    <row r="128" spans="2:18" ht="15" customHeight="1">
      <c r="B128" s="138"/>
      <c r="C128" s="138"/>
      <c r="D128" s="139"/>
      <c r="E128" s="140"/>
      <c r="F128" s="140"/>
      <c r="G128" s="140"/>
      <c r="H128" s="140"/>
      <c r="I128" s="140"/>
      <c r="J128" s="140"/>
      <c r="K128" s="140"/>
      <c r="L128" s="140"/>
      <c r="R128" s="140"/>
    </row>
    <row r="129" spans="2:18" ht="15" customHeight="1">
      <c r="B129" s="138"/>
      <c r="C129" s="138"/>
      <c r="D129" s="139"/>
      <c r="E129" s="140"/>
      <c r="F129" s="140"/>
      <c r="G129" s="140"/>
      <c r="H129" s="140"/>
      <c r="I129" s="140"/>
      <c r="J129" s="140"/>
      <c r="K129" s="140"/>
      <c r="L129" s="140"/>
      <c r="R129" s="140"/>
    </row>
    <row r="130" spans="2:18" ht="15" customHeight="1">
      <c r="B130" s="138"/>
      <c r="C130" s="138"/>
      <c r="D130" s="139"/>
      <c r="E130" s="140"/>
      <c r="F130" s="140"/>
      <c r="G130" s="140"/>
      <c r="H130" s="140"/>
      <c r="I130" s="140"/>
      <c r="J130" s="140"/>
      <c r="K130" s="140"/>
      <c r="L130" s="140"/>
      <c r="R130" s="140"/>
    </row>
    <row r="131" spans="2:18" ht="15" customHeight="1">
      <c r="B131" s="138"/>
      <c r="C131" s="138"/>
      <c r="D131" s="139"/>
      <c r="E131" s="140"/>
      <c r="F131" s="140"/>
      <c r="G131" s="140"/>
      <c r="H131" s="140"/>
      <c r="I131" s="140"/>
      <c r="J131" s="140"/>
      <c r="K131" s="140"/>
      <c r="L131" s="140"/>
      <c r="R131" s="140"/>
    </row>
    <row r="132" spans="2:18" ht="15" customHeight="1">
      <c r="B132" s="138"/>
      <c r="C132" s="138"/>
      <c r="D132" s="139"/>
      <c r="E132" s="140"/>
      <c r="F132" s="140"/>
      <c r="G132" s="140"/>
      <c r="H132" s="140"/>
      <c r="I132" s="140"/>
      <c r="J132" s="140"/>
      <c r="K132" s="140"/>
      <c r="L132" s="140"/>
      <c r="R132" s="140"/>
    </row>
    <row r="133" spans="2:18" ht="15" customHeight="1">
      <c r="B133" s="138"/>
      <c r="C133" s="138"/>
      <c r="D133" s="139"/>
      <c r="E133" s="140"/>
      <c r="F133" s="140"/>
      <c r="G133" s="140"/>
      <c r="H133" s="140"/>
      <c r="I133" s="140"/>
      <c r="J133" s="140"/>
      <c r="K133" s="140"/>
      <c r="L133" s="140"/>
      <c r="R133" s="140"/>
    </row>
    <row r="134" spans="2:18" ht="15" customHeight="1">
      <c r="B134" s="138"/>
      <c r="C134" s="138"/>
      <c r="D134" s="139"/>
      <c r="E134" s="140"/>
      <c r="F134" s="140"/>
      <c r="G134" s="140"/>
      <c r="H134" s="140"/>
      <c r="I134" s="140"/>
      <c r="J134" s="140"/>
      <c r="K134" s="140"/>
      <c r="L134" s="140"/>
      <c r="R134" s="140"/>
    </row>
    <row r="135" spans="2:18" ht="15" customHeight="1">
      <c r="B135" s="138"/>
      <c r="C135" s="138"/>
      <c r="D135" s="139"/>
      <c r="E135" s="140"/>
      <c r="F135" s="140"/>
      <c r="G135" s="140"/>
      <c r="H135" s="140"/>
      <c r="I135" s="140"/>
      <c r="J135" s="140"/>
      <c r="K135" s="140"/>
      <c r="L135" s="140"/>
      <c r="R135" s="140"/>
    </row>
    <row r="136" spans="2:18" ht="15" customHeight="1">
      <c r="B136" s="138"/>
      <c r="C136" s="138"/>
      <c r="D136" s="139"/>
      <c r="E136" s="140"/>
      <c r="F136" s="140"/>
      <c r="G136" s="140"/>
      <c r="H136" s="140"/>
      <c r="I136" s="140"/>
      <c r="J136" s="140"/>
      <c r="K136" s="140"/>
      <c r="L136" s="140"/>
      <c r="R136" s="140"/>
    </row>
    <row r="137" spans="2:18" ht="15" customHeight="1">
      <c r="B137" s="138"/>
      <c r="C137" s="138"/>
      <c r="D137" s="139"/>
      <c r="E137" s="140"/>
      <c r="F137" s="140"/>
      <c r="G137" s="140"/>
      <c r="H137" s="140"/>
      <c r="I137" s="140"/>
      <c r="J137" s="140"/>
      <c r="K137" s="140"/>
      <c r="L137" s="140"/>
      <c r="R137" s="140"/>
    </row>
    <row r="138" spans="2:18" ht="15" customHeight="1">
      <c r="B138" s="138"/>
      <c r="C138" s="138"/>
      <c r="D138" s="139"/>
      <c r="E138" s="140"/>
      <c r="F138" s="140"/>
      <c r="G138" s="140"/>
      <c r="H138" s="140"/>
      <c r="I138" s="140"/>
      <c r="J138" s="140"/>
      <c r="K138" s="140"/>
      <c r="L138" s="140"/>
      <c r="R138" s="140"/>
    </row>
    <row r="139" spans="2:18" ht="15" customHeight="1">
      <c r="B139" s="138"/>
      <c r="C139" s="138"/>
      <c r="D139" s="139"/>
      <c r="E139" s="140"/>
      <c r="F139" s="140"/>
      <c r="G139" s="140"/>
      <c r="H139" s="140"/>
      <c r="I139" s="140"/>
      <c r="J139" s="140"/>
      <c r="K139" s="140"/>
      <c r="L139" s="140"/>
      <c r="R139" s="140"/>
    </row>
    <row r="140" spans="2:18" ht="15" customHeight="1">
      <c r="B140" s="138"/>
      <c r="C140" s="138"/>
      <c r="D140" s="139"/>
      <c r="E140" s="140"/>
      <c r="F140" s="140"/>
      <c r="G140" s="140"/>
      <c r="H140" s="140"/>
      <c r="I140" s="140"/>
      <c r="J140" s="140"/>
      <c r="K140" s="140"/>
      <c r="L140" s="140"/>
      <c r="R140" s="140"/>
    </row>
    <row r="141" spans="2:18" ht="15" customHeight="1">
      <c r="B141" s="138"/>
      <c r="C141" s="138"/>
      <c r="D141" s="139"/>
      <c r="E141" s="140"/>
      <c r="F141" s="140"/>
      <c r="G141" s="140"/>
      <c r="H141" s="140"/>
      <c r="I141" s="140"/>
      <c r="J141" s="140"/>
      <c r="K141" s="140"/>
      <c r="L141" s="140"/>
      <c r="R141" s="140"/>
    </row>
    <row r="142" spans="2:18" ht="15" customHeight="1">
      <c r="B142" s="138"/>
      <c r="C142" s="138"/>
      <c r="D142" s="139"/>
      <c r="E142" s="140"/>
      <c r="F142" s="140"/>
      <c r="G142" s="140"/>
      <c r="H142" s="140"/>
      <c r="I142" s="140"/>
      <c r="J142" s="140"/>
      <c r="K142" s="140"/>
      <c r="L142" s="140"/>
      <c r="R142" s="140"/>
    </row>
    <row r="143" spans="2:18" ht="15" customHeight="1">
      <c r="B143" s="138"/>
      <c r="C143" s="138"/>
      <c r="D143" s="139"/>
      <c r="E143" s="140"/>
      <c r="F143" s="140"/>
      <c r="G143" s="140"/>
      <c r="H143" s="140"/>
      <c r="I143" s="140"/>
      <c r="J143" s="140"/>
      <c r="K143" s="140"/>
      <c r="L143" s="140"/>
      <c r="R143" s="140"/>
    </row>
    <row r="144" spans="2:18" ht="15" customHeight="1">
      <c r="B144" s="138"/>
      <c r="C144" s="138"/>
      <c r="D144" s="139"/>
      <c r="E144" s="140"/>
      <c r="F144" s="140"/>
      <c r="G144" s="140"/>
      <c r="H144" s="140"/>
      <c r="I144" s="140"/>
      <c r="J144" s="140"/>
      <c r="K144" s="140"/>
      <c r="L144" s="140"/>
      <c r="R144" s="140"/>
    </row>
    <row r="145" spans="2:18" ht="15" customHeight="1">
      <c r="B145" s="138"/>
      <c r="C145" s="138"/>
      <c r="D145" s="139"/>
      <c r="E145" s="140"/>
      <c r="F145" s="140"/>
      <c r="G145" s="140"/>
      <c r="H145" s="140"/>
      <c r="I145" s="140"/>
      <c r="J145" s="140"/>
      <c r="K145" s="140"/>
      <c r="L145" s="140"/>
      <c r="R145" s="140"/>
    </row>
    <row r="146" spans="2:18" ht="15" customHeight="1">
      <c r="B146" s="138"/>
      <c r="C146" s="138"/>
      <c r="D146" s="139"/>
      <c r="E146" s="140"/>
      <c r="F146" s="140"/>
      <c r="G146" s="140"/>
      <c r="H146" s="140"/>
      <c r="I146" s="140"/>
      <c r="J146" s="140"/>
      <c r="K146" s="140"/>
      <c r="L146" s="140"/>
      <c r="R146" s="140"/>
    </row>
    <row r="147" spans="2:18" ht="15" customHeight="1">
      <c r="B147" s="138"/>
      <c r="C147" s="138"/>
      <c r="D147" s="139"/>
      <c r="E147" s="140"/>
      <c r="F147" s="140"/>
      <c r="G147" s="140"/>
      <c r="H147" s="140"/>
      <c r="I147" s="140"/>
      <c r="J147" s="140"/>
      <c r="K147" s="140"/>
      <c r="L147" s="140"/>
      <c r="R147" s="140"/>
    </row>
    <row r="148" spans="2:18" ht="15" customHeight="1">
      <c r="B148" s="138"/>
      <c r="C148" s="138"/>
      <c r="D148" s="139"/>
      <c r="E148" s="140"/>
      <c r="F148" s="140"/>
      <c r="G148" s="140"/>
      <c r="H148" s="140"/>
      <c r="I148" s="140"/>
      <c r="J148" s="140"/>
      <c r="K148" s="140"/>
      <c r="L148" s="140"/>
      <c r="R148" s="140"/>
    </row>
    <row r="149" spans="2:18" ht="15" customHeight="1">
      <c r="B149" s="138"/>
      <c r="C149" s="138"/>
      <c r="D149" s="139"/>
      <c r="E149" s="140"/>
      <c r="F149" s="140"/>
      <c r="G149" s="140"/>
      <c r="H149" s="140"/>
      <c r="I149" s="140"/>
      <c r="J149" s="140"/>
      <c r="K149" s="140"/>
      <c r="L149" s="140"/>
      <c r="R149" s="140"/>
    </row>
    <row r="150" spans="2:18" ht="15" customHeight="1">
      <c r="B150" s="138"/>
      <c r="C150" s="138"/>
      <c r="D150" s="139"/>
      <c r="E150" s="140"/>
      <c r="F150" s="140"/>
      <c r="G150" s="140"/>
      <c r="H150" s="140"/>
      <c r="I150" s="140"/>
      <c r="J150" s="140"/>
      <c r="K150" s="140"/>
      <c r="L150" s="140"/>
      <c r="R150" s="140"/>
    </row>
    <row r="151" spans="2:18" ht="15" customHeight="1">
      <c r="B151" s="138"/>
      <c r="C151" s="138"/>
      <c r="D151" s="139"/>
      <c r="E151" s="140"/>
      <c r="F151" s="140"/>
      <c r="G151" s="140"/>
      <c r="H151" s="140"/>
      <c r="I151" s="140"/>
      <c r="J151" s="140"/>
      <c r="K151" s="140"/>
      <c r="L151" s="140"/>
      <c r="R151" s="140"/>
    </row>
    <row r="152" spans="2:18" ht="15" customHeight="1">
      <c r="B152" s="138"/>
      <c r="C152" s="138"/>
      <c r="D152" s="139"/>
      <c r="E152" s="140"/>
      <c r="F152" s="140"/>
      <c r="G152" s="140"/>
      <c r="H152" s="140"/>
      <c r="I152" s="140"/>
      <c r="J152" s="140"/>
      <c r="K152" s="140"/>
      <c r="L152" s="140"/>
      <c r="R152" s="140"/>
    </row>
    <row r="153" spans="2:18" ht="15" customHeight="1">
      <c r="B153" s="138"/>
      <c r="C153" s="138"/>
      <c r="D153" s="139"/>
      <c r="E153" s="140"/>
      <c r="F153" s="140"/>
      <c r="G153" s="140"/>
      <c r="H153" s="140"/>
      <c r="I153" s="140"/>
      <c r="J153" s="140"/>
      <c r="K153" s="140"/>
      <c r="L153" s="140"/>
      <c r="R153" s="140"/>
    </row>
    <row r="154" spans="2:18" ht="15" customHeight="1">
      <c r="B154" s="138"/>
      <c r="C154" s="138"/>
      <c r="D154" s="139"/>
      <c r="E154" s="140"/>
      <c r="F154" s="140"/>
      <c r="G154" s="140"/>
      <c r="H154" s="140"/>
      <c r="I154" s="140"/>
      <c r="J154" s="140"/>
      <c r="K154" s="140"/>
      <c r="L154" s="140"/>
      <c r="R154" s="140"/>
    </row>
    <row r="155" spans="2:18" ht="15" customHeight="1">
      <c r="B155" s="138"/>
      <c r="C155" s="138"/>
      <c r="D155" s="139"/>
      <c r="E155" s="140"/>
      <c r="F155" s="140"/>
      <c r="G155" s="140"/>
      <c r="H155" s="140"/>
      <c r="I155" s="140"/>
      <c r="J155" s="140"/>
      <c r="K155" s="140"/>
      <c r="L155" s="140"/>
      <c r="R155" s="140"/>
    </row>
    <row r="156" spans="2:18" ht="15" customHeight="1">
      <c r="B156" s="138"/>
      <c r="C156" s="138"/>
      <c r="D156" s="139"/>
      <c r="E156" s="140"/>
      <c r="F156" s="140"/>
      <c r="G156" s="140"/>
      <c r="H156" s="140"/>
      <c r="I156" s="140"/>
      <c r="J156" s="140"/>
      <c r="K156" s="140"/>
      <c r="L156" s="140"/>
      <c r="R156" s="140"/>
    </row>
    <row r="157" spans="2:18" ht="15" customHeight="1">
      <c r="B157" s="138"/>
      <c r="C157" s="138"/>
      <c r="D157" s="139"/>
      <c r="E157" s="140"/>
      <c r="F157" s="140"/>
      <c r="G157" s="140"/>
      <c r="H157" s="140"/>
      <c r="I157" s="140"/>
      <c r="J157" s="140"/>
      <c r="K157" s="140"/>
      <c r="L157" s="140"/>
      <c r="R157" s="140"/>
    </row>
    <row r="158" spans="2:18" ht="15" customHeight="1">
      <c r="B158" s="138"/>
      <c r="C158" s="138"/>
      <c r="D158" s="139"/>
      <c r="E158" s="140"/>
      <c r="F158" s="140"/>
      <c r="G158" s="140"/>
      <c r="H158" s="140"/>
      <c r="I158" s="140"/>
      <c r="J158" s="140"/>
      <c r="K158" s="140"/>
      <c r="L158" s="140"/>
      <c r="R158" s="140"/>
    </row>
    <row r="159" spans="2:18" ht="15" customHeight="1">
      <c r="B159" s="138"/>
      <c r="C159" s="138"/>
      <c r="D159" s="139"/>
      <c r="E159" s="140"/>
      <c r="F159" s="140"/>
      <c r="G159" s="140"/>
      <c r="H159" s="140"/>
      <c r="I159" s="140"/>
      <c r="J159" s="140"/>
      <c r="K159" s="140"/>
      <c r="L159" s="140"/>
      <c r="R159" s="140"/>
    </row>
    <row r="160" spans="2:18" ht="15" customHeight="1">
      <c r="B160" s="138"/>
      <c r="C160" s="138"/>
      <c r="D160" s="139"/>
      <c r="E160" s="140"/>
      <c r="F160" s="140"/>
      <c r="G160" s="140"/>
      <c r="H160" s="140"/>
      <c r="I160" s="140"/>
      <c r="J160" s="140"/>
      <c r="K160" s="140"/>
      <c r="L160" s="140"/>
      <c r="R160" s="140"/>
    </row>
    <row r="161" spans="2:18" ht="15" customHeight="1">
      <c r="B161" s="138"/>
      <c r="C161" s="138"/>
      <c r="D161" s="139"/>
      <c r="E161" s="140"/>
      <c r="F161" s="140"/>
      <c r="G161" s="140"/>
      <c r="H161" s="140"/>
      <c r="I161" s="140"/>
      <c r="J161" s="140"/>
      <c r="K161" s="140"/>
      <c r="L161" s="140"/>
      <c r="R161" s="140"/>
    </row>
    <row r="162" spans="2:18" ht="15" customHeight="1">
      <c r="B162" s="138"/>
      <c r="C162" s="138"/>
      <c r="D162" s="139"/>
      <c r="E162" s="140"/>
      <c r="F162" s="140"/>
      <c r="G162" s="140"/>
      <c r="H162" s="140"/>
      <c r="I162" s="140"/>
      <c r="J162" s="140"/>
      <c r="K162" s="140"/>
      <c r="L162" s="140"/>
      <c r="R162" s="140"/>
    </row>
    <row r="163" spans="2:18" ht="15" customHeight="1">
      <c r="B163" s="138"/>
      <c r="C163" s="138"/>
      <c r="D163" s="139"/>
      <c r="E163" s="140"/>
      <c r="F163" s="140"/>
      <c r="G163" s="140"/>
      <c r="H163" s="140"/>
      <c r="I163" s="140"/>
      <c r="J163" s="140"/>
      <c r="K163" s="140"/>
      <c r="L163" s="140"/>
      <c r="R163" s="140"/>
    </row>
    <row r="164" spans="2:18" ht="15" customHeight="1">
      <c r="B164" s="138"/>
      <c r="C164" s="138"/>
      <c r="D164" s="139"/>
      <c r="E164" s="140"/>
      <c r="F164" s="140"/>
      <c r="G164" s="140"/>
      <c r="H164" s="140"/>
      <c r="I164" s="140"/>
      <c r="J164" s="140"/>
      <c r="K164" s="140"/>
      <c r="L164" s="140"/>
      <c r="R164" s="140"/>
    </row>
    <row r="165" spans="2:18" ht="15" customHeight="1">
      <c r="B165" s="138"/>
      <c r="C165" s="138"/>
      <c r="D165" s="139"/>
      <c r="E165" s="140"/>
      <c r="F165" s="140"/>
      <c r="G165" s="140"/>
      <c r="H165" s="140"/>
      <c r="I165" s="140"/>
      <c r="J165" s="140"/>
      <c r="K165" s="140"/>
      <c r="L165" s="140"/>
      <c r="R165" s="140"/>
    </row>
    <row r="166" spans="2:18" ht="15" customHeight="1">
      <c r="B166" s="138"/>
      <c r="C166" s="138"/>
      <c r="D166" s="139"/>
      <c r="E166" s="140"/>
      <c r="F166" s="140"/>
      <c r="G166" s="140"/>
      <c r="H166" s="140"/>
      <c r="I166" s="140"/>
      <c r="J166" s="140"/>
      <c r="K166" s="140"/>
      <c r="L166" s="140"/>
      <c r="R166" s="140"/>
    </row>
    <row r="167" spans="2:18" ht="15" customHeight="1">
      <c r="B167" s="138"/>
      <c r="C167" s="138"/>
      <c r="D167" s="139"/>
      <c r="E167" s="140"/>
      <c r="F167" s="140"/>
      <c r="G167" s="140"/>
      <c r="H167" s="140"/>
      <c r="I167" s="140"/>
      <c r="J167" s="140"/>
      <c r="K167" s="140"/>
      <c r="L167" s="140"/>
      <c r="R167" s="140"/>
    </row>
    <row r="168" spans="2:18" ht="15" customHeight="1">
      <c r="B168" s="138"/>
      <c r="C168" s="138"/>
      <c r="D168" s="139"/>
      <c r="E168" s="140"/>
      <c r="F168" s="140"/>
      <c r="G168" s="140"/>
      <c r="H168" s="140"/>
      <c r="I168" s="140"/>
      <c r="J168" s="140"/>
      <c r="K168" s="140"/>
      <c r="L168" s="140"/>
      <c r="R168" s="140"/>
    </row>
    <row r="169" spans="2:18" ht="15" customHeight="1">
      <c r="B169" s="138"/>
      <c r="C169" s="138"/>
      <c r="D169" s="139"/>
      <c r="E169" s="140"/>
      <c r="F169" s="140"/>
      <c r="G169" s="140"/>
      <c r="H169" s="140"/>
      <c r="I169" s="140"/>
      <c r="J169" s="140"/>
      <c r="K169" s="140"/>
      <c r="L169" s="140"/>
      <c r="R169" s="140"/>
    </row>
    <row r="170" spans="2:18" ht="15" customHeight="1">
      <c r="B170" s="138"/>
      <c r="C170" s="138"/>
      <c r="D170" s="139"/>
      <c r="E170" s="140"/>
      <c r="F170" s="140"/>
      <c r="G170" s="140"/>
      <c r="H170" s="140"/>
      <c r="I170" s="140"/>
      <c r="J170" s="140"/>
      <c r="K170" s="140"/>
      <c r="L170" s="140"/>
      <c r="R170" s="140"/>
    </row>
    <row r="171" spans="2:18" ht="15" customHeight="1">
      <c r="B171" s="138"/>
      <c r="C171" s="138"/>
      <c r="D171" s="139"/>
      <c r="E171" s="140"/>
      <c r="F171" s="140"/>
      <c r="G171" s="140"/>
      <c r="H171" s="140"/>
      <c r="I171" s="140"/>
      <c r="J171" s="140"/>
      <c r="K171" s="140"/>
      <c r="L171" s="140"/>
      <c r="R171" s="140"/>
    </row>
    <row r="172" spans="2:18" ht="15" customHeight="1">
      <c r="B172" s="138"/>
      <c r="C172" s="138"/>
      <c r="D172" s="139"/>
      <c r="E172" s="140"/>
      <c r="F172" s="140"/>
      <c r="G172" s="140"/>
      <c r="H172" s="140"/>
      <c r="I172" s="140"/>
      <c r="J172" s="140"/>
      <c r="K172" s="140"/>
      <c r="L172" s="140"/>
      <c r="R172" s="140"/>
    </row>
    <row r="173" spans="2:18" ht="15" customHeight="1">
      <c r="B173" s="138"/>
      <c r="C173" s="138"/>
      <c r="D173" s="139"/>
      <c r="E173" s="140"/>
      <c r="F173" s="140"/>
      <c r="G173" s="140"/>
      <c r="H173" s="140"/>
      <c r="I173" s="140"/>
      <c r="J173" s="140"/>
      <c r="K173" s="140"/>
      <c r="L173" s="140"/>
      <c r="R173" s="140"/>
    </row>
  </sheetData>
  <mergeCells count="6">
    <mergeCell ref="K1:M1"/>
    <mergeCell ref="L7:M7"/>
    <mergeCell ref="E10:J10"/>
    <mergeCell ref="L10:Q10"/>
    <mergeCell ref="E11:J11"/>
    <mergeCell ref="L11:Q11"/>
  </mergeCells>
  <printOptions horizontalCentered="1"/>
  <pageMargins left="0.39370078740157483" right="0.39370078740157483" top="0.51181102362204722" bottom="0.39370078740157483" header="0.31496062992125984" footer="0.31496062992125984"/>
  <pageSetup paperSize="9" scale="75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R173"/>
  <sheetViews>
    <sheetView tabSelected="1" view="pageBreakPreview" zoomScale="95" zoomScaleNormal="84" zoomScaleSheetLayoutView="95" workbookViewId="0">
      <selection activeCell="M12" sqref="M12"/>
    </sheetView>
  </sheetViews>
  <sheetFormatPr defaultColWidth="7.140625" defaultRowHeight="13.5"/>
  <cols>
    <col min="1" max="1" width="1.7109375" style="116" customWidth="1"/>
    <col min="2" max="2" width="12.5703125" style="116" customWidth="1"/>
    <col min="3" max="3" width="7.28515625" style="116" customWidth="1"/>
    <col min="4" max="4" width="10.7109375" style="116" customWidth="1"/>
    <col min="5" max="10" width="7.5703125" style="116" customWidth="1"/>
    <col min="11" max="11" width="1.5703125" style="116" customWidth="1"/>
    <col min="12" max="16" width="7.5703125" style="116" customWidth="1"/>
    <col min="17" max="17" width="7.5703125" style="177" customWidth="1"/>
    <col min="18" max="18" width="1.7109375" style="116" customWidth="1"/>
    <col min="19" max="16384" width="7.140625" style="116"/>
  </cols>
  <sheetData>
    <row r="1" spans="1:18" s="1" customFormat="1" ht="15" customHeight="1">
      <c r="B1" s="2"/>
      <c r="C1" s="2"/>
      <c r="D1" s="3"/>
      <c r="E1" s="201"/>
      <c r="F1" s="201"/>
      <c r="G1" s="201"/>
      <c r="H1" s="201"/>
      <c r="I1" s="201"/>
      <c r="J1" s="201"/>
      <c r="K1" s="297"/>
      <c r="L1" s="297"/>
      <c r="M1" s="297"/>
    </row>
    <row r="2" spans="1:18" s="1" customFormat="1">
      <c r="B2" s="2"/>
      <c r="C2" s="2"/>
      <c r="D2" s="3"/>
      <c r="E2" s="201"/>
      <c r="F2" s="201"/>
      <c r="G2" s="201"/>
      <c r="H2" s="201"/>
      <c r="I2" s="201"/>
      <c r="J2" s="201"/>
      <c r="K2" s="201"/>
      <c r="L2" s="201"/>
      <c r="R2" s="4" t="s">
        <v>7</v>
      </c>
    </row>
    <row r="3" spans="1:18" s="1" customFormat="1">
      <c r="B3" s="2"/>
      <c r="C3" s="2"/>
      <c r="D3" s="3"/>
      <c r="E3" s="201"/>
      <c r="F3" s="201"/>
      <c r="G3" s="201"/>
      <c r="H3" s="201"/>
      <c r="I3" s="201"/>
      <c r="J3" s="201"/>
      <c r="K3" s="201"/>
      <c r="L3" s="201"/>
      <c r="R3" s="5" t="s">
        <v>55</v>
      </c>
    </row>
    <row r="4" spans="1:18" s="1" customFormat="1">
      <c r="B4" s="7"/>
      <c r="C4" s="7"/>
      <c r="D4" s="3"/>
    </row>
    <row r="5" spans="1:18" ht="15" customHeight="1">
      <c r="B5" s="8" t="s">
        <v>120</v>
      </c>
      <c r="C5" s="9" t="s">
        <v>144</v>
      </c>
      <c r="D5" s="117"/>
      <c r="E5" s="118"/>
      <c r="F5" s="118"/>
      <c r="G5" s="118"/>
      <c r="H5" s="118"/>
      <c r="I5" s="118"/>
      <c r="J5" s="118"/>
      <c r="K5" s="118"/>
      <c r="L5" s="118"/>
      <c r="R5" s="118"/>
    </row>
    <row r="6" spans="1:18" ht="15" customHeight="1">
      <c r="B6" s="12" t="s">
        <v>121</v>
      </c>
      <c r="C6" s="13" t="s">
        <v>145</v>
      </c>
      <c r="D6" s="114"/>
      <c r="E6" s="115"/>
      <c r="F6" s="115"/>
      <c r="G6" s="115"/>
      <c r="H6" s="115"/>
      <c r="I6" s="115"/>
      <c r="J6" s="115"/>
      <c r="K6" s="115"/>
      <c r="L6" s="115"/>
      <c r="R6" s="115"/>
    </row>
    <row r="7" spans="1:18" ht="8.1" customHeight="1">
      <c r="B7" s="112"/>
      <c r="C7" s="113"/>
      <c r="D7" s="114"/>
      <c r="E7" s="115"/>
      <c r="F7" s="115"/>
      <c r="G7" s="115"/>
      <c r="H7" s="115"/>
      <c r="I7" s="115"/>
      <c r="J7" s="115"/>
      <c r="K7" s="115"/>
      <c r="L7" s="298"/>
      <c r="M7" s="298"/>
      <c r="R7" s="115"/>
    </row>
    <row r="8" spans="1:18" ht="15.95" customHeight="1" thickBot="1">
      <c r="B8" s="116" t="s">
        <v>122</v>
      </c>
      <c r="D8" s="117"/>
      <c r="E8" s="118"/>
      <c r="F8" s="118"/>
      <c r="G8" s="118"/>
      <c r="H8" s="118"/>
      <c r="I8" s="118"/>
      <c r="J8" s="118"/>
      <c r="K8" s="118"/>
      <c r="L8" s="118"/>
      <c r="N8" s="118"/>
      <c r="O8" s="118"/>
      <c r="P8" s="118"/>
      <c r="Q8" s="116"/>
      <c r="R8" s="118"/>
    </row>
    <row r="9" spans="1:18" ht="8.1" customHeight="1" thickTop="1">
      <c r="A9" s="119"/>
      <c r="B9" s="120"/>
      <c r="C9" s="121"/>
      <c r="D9" s="122"/>
      <c r="E9" s="123"/>
      <c r="F9" s="123"/>
      <c r="G9" s="123"/>
      <c r="H9" s="123"/>
      <c r="I9" s="123"/>
      <c r="J9" s="123"/>
      <c r="K9" s="123"/>
      <c r="L9" s="123"/>
      <c r="M9" s="119"/>
      <c r="N9" s="123"/>
      <c r="O9" s="123"/>
      <c r="P9" s="123"/>
      <c r="Q9" s="119"/>
      <c r="R9" s="123"/>
    </row>
    <row r="10" spans="1:18" ht="15" customHeight="1">
      <c r="A10" s="124"/>
      <c r="B10" s="125" t="s">
        <v>90</v>
      </c>
      <c r="C10" s="126"/>
      <c r="D10" s="127" t="s">
        <v>91</v>
      </c>
      <c r="E10" s="290" t="s">
        <v>147</v>
      </c>
      <c r="F10" s="290"/>
      <c r="G10" s="290"/>
      <c r="H10" s="290"/>
      <c r="I10" s="290"/>
      <c r="J10" s="290"/>
      <c r="K10" s="127"/>
      <c r="L10" s="292" t="s">
        <v>126</v>
      </c>
      <c r="M10" s="292"/>
      <c r="N10" s="292"/>
      <c r="O10" s="292"/>
      <c r="P10" s="292"/>
      <c r="Q10" s="292"/>
      <c r="R10" s="127"/>
    </row>
    <row r="11" spans="1:18" ht="15" customHeight="1">
      <c r="A11" s="124"/>
      <c r="B11" s="129" t="s">
        <v>92</v>
      </c>
      <c r="C11" s="126"/>
      <c r="D11" s="130" t="s">
        <v>93</v>
      </c>
      <c r="E11" s="291"/>
      <c r="F11" s="291"/>
      <c r="G11" s="291"/>
      <c r="H11" s="291"/>
      <c r="I11" s="291"/>
      <c r="J11" s="291"/>
      <c r="K11" s="128"/>
      <c r="L11" s="293" t="s">
        <v>134</v>
      </c>
      <c r="M11" s="293"/>
      <c r="N11" s="293"/>
      <c r="O11" s="293"/>
      <c r="P11" s="293"/>
      <c r="Q11" s="293"/>
      <c r="R11" s="128"/>
    </row>
    <row r="12" spans="1:18" ht="15" customHeight="1">
      <c r="A12" s="124"/>
      <c r="B12" s="125"/>
      <c r="C12" s="126"/>
      <c r="D12" s="127"/>
      <c r="E12" s="172"/>
      <c r="F12" s="172"/>
      <c r="G12" s="192"/>
      <c r="H12" s="192"/>
      <c r="I12" s="192"/>
      <c r="J12" s="192"/>
      <c r="K12" s="192"/>
      <c r="L12" s="192"/>
      <c r="M12" s="192"/>
      <c r="N12" s="192"/>
      <c r="O12" s="192"/>
      <c r="P12" s="192"/>
      <c r="Q12" s="192"/>
      <c r="R12" s="192"/>
    </row>
    <row r="13" spans="1:18" ht="15" customHeight="1">
      <c r="A13" s="124"/>
      <c r="B13" s="125"/>
      <c r="C13" s="126"/>
      <c r="D13" s="127"/>
      <c r="E13" s="278" t="s">
        <v>112</v>
      </c>
      <c r="F13" s="278" t="s">
        <v>113</v>
      </c>
      <c r="G13" s="278" t="s">
        <v>114</v>
      </c>
      <c r="H13" s="278" t="s">
        <v>115</v>
      </c>
      <c r="I13" s="278" t="s">
        <v>116</v>
      </c>
      <c r="J13" s="278" t="s">
        <v>132</v>
      </c>
      <c r="K13" s="278"/>
      <c r="L13" s="278" t="s">
        <v>112</v>
      </c>
      <c r="M13" s="278" t="s">
        <v>113</v>
      </c>
      <c r="N13" s="278" t="s">
        <v>114</v>
      </c>
      <c r="O13" s="278" t="s">
        <v>115</v>
      </c>
      <c r="P13" s="278" t="s">
        <v>116</v>
      </c>
      <c r="Q13" s="278" t="s">
        <v>132</v>
      </c>
      <c r="R13" s="230"/>
    </row>
    <row r="14" spans="1:18" ht="8.1" customHeight="1">
      <c r="A14" s="135"/>
      <c r="B14" s="136"/>
      <c r="C14" s="135"/>
      <c r="D14" s="135"/>
      <c r="E14" s="137"/>
      <c r="F14" s="137"/>
      <c r="G14" s="137"/>
      <c r="H14" s="137"/>
      <c r="I14" s="137"/>
      <c r="J14" s="137"/>
      <c r="K14" s="137"/>
      <c r="L14" s="137"/>
      <c r="M14" s="135"/>
      <c r="N14" s="135"/>
      <c r="O14" s="224"/>
      <c r="P14" s="224"/>
      <c r="Q14" s="224"/>
      <c r="R14" s="137"/>
    </row>
    <row r="15" spans="1:18" ht="8.1" customHeight="1">
      <c r="A15" s="138"/>
      <c r="B15" s="138"/>
      <c r="C15" s="138"/>
      <c r="D15" s="146"/>
      <c r="E15" s="140"/>
      <c r="F15" s="140"/>
      <c r="G15" s="140"/>
      <c r="H15" s="141"/>
      <c r="I15" s="142"/>
      <c r="J15" s="142"/>
      <c r="K15" s="142"/>
      <c r="L15" s="143"/>
      <c r="M15" s="142"/>
      <c r="N15" s="142"/>
      <c r="R15" s="142"/>
    </row>
    <row r="16" spans="1:18" ht="15" customHeight="1">
      <c r="B16" s="144" t="s">
        <v>107</v>
      </c>
      <c r="C16" s="145"/>
      <c r="D16" s="147">
        <v>2021</v>
      </c>
      <c r="E16" s="211">
        <f>SUM(E20,E24,E28,E32,E36,E40,E44,E48,E52,E56,E60,E64,E68,E72)</f>
        <v>50</v>
      </c>
      <c r="F16" s="211">
        <f t="shared" ref="F16:Q18" si="0">SUM(F20,F24,F28,F32,F36,F40,F44,F48,F52,F56,F60,F64,F68,F72)</f>
        <v>295</v>
      </c>
      <c r="G16" s="211">
        <f t="shared" si="0"/>
        <v>335</v>
      </c>
      <c r="H16" s="211">
        <f t="shared" si="0"/>
        <v>265</v>
      </c>
      <c r="I16" s="211">
        <f t="shared" si="0"/>
        <v>163</v>
      </c>
      <c r="J16" s="211">
        <f t="shared" si="0"/>
        <v>91</v>
      </c>
      <c r="K16" s="211"/>
      <c r="L16" s="211">
        <f t="shared" si="0"/>
        <v>605</v>
      </c>
      <c r="M16" s="211">
        <f t="shared" si="0"/>
        <v>1958</v>
      </c>
      <c r="N16" s="211">
        <f t="shared" si="0"/>
        <v>1146</v>
      </c>
      <c r="O16" s="211">
        <f t="shared" si="0"/>
        <v>597</v>
      </c>
      <c r="P16" s="211">
        <f t="shared" si="0"/>
        <v>160</v>
      </c>
      <c r="Q16" s="211">
        <f t="shared" si="0"/>
        <v>37</v>
      </c>
      <c r="R16" s="211"/>
    </row>
    <row r="17" spans="2:18" ht="15" customHeight="1">
      <c r="B17" s="145"/>
      <c r="C17" s="145"/>
      <c r="D17" s="146">
        <v>2022</v>
      </c>
      <c r="E17" s="211">
        <f t="shared" ref="E17:E18" si="1">SUM(E21,E25,E29,E33,E37,E41,E45,E49,E53,E57,E61,E65,E69,E73)</f>
        <v>19</v>
      </c>
      <c r="F17" s="211">
        <f t="shared" si="0"/>
        <v>180</v>
      </c>
      <c r="G17" s="211">
        <f t="shared" si="0"/>
        <v>125</v>
      </c>
      <c r="H17" s="211">
        <f t="shared" si="0"/>
        <v>151</v>
      </c>
      <c r="I17" s="211">
        <f t="shared" si="0"/>
        <v>97</v>
      </c>
      <c r="J17" s="211">
        <f t="shared" si="0"/>
        <v>62</v>
      </c>
      <c r="K17" s="211"/>
      <c r="L17" s="211">
        <f t="shared" si="0"/>
        <v>544</v>
      </c>
      <c r="M17" s="211">
        <f t="shared" si="0"/>
        <v>2209</v>
      </c>
      <c r="N17" s="211">
        <f t="shared" si="0"/>
        <v>1484</v>
      </c>
      <c r="O17" s="211">
        <f t="shared" si="0"/>
        <v>753</v>
      </c>
      <c r="P17" s="211">
        <f t="shared" si="0"/>
        <v>270</v>
      </c>
      <c r="Q17" s="211">
        <f t="shared" si="0"/>
        <v>54</v>
      </c>
      <c r="R17" s="211"/>
    </row>
    <row r="18" spans="2:18" ht="15" customHeight="1">
      <c r="B18" s="145"/>
      <c r="C18" s="145"/>
      <c r="D18" s="146">
        <v>2023</v>
      </c>
      <c r="E18" s="211">
        <f t="shared" si="1"/>
        <v>25</v>
      </c>
      <c r="F18" s="211">
        <f t="shared" si="0"/>
        <v>144</v>
      </c>
      <c r="G18" s="211">
        <f t="shared" si="0"/>
        <v>171</v>
      </c>
      <c r="H18" s="211">
        <f t="shared" si="0"/>
        <v>185</v>
      </c>
      <c r="I18" s="211">
        <f t="shared" si="0"/>
        <v>108</v>
      </c>
      <c r="J18" s="211">
        <f t="shared" si="0"/>
        <v>98</v>
      </c>
      <c r="K18" s="211"/>
      <c r="L18" s="211">
        <f t="shared" si="0"/>
        <v>493</v>
      </c>
      <c r="M18" s="211">
        <f t="shared" si="0"/>
        <v>2204</v>
      </c>
      <c r="N18" s="211">
        <f t="shared" si="0"/>
        <v>1658</v>
      </c>
      <c r="O18" s="211">
        <f t="shared" si="0"/>
        <v>945</v>
      </c>
      <c r="P18" s="211">
        <f t="shared" si="0"/>
        <v>374</v>
      </c>
      <c r="Q18" s="211">
        <f t="shared" si="0"/>
        <v>98</v>
      </c>
      <c r="R18" s="211"/>
    </row>
    <row r="19" spans="2:18" ht="8.1" customHeight="1">
      <c r="B19" s="145"/>
      <c r="C19" s="148"/>
      <c r="D19" s="149"/>
      <c r="E19" s="179"/>
      <c r="F19" s="184"/>
      <c r="G19" s="184"/>
      <c r="H19" s="184"/>
      <c r="I19" s="184"/>
      <c r="J19" s="184"/>
      <c r="K19" s="184"/>
      <c r="L19" s="184"/>
      <c r="M19" s="185"/>
      <c r="N19" s="185"/>
      <c r="O19" s="186"/>
      <c r="P19" s="186"/>
      <c r="Q19" s="186"/>
      <c r="R19" s="184"/>
    </row>
    <row r="20" spans="2:18" ht="15" customHeight="1">
      <c r="B20" s="151" t="s">
        <v>94</v>
      </c>
      <c r="C20" s="152"/>
      <c r="D20" s="149">
        <v>2021</v>
      </c>
      <c r="E20" s="231">
        <v>4</v>
      </c>
      <c r="F20" s="223">
        <v>20</v>
      </c>
      <c r="G20" s="223">
        <v>31</v>
      </c>
      <c r="H20" s="223">
        <v>20</v>
      </c>
      <c r="I20" s="223">
        <v>17</v>
      </c>
      <c r="J20" s="223">
        <v>9</v>
      </c>
      <c r="K20" s="223"/>
      <c r="L20" s="223">
        <v>60</v>
      </c>
      <c r="M20" s="223">
        <v>165</v>
      </c>
      <c r="N20" s="223">
        <v>112</v>
      </c>
      <c r="O20" s="223">
        <v>58</v>
      </c>
      <c r="P20" s="223">
        <v>12</v>
      </c>
      <c r="Q20" s="223">
        <v>8</v>
      </c>
      <c r="R20" s="222"/>
    </row>
    <row r="21" spans="2:18" ht="15" customHeight="1">
      <c r="B21" s="153"/>
      <c r="C21" s="152"/>
      <c r="D21" s="149">
        <v>2022</v>
      </c>
      <c r="E21" s="231">
        <v>3</v>
      </c>
      <c r="F21" s="223">
        <v>17</v>
      </c>
      <c r="G21" s="223">
        <v>8</v>
      </c>
      <c r="H21" s="223">
        <v>16</v>
      </c>
      <c r="I21" s="223">
        <v>12</v>
      </c>
      <c r="J21" s="223">
        <v>7</v>
      </c>
      <c r="K21" s="223"/>
      <c r="L21" s="223">
        <v>57</v>
      </c>
      <c r="M21" s="223">
        <v>192</v>
      </c>
      <c r="N21" s="223">
        <v>142</v>
      </c>
      <c r="O21" s="223">
        <v>78</v>
      </c>
      <c r="P21" s="223">
        <v>30</v>
      </c>
      <c r="Q21" s="223">
        <v>6</v>
      </c>
      <c r="R21" s="222"/>
    </row>
    <row r="22" spans="2:18" ht="15" customHeight="1">
      <c r="B22" s="153"/>
      <c r="C22" s="152"/>
      <c r="D22" s="149">
        <v>2023</v>
      </c>
      <c r="E22" s="231">
        <v>1</v>
      </c>
      <c r="F22" s="223">
        <v>12</v>
      </c>
      <c r="G22" s="223">
        <v>10</v>
      </c>
      <c r="H22" s="223">
        <v>25</v>
      </c>
      <c r="I22" s="223">
        <v>15</v>
      </c>
      <c r="J22" s="223">
        <v>7</v>
      </c>
      <c r="K22" s="223"/>
      <c r="L22" s="274">
        <v>53</v>
      </c>
      <c r="M22" s="274">
        <v>229</v>
      </c>
      <c r="N22" s="274">
        <v>150</v>
      </c>
      <c r="O22" s="274">
        <v>94</v>
      </c>
      <c r="P22" s="274">
        <v>39</v>
      </c>
      <c r="Q22" s="274">
        <v>5</v>
      </c>
      <c r="R22" s="222"/>
    </row>
    <row r="23" spans="2:18" ht="8.1" customHeight="1">
      <c r="B23" s="153"/>
      <c r="C23" s="154"/>
      <c r="D23" s="149"/>
      <c r="E23" s="150"/>
      <c r="F23" s="203"/>
      <c r="G23" s="203"/>
      <c r="H23" s="203"/>
      <c r="I23" s="203"/>
      <c r="J23" s="203"/>
      <c r="K23" s="203"/>
      <c r="L23" s="203"/>
      <c r="M23" s="204"/>
      <c r="N23" s="204"/>
      <c r="O23" s="204"/>
      <c r="P23" s="204"/>
      <c r="Q23" s="204"/>
      <c r="R23" s="203"/>
    </row>
    <row r="24" spans="2:18" ht="15" customHeight="1">
      <c r="B24" s="151" t="s">
        <v>95</v>
      </c>
      <c r="C24" s="152"/>
      <c r="D24" s="149">
        <v>2021</v>
      </c>
      <c r="E24" s="231">
        <v>3</v>
      </c>
      <c r="F24" s="223">
        <v>18</v>
      </c>
      <c r="G24" s="223">
        <v>22</v>
      </c>
      <c r="H24" s="223">
        <v>15</v>
      </c>
      <c r="I24" s="223">
        <v>12</v>
      </c>
      <c r="J24" s="223">
        <v>9</v>
      </c>
      <c r="K24" s="223"/>
      <c r="L24" s="223">
        <v>39</v>
      </c>
      <c r="M24" s="223">
        <v>128</v>
      </c>
      <c r="N24" s="223">
        <v>64</v>
      </c>
      <c r="O24" s="223">
        <v>39</v>
      </c>
      <c r="P24" s="223">
        <v>10</v>
      </c>
      <c r="Q24" s="223">
        <v>1</v>
      </c>
      <c r="R24" s="222"/>
    </row>
    <row r="25" spans="2:18" ht="15" customHeight="1">
      <c r="B25" s="151"/>
      <c r="C25" s="152"/>
      <c r="D25" s="149">
        <v>2022</v>
      </c>
      <c r="E25" s="231" t="s">
        <v>22</v>
      </c>
      <c r="F25" s="223">
        <v>17</v>
      </c>
      <c r="G25" s="223">
        <v>5</v>
      </c>
      <c r="H25" s="223">
        <v>7</v>
      </c>
      <c r="I25" s="223">
        <v>10</v>
      </c>
      <c r="J25" s="223">
        <v>4</v>
      </c>
      <c r="K25" s="223"/>
      <c r="L25" s="223">
        <v>41</v>
      </c>
      <c r="M25" s="223">
        <v>143</v>
      </c>
      <c r="N25" s="223">
        <v>82</v>
      </c>
      <c r="O25" s="223">
        <v>33</v>
      </c>
      <c r="P25" s="223">
        <v>9</v>
      </c>
      <c r="Q25" s="223">
        <v>2</v>
      </c>
      <c r="R25" s="273"/>
    </row>
    <row r="26" spans="2:18" ht="15" customHeight="1">
      <c r="B26" s="151"/>
      <c r="C26" s="152"/>
      <c r="D26" s="149">
        <v>2023</v>
      </c>
      <c r="E26" s="231">
        <v>4</v>
      </c>
      <c r="F26" s="231">
        <v>10</v>
      </c>
      <c r="G26" s="231">
        <v>20</v>
      </c>
      <c r="H26" s="231">
        <v>19</v>
      </c>
      <c r="I26" s="231">
        <v>10</v>
      </c>
      <c r="J26" s="223">
        <v>4</v>
      </c>
      <c r="K26" s="223"/>
      <c r="L26" s="274">
        <v>20</v>
      </c>
      <c r="M26" s="274">
        <v>115</v>
      </c>
      <c r="N26" s="274">
        <v>94</v>
      </c>
      <c r="O26" s="274">
        <v>39</v>
      </c>
      <c r="P26" s="274">
        <v>9</v>
      </c>
      <c r="Q26" s="274">
        <v>5</v>
      </c>
      <c r="R26" s="273"/>
    </row>
    <row r="27" spans="2:18" ht="8.1" customHeight="1">
      <c r="B27" s="151"/>
      <c r="C27" s="154"/>
      <c r="D27" s="149"/>
      <c r="E27" s="150"/>
      <c r="F27" s="203"/>
      <c r="G27" s="203"/>
      <c r="H27" s="203"/>
      <c r="I27" s="203"/>
      <c r="J27" s="203"/>
      <c r="K27" s="203"/>
      <c r="L27" s="203"/>
      <c r="M27" s="204"/>
      <c r="N27" s="204"/>
      <c r="O27" s="204"/>
      <c r="P27" s="204"/>
      <c r="Q27" s="204"/>
      <c r="R27" s="184"/>
    </row>
    <row r="28" spans="2:18" ht="15" customHeight="1">
      <c r="B28" s="151" t="s">
        <v>96</v>
      </c>
      <c r="C28" s="152"/>
      <c r="D28" s="149">
        <v>2021</v>
      </c>
      <c r="E28" s="223">
        <v>3</v>
      </c>
      <c r="F28" s="223">
        <v>15</v>
      </c>
      <c r="G28" s="223">
        <v>10</v>
      </c>
      <c r="H28" s="223">
        <v>5</v>
      </c>
      <c r="I28" s="223">
        <v>7</v>
      </c>
      <c r="J28" s="231">
        <v>2</v>
      </c>
      <c r="K28" s="223"/>
      <c r="L28" s="223">
        <v>36</v>
      </c>
      <c r="M28" s="223">
        <v>77</v>
      </c>
      <c r="N28" s="223">
        <v>46</v>
      </c>
      <c r="O28" s="223">
        <v>16</v>
      </c>
      <c r="P28" s="223">
        <v>4</v>
      </c>
      <c r="Q28" s="231" t="s">
        <v>22</v>
      </c>
      <c r="R28" s="273"/>
    </row>
    <row r="29" spans="2:18" ht="15" customHeight="1">
      <c r="B29" s="153"/>
      <c r="C29" s="152"/>
      <c r="D29" s="149">
        <v>2022</v>
      </c>
      <c r="E29" s="231" t="s">
        <v>22</v>
      </c>
      <c r="F29" s="231">
        <v>6</v>
      </c>
      <c r="G29" s="223">
        <v>6</v>
      </c>
      <c r="H29" s="223">
        <v>4</v>
      </c>
      <c r="I29" s="223">
        <v>5</v>
      </c>
      <c r="J29" s="231">
        <v>2</v>
      </c>
      <c r="K29" s="223"/>
      <c r="L29" s="223">
        <v>31</v>
      </c>
      <c r="M29" s="223">
        <v>77</v>
      </c>
      <c r="N29" s="223">
        <v>43</v>
      </c>
      <c r="O29" s="223">
        <v>24</v>
      </c>
      <c r="P29" s="223">
        <v>7</v>
      </c>
      <c r="Q29" s="223">
        <v>2</v>
      </c>
      <c r="R29" s="273"/>
    </row>
    <row r="30" spans="2:18" ht="15" customHeight="1">
      <c r="B30" s="153"/>
      <c r="C30" s="152"/>
      <c r="D30" s="149">
        <v>2023</v>
      </c>
      <c r="E30" s="231">
        <v>2</v>
      </c>
      <c r="F30" s="231">
        <v>4</v>
      </c>
      <c r="G30" s="231">
        <v>6</v>
      </c>
      <c r="H30" s="223">
        <v>5</v>
      </c>
      <c r="I30" s="223">
        <v>3</v>
      </c>
      <c r="J30" s="231">
        <v>4</v>
      </c>
      <c r="K30" s="223"/>
      <c r="L30" s="274">
        <v>8</v>
      </c>
      <c r="M30" s="274">
        <v>70</v>
      </c>
      <c r="N30" s="274">
        <v>46</v>
      </c>
      <c r="O30" s="274">
        <v>19</v>
      </c>
      <c r="P30" s="274">
        <v>8</v>
      </c>
      <c r="Q30" s="274">
        <v>1</v>
      </c>
      <c r="R30" s="222"/>
    </row>
    <row r="31" spans="2:18" ht="8.1" customHeight="1">
      <c r="B31" s="153"/>
      <c r="C31" s="148"/>
      <c r="D31" s="149"/>
      <c r="E31" s="150"/>
      <c r="F31" s="203"/>
      <c r="G31" s="203"/>
      <c r="H31" s="203"/>
      <c r="I31" s="203"/>
      <c r="J31" s="203"/>
      <c r="K31" s="203"/>
      <c r="L31" s="203"/>
      <c r="M31" s="204"/>
      <c r="N31" s="204"/>
      <c r="O31" s="205"/>
      <c r="P31" s="206"/>
      <c r="Q31" s="206"/>
      <c r="R31" s="203"/>
    </row>
    <row r="32" spans="2:18" ht="15" customHeight="1">
      <c r="B32" s="151" t="s">
        <v>97</v>
      </c>
      <c r="C32" s="152"/>
      <c r="D32" s="149">
        <v>2021</v>
      </c>
      <c r="E32" s="231">
        <v>1</v>
      </c>
      <c r="F32" s="223">
        <v>12</v>
      </c>
      <c r="G32" s="223">
        <v>13</v>
      </c>
      <c r="H32" s="223">
        <v>21</v>
      </c>
      <c r="I32" s="223">
        <v>8</v>
      </c>
      <c r="J32" s="223">
        <v>7</v>
      </c>
      <c r="K32" s="223"/>
      <c r="L32" s="223">
        <v>29</v>
      </c>
      <c r="M32" s="223">
        <v>74</v>
      </c>
      <c r="N32" s="223">
        <v>46</v>
      </c>
      <c r="O32" s="223">
        <v>17</v>
      </c>
      <c r="P32" s="223">
        <v>6</v>
      </c>
      <c r="Q32" s="231" t="s">
        <v>22</v>
      </c>
      <c r="R32" s="222"/>
    </row>
    <row r="33" spans="2:18" ht="15" customHeight="1">
      <c r="B33" s="153"/>
      <c r="C33" s="152"/>
      <c r="D33" s="149">
        <v>2022</v>
      </c>
      <c r="E33" s="231" t="s">
        <v>22</v>
      </c>
      <c r="F33" s="223">
        <v>16</v>
      </c>
      <c r="G33" s="223">
        <v>9</v>
      </c>
      <c r="H33" s="223">
        <v>12</v>
      </c>
      <c r="I33" s="223">
        <v>6</v>
      </c>
      <c r="J33" s="223">
        <v>2</v>
      </c>
      <c r="K33" s="223"/>
      <c r="L33" s="223">
        <v>26</v>
      </c>
      <c r="M33" s="223">
        <v>122</v>
      </c>
      <c r="N33" s="223">
        <v>67</v>
      </c>
      <c r="O33" s="223">
        <v>36</v>
      </c>
      <c r="P33" s="223">
        <v>10</v>
      </c>
      <c r="Q33" s="223">
        <v>1</v>
      </c>
      <c r="R33" s="222"/>
    </row>
    <row r="34" spans="2:18" ht="15" customHeight="1">
      <c r="B34" s="153"/>
      <c r="C34" s="152"/>
      <c r="D34" s="149">
        <v>2023</v>
      </c>
      <c r="E34" s="231">
        <v>3</v>
      </c>
      <c r="F34" s="223">
        <v>7</v>
      </c>
      <c r="G34" s="231">
        <v>10</v>
      </c>
      <c r="H34" s="223">
        <v>5</v>
      </c>
      <c r="I34" s="223">
        <v>5</v>
      </c>
      <c r="J34" s="223">
        <v>6</v>
      </c>
      <c r="K34" s="223"/>
      <c r="L34" s="274">
        <v>17</v>
      </c>
      <c r="M34" s="274">
        <v>94</v>
      </c>
      <c r="N34" s="274">
        <v>66</v>
      </c>
      <c r="O34" s="274">
        <v>43</v>
      </c>
      <c r="P34" s="274">
        <v>19</v>
      </c>
      <c r="Q34" s="274">
        <v>2</v>
      </c>
      <c r="R34" s="222"/>
    </row>
    <row r="35" spans="2:18" ht="8.1" customHeight="1">
      <c r="B35" s="153"/>
      <c r="C35" s="154"/>
      <c r="D35" s="149"/>
      <c r="E35" s="150"/>
      <c r="F35" s="203"/>
      <c r="G35" s="203"/>
      <c r="H35" s="203"/>
      <c r="I35" s="203"/>
      <c r="J35" s="203"/>
      <c r="K35" s="203"/>
      <c r="L35" s="203"/>
      <c r="M35" s="204"/>
      <c r="N35" s="204"/>
      <c r="O35" s="205"/>
      <c r="P35" s="206"/>
      <c r="Q35" s="206"/>
      <c r="R35" s="203"/>
    </row>
    <row r="36" spans="2:18" ht="15" customHeight="1">
      <c r="B36" s="151" t="s">
        <v>98</v>
      </c>
      <c r="C36" s="152"/>
      <c r="D36" s="149">
        <v>2021</v>
      </c>
      <c r="E36" s="223">
        <v>3</v>
      </c>
      <c r="F36" s="223">
        <v>27</v>
      </c>
      <c r="G36" s="231">
        <v>34</v>
      </c>
      <c r="H36" s="223">
        <v>12</v>
      </c>
      <c r="I36" s="223">
        <v>12</v>
      </c>
      <c r="J36" s="223">
        <v>6</v>
      </c>
      <c r="K36" s="223"/>
      <c r="L36" s="223">
        <v>68</v>
      </c>
      <c r="M36" s="223">
        <v>194</v>
      </c>
      <c r="N36" s="223">
        <v>131</v>
      </c>
      <c r="O36" s="223">
        <v>71</v>
      </c>
      <c r="P36" s="223">
        <v>16</v>
      </c>
      <c r="Q36" s="223">
        <v>4</v>
      </c>
      <c r="R36" s="222"/>
    </row>
    <row r="37" spans="2:18" ht="15" customHeight="1">
      <c r="B37" s="153"/>
      <c r="C37" s="152"/>
      <c r="D37" s="149">
        <v>2022</v>
      </c>
      <c r="E37" s="231">
        <v>4</v>
      </c>
      <c r="F37" s="223">
        <v>14</v>
      </c>
      <c r="G37" s="223">
        <v>16</v>
      </c>
      <c r="H37" s="223">
        <v>14</v>
      </c>
      <c r="I37" s="223">
        <v>6</v>
      </c>
      <c r="J37" s="223">
        <v>5</v>
      </c>
      <c r="K37" s="223"/>
      <c r="L37" s="223">
        <v>48</v>
      </c>
      <c r="M37" s="223">
        <v>141</v>
      </c>
      <c r="N37" s="223">
        <v>116</v>
      </c>
      <c r="O37" s="223">
        <v>80</v>
      </c>
      <c r="P37" s="223">
        <v>26</v>
      </c>
      <c r="Q37" s="223">
        <v>6</v>
      </c>
      <c r="R37" s="222"/>
    </row>
    <row r="38" spans="2:18" ht="15" customHeight="1">
      <c r="B38" s="153"/>
      <c r="C38" s="152"/>
      <c r="D38" s="149">
        <v>2023</v>
      </c>
      <c r="E38" s="223">
        <v>3</v>
      </c>
      <c r="F38" s="223">
        <v>10</v>
      </c>
      <c r="G38" s="223">
        <v>11</v>
      </c>
      <c r="H38" s="223">
        <v>18</v>
      </c>
      <c r="I38" s="223">
        <v>12</v>
      </c>
      <c r="J38" s="223">
        <v>11</v>
      </c>
      <c r="K38" s="223"/>
      <c r="L38" s="274">
        <v>50</v>
      </c>
      <c r="M38" s="274">
        <v>173</v>
      </c>
      <c r="N38" s="274">
        <v>141</v>
      </c>
      <c r="O38" s="274">
        <v>78</v>
      </c>
      <c r="P38" s="274">
        <v>37</v>
      </c>
      <c r="Q38" s="274">
        <v>6</v>
      </c>
      <c r="R38" s="222"/>
    </row>
    <row r="39" spans="2:18" ht="8.1" customHeight="1">
      <c r="B39" s="153"/>
      <c r="C39" s="154"/>
      <c r="D39" s="149"/>
      <c r="E39" s="150"/>
      <c r="F39" s="203"/>
      <c r="G39" s="203"/>
      <c r="H39" s="203"/>
      <c r="I39" s="203"/>
      <c r="J39" s="203"/>
      <c r="K39" s="203"/>
      <c r="L39" s="203"/>
      <c r="M39" s="204"/>
      <c r="N39" s="204"/>
      <c r="O39" s="205"/>
      <c r="P39" s="206"/>
      <c r="Q39" s="206"/>
      <c r="R39" s="203"/>
    </row>
    <row r="40" spans="2:18" ht="15" customHeight="1">
      <c r="B40" s="151" t="s">
        <v>99</v>
      </c>
      <c r="C40" s="152"/>
      <c r="D40" s="149">
        <v>2021</v>
      </c>
      <c r="E40" s="231">
        <v>12</v>
      </c>
      <c r="F40" s="223">
        <v>13</v>
      </c>
      <c r="G40" s="223">
        <v>18</v>
      </c>
      <c r="H40" s="223">
        <v>19</v>
      </c>
      <c r="I40" s="223">
        <v>10</v>
      </c>
      <c r="J40" s="223">
        <v>1</v>
      </c>
      <c r="K40" s="223"/>
      <c r="L40" s="223">
        <v>47</v>
      </c>
      <c r="M40" s="223">
        <v>139</v>
      </c>
      <c r="N40" s="223">
        <v>71</v>
      </c>
      <c r="O40" s="223">
        <v>30</v>
      </c>
      <c r="P40" s="223">
        <v>11</v>
      </c>
      <c r="Q40" s="223">
        <v>2</v>
      </c>
      <c r="R40" s="222"/>
    </row>
    <row r="41" spans="2:18" ht="15" customHeight="1">
      <c r="B41" s="153"/>
      <c r="C41" s="152"/>
      <c r="D41" s="149">
        <v>2022</v>
      </c>
      <c r="E41" s="231">
        <v>2</v>
      </c>
      <c r="F41" s="223">
        <v>20</v>
      </c>
      <c r="G41" s="223">
        <v>12</v>
      </c>
      <c r="H41" s="223">
        <v>12</v>
      </c>
      <c r="I41" s="223">
        <v>4</v>
      </c>
      <c r="J41" s="223">
        <v>5</v>
      </c>
      <c r="K41" s="223"/>
      <c r="L41" s="223">
        <v>42</v>
      </c>
      <c r="M41" s="223">
        <v>175</v>
      </c>
      <c r="N41" s="223">
        <v>107</v>
      </c>
      <c r="O41" s="223">
        <v>48</v>
      </c>
      <c r="P41" s="223">
        <v>15</v>
      </c>
      <c r="Q41" s="223">
        <v>4</v>
      </c>
      <c r="R41" s="222"/>
    </row>
    <row r="42" spans="2:18" ht="15" customHeight="1">
      <c r="B42" s="153"/>
      <c r="C42" s="152"/>
      <c r="D42" s="149">
        <v>2023</v>
      </c>
      <c r="E42" s="223">
        <v>3</v>
      </c>
      <c r="F42" s="223">
        <v>13</v>
      </c>
      <c r="G42" s="223">
        <v>13</v>
      </c>
      <c r="H42" s="223">
        <v>13</v>
      </c>
      <c r="I42" s="223">
        <v>2</v>
      </c>
      <c r="J42" s="223">
        <v>9</v>
      </c>
      <c r="K42" s="223"/>
      <c r="L42" s="274">
        <v>39</v>
      </c>
      <c r="M42" s="274">
        <v>134</v>
      </c>
      <c r="N42" s="274">
        <v>120</v>
      </c>
      <c r="O42" s="274">
        <v>49</v>
      </c>
      <c r="P42" s="274">
        <v>19</v>
      </c>
      <c r="Q42" s="274">
        <v>3</v>
      </c>
      <c r="R42" s="222"/>
    </row>
    <row r="43" spans="2:18" ht="8.1" customHeight="1">
      <c r="B43" s="153"/>
      <c r="C43" s="148"/>
      <c r="D43" s="149"/>
      <c r="E43" s="150"/>
      <c r="F43" s="203"/>
      <c r="G43" s="203"/>
      <c r="H43" s="203"/>
      <c r="I43" s="203"/>
      <c r="J43" s="203"/>
      <c r="K43" s="203"/>
      <c r="L43" s="203"/>
      <c r="M43" s="204"/>
      <c r="N43" s="204"/>
      <c r="O43" s="204"/>
      <c r="P43" s="204"/>
      <c r="Q43" s="204"/>
      <c r="R43" s="203"/>
    </row>
    <row r="44" spans="2:18" ht="15" customHeight="1">
      <c r="B44" s="151" t="s">
        <v>100</v>
      </c>
      <c r="C44" s="152"/>
      <c r="D44" s="149">
        <v>2021</v>
      </c>
      <c r="E44" s="223">
        <v>5</v>
      </c>
      <c r="F44" s="223">
        <v>30</v>
      </c>
      <c r="G44" s="223">
        <v>20</v>
      </c>
      <c r="H44" s="223">
        <v>20</v>
      </c>
      <c r="I44" s="223">
        <v>19</v>
      </c>
      <c r="J44" s="223">
        <v>10</v>
      </c>
      <c r="K44" s="223"/>
      <c r="L44" s="223">
        <v>57</v>
      </c>
      <c r="M44" s="223">
        <v>221</v>
      </c>
      <c r="N44" s="223">
        <v>104</v>
      </c>
      <c r="O44" s="223">
        <v>55</v>
      </c>
      <c r="P44" s="223">
        <v>15</v>
      </c>
      <c r="Q44" s="223">
        <v>5</v>
      </c>
      <c r="R44" s="222"/>
    </row>
    <row r="45" spans="2:18" ht="15" customHeight="1">
      <c r="B45" s="151"/>
      <c r="C45" s="152"/>
      <c r="D45" s="149">
        <v>2022</v>
      </c>
      <c r="E45" s="223">
        <v>1</v>
      </c>
      <c r="F45" s="223">
        <v>5</v>
      </c>
      <c r="G45" s="223">
        <v>7</v>
      </c>
      <c r="H45" s="223">
        <v>11</v>
      </c>
      <c r="I45" s="223">
        <v>9</v>
      </c>
      <c r="J45" s="223">
        <v>8</v>
      </c>
      <c r="K45" s="223"/>
      <c r="L45" s="223">
        <v>44</v>
      </c>
      <c r="M45" s="223">
        <v>234</v>
      </c>
      <c r="N45" s="223">
        <v>113</v>
      </c>
      <c r="O45" s="223">
        <v>77</v>
      </c>
      <c r="P45" s="223">
        <v>17</v>
      </c>
      <c r="Q45" s="223">
        <v>5</v>
      </c>
      <c r="R45" s="222"/>
    </row>
    <row r="46" spans="2:18" ht="15" customHeight="1">
      <c r="B46" s="151"/>
      <c r="C46" s="152"/>
      <c r="D46" s="149">
        <v>2023</v>
      </c>
      <c r="E46" s="223">
        <v>1</v>
      </c>
      <c r="F46" s="223">
        <v>18</v>
      </c>
      <c r="G46" s="223">
        <v>10</v>
      </c>
      <c r="H46" s="223">
        <v>13</v>
      </c>
      <c r="I46" s="223">
        <v>8</v>
      </c>
      <c r="J46" s="223">
        <v>9</v>
      </c>
      <c r="K46" s="223"/>
      <c r="L46" s="274">
        <v>40</v>
      </c>
      <c r="M46" s="274">
        <v>225</v>
      </c>
      <c r="N46" s="274">
        <v>139</v>
      </c>
      <c r="O46" s="274">
        <v>76</v>
      </c>
      <c r="P46" s="274">
        <v>33</v>
      </c>
      <c r="Q46" s="274">
        <v>8</v>
      </c>
      <c r="R46" s="222"/>
    </row>
    <row r="47" spans="2:18" ht="8.1" customHeight="1">
      <c r="B47" s="151"/>
      <c r="C47" s="154"/>
      <c r="D47" s="149"/>
      <c r="E47" s="150"/>
      <c r="F47" s="203"/>
      <c r="G47" s="203"/>
      <c r="H47" s="203"/>
      <c r="I47" s="203"/>
      <c r="J47" s="203"/>
      <c r="K47" s="203"/>
      <c r="L47" s="203"/>
      <c r="M47" s="204"/>
      <c r="N47" s="204"/>
      <c r="O47" s="204"/>
      <c r="P47" s="204"/>
      <c r="Q47" s="204"/>
      <c r="R47" s="203"/>
    </row>
    <row r="48" spans="2:18" ht="15" customHeight="1">
      <c r="B48" s="151" t="s">
        <v>101</v>
      </c>
      <c r="C48" s="152"/>
      <c r="D48" s="149">
        <v>2021</v>
      </c>
      <c r="E48" s="223">
        <v>5</v>
      </c>
      <c r="F48" s="223">
        <v>17</v>
      </c>
      <c r="G48" s="223">
        <v>16</v>
      </c>
      <c r="H48" s="223">
        <v>21</v>
      </c>
      <c r="I48" s="223">
        <v>6</v>
      </c>
      <c r="J48" s="223">
        <v>10</v>
      </c>
      <c r="K48" s="223"/>
      <c r="L48" s="223">
        <v>53</v>
      </c>
      <c r="M48" s="223">
        <v>121</v>
      </c>
      <c r="N48" s="223">
        <v>70</v>
      </c>
      <c r="O48" s="223">
        <v>42</v>
      </c>
      <c r="P48" s="223">
        <v>6</v>
      </c>
      <c r="Q48" s="223">
        <v>3</v>
      </c>
      <c r="R48" s="222"/>
    </row>
    <row r="49" spans="2:18" ht="15" customHeight="1">
      <c r="B49" s="153"/>
      <c r="C49" s="152"/>
      <c r="D49" s="149">
        <v>2022</v>
      </c>
      <c r="E49" s="223">
        <v>3</v>
      </c>
      <c r="F49" s="223">
        <v>11</v>
      </c>
      <c r="G49" s="223">
        <v>8</v>
      </c>
      <c r="H49" s="223">
        <v>11</v>
      </c>
      <c r="I49" s="231">
        <v>10</v>
      </c>
      <c r="J49" s="223">
        <v>7</v>
      </c>
      <c r="K49" s="223"/>
      <c r="L49" s="223">
        <v>45</v>
      </c>
      <c r="M49" s="223">
        <v>138</v>
      </c>
      <c r="N49" s="223">
        <v>87</v>
      </c>
      <c r="O49" s="223">
        <v>45</v>
      </c>
      <c r="P49" s="223">
        <v>20</v>
      </c>
      <c r="Q49" s="223">
        <v>4</v>
      </c>
      <c r="R49" s="222"/>
    </row>
    <row r="50" spans="2:18" ht="15" customHeight="1">
      <c r="B50" s="153"/>
      <c r="C50" s="152"/>
      <c r="D50" s="149">
        <v>2023</v>
      </c>
      <c r="E50" s="223">
        <v>1</v>
      </c>
      <c r="F50" s="223">
        <v>7</v>
      </c>
      <c r="G50" s="223">
        <v>11</v>
      </c>
      <c r="H50" s="223">
        <v>8</v>
      </c>
      <c r="I50" s="223">
        <v>5</v>
      </c>
      <c r="J50" s="223">
        <v>7</v>
      </c>
      <c r="K50" s="223"/>
      <c r="L50" s="274">
        <v>38</v>
      </c>
      <c r="M50" s="274">
        <v>152</v>
      </c>
      <c r="N50" s="274">
        <v>86</v>
      </c>
      <c r="O50" s="274">
        <v>54</v>
      </c>
      <c r="P50" s="274">
        <v>30</v>
      </c>
      <c r="Q50" s="274">
        <v>4</v>
      </c>
      <c r="R50" s="222"/>
    </row>
    <row r="51" spans="2:18" ht="8.1" customHeight="1">
      <c r="B51" s="153"/>
      <c r="C51" s="138"/>
      <c r="D51" s="149"/>
      <c r="E51" s="150"/>
      <c r="F51" s="203"/>
      <c r="G51" s="203"/>
      <c r="H51" s="203"/>
      <c r="I51" s="203"/>
      <c r="J51" s="203"/>
      <c r="K51" s="203"/>
      <c r="L51" s="203"/>
      <c r="M51" s="207"/>
      <c r="N51" s="207"/>
      <c r="O51" s="204"/>
      <c r="P51" s="204"/>
      <c r="Q51" s="204"/>
      <c r="R51" s="203"/>
    </row>
    <row r="52" spans="2:18" ht="15" customHeight="1">
      <c r="B52" s="151" t="s">
        <v>102</v>
      </c>
      <c r="C52" s="152"/>
      <c r="D52" s="149">
        <v>2021</v>
      </c>
      <c r="E52" s="231" t="s">
        <v>22</v>
      </c>
      <c r="F52" s="231">
        <v>5</v>
      </c>
      <c r="G52" s="223">
        <v>6</v>
      </c>
      <c r="H52" s="223">
        <v>7</v>
      </c>
      <c r="I52" s="223">
        <v>4</v>
      </c>
      <c r="J52" s="231" t="s">
        <v>22</v>
      </c>
      <c r="K52" s="223"/>
      <c r="L52" s="223">
        <v>10</v>
      </c>
      <c r="M52" s="223">
        <v>30</v>
      </c>
      <c r="N52" s="223">
        <v>15</v>
      </c>
      <c r="O52" s="223">
        <v>15</v>
      </c>
      <c r="P52" s="223">
        <v>4</v>
      </c>
      <c r="Q52" s="231" t="s">
        <v>22</v>
      </c>
      <c r="R52" s="222"/>
    </row>
    <row r="53" spans="2:18" ht="15" customHeight="1">
      <c r="B53" s="153"/>
      <c r="C53" s="152"/>
      <c r="D53" s="149">
        <v>2022</v>
      </c>
      <c r="E53" s="231" t="s">
        <v>22</v>
      </c>
      <c r="F53" s="223">
        <v>5</v>
      </c>
      <c r="G53" s="231">
        <v>2</v>
      </c>
      <c r="H53" s="223">
        <v>2</v>
      </c>
      <c r="I53" s="231" t="s">
        <v>22</v>
      </c>
      <c r="J53" s="231">
        <v>1</v>
      </c>
      <c r="K53" s="223"/>
      <c r="L53" s="223">
        <v>20</v>
      </c>
      <c r="M53" s="223">
        <v>40</v>
      </c>
      <c r="N53" s="223">
        <v>23</v>
      </c>
      <c r="O53" s="223">
        <v>5</v>
      </c>
      <c r="P53" s="223">
        <v>4</v>
      </c>
      <c r="Q53" s="231" t="s">
        <v>22</v>
      </c>
      <c r="R53" s="222"/>
    </row>
    <row r="54" spans="2:18" ht="15" customHeight="1">
      <c r="B54" s="153"/>
      <c r="C54" s="152"/>
      <c r="D54" s="149">
        <v>2023</v>
      </c>
      <c r="E54" s="231">
        <v>1</v>
      </c>
      <c r="F54" s="231">
        <v>2</v>
      </c>
      <c r="G54" s="231">
        <v>3</v>
      </c>
      <c r="H54" s="231">
        <v>1</v>
      </c>
      <c r="I54" s="231" t="s">
        <v>22</v>
      </c>
      <c r="J54" s="231" t="s">
        <v>22</v>
      </c>
      <c r="K54" s="223"/>
      <c r="L54" s="274">
        <v>8</v>
      </c>
      <c r="M54" s="274">
        <v>11</v>
      </c>
      <c r="N54" s="274">
        <v>19</v>
      </c>
      <c r="O54" s="274">
        <v>16</v>
      </c>
      <c r="P54" s="274">
        <v>1</v>
      </c>
      <c r="Q54" s="231" t="s">
        <v>22</v>
      </c>
      <c r="R54" s="222"/>
    </row>
    <row r="55" spans="2:18" ht="8.1" customHeight="1">
      <c r="B55" s="153"/>
      <c r="C55" s="154"/>
      <c r="D55" s="149"/>
      <c r="E55" s="150"/>
      <c r="F55" s="203"/>
      <c r="G55" s="203"/>
      <c r="H55" s="203"/>
      <c r="I55" s="203"/>
      <c r="J55" s="203"/>
      <c r="K55" s="203"/>
      <c r="L55" s="203"/>
      <c r="M55" s="204"/>
      <c r="N55" s="204"/>
      <c r="O55" s="204"/>
      <c r="P55" s="204"/>
      <c r="Q55" s="204"/>
      <c r="R55" s="203"/>
    </row>
    <row r="56" spans="2:18" ht="15" customHeight="1">
      <c r="B56" s="151" t="s">
        <v>103</v>
      </c>
      <c r="C56" s="152"/>
      <c r="D56" s="149">
        <v>2021</v>
      </c>
      <c r="E56" s="223">
        <v>1</v>
      </c>
      <c r="F56" s="223">
        <v>42</v>
      </c>
      <c r="G56" s="223">
        <v>50</v>
      </c>
      <c r="H56" s="223">
        <v>35</v>
      </c>
      <c r="I56" s="223">
        <v>24</v>
      </c>
      <c r="J56" s="223">
        <v>9</v>
      </c>
      <c r="K56" s="223"/>
      <c r="L56" s="223">
        <v>58</v>
      </c>
      <c r="M56" s="223">
        <v>229</v>
      </c>
      <c r="N56" s="223">
        <v>165</v>
      </c>
      <c r="O56" s="223">
        <v>79</v>
      </c>
      <c r="P56" s="223">
        <v>25</v>
      </c>
      <c r="Q56" s="223">
        <v>4</v>
      </c>
      <c r="R56" s="222"/>
    </row>
    <row r="57" spans="2:18" ht="15" customHeight="1">
      <c r="B57" s="153"/>
      <c r="C57" s="152"/>
      <c r="D57" s="149">
        <v>2022</v>
      </c>
      <c r="E57" s="223">
        <v>2</v>
      </c>
      <c r="F57" s="223">
        <v>17</v>
      </c>
      <c r="G57" s="223">
        <v>18</v>
      </c>
      <c r="H57" s="223">
        <v>22</v>
      </c>
      <c r="I57" s="223">
        <v>10</v>
      </c>
      <c r="J57" s="223">
        <v>7</v>
      </c>
      <c r="K57" s="223"/>
      <c r="L57" s="223">
        <v>39</v>
      </c>
      <c r="M57" s="223">
        <v>276</v>
      </c>
      <c r="N57" s="223">
        <v>197</v>
      </c>
      <c r="O57" s="223">
        <v>119</v>
      </c>
      <c r="P57" s="223">
        <v>55</v>
      </c>
      <c r="Q57" s="223">
        <v>4</v>
      </c>
      <c r="R57" s="222"/>
    </row>
    <row r="58" spans="2:18" ht="15" customHeight="1">
      <c r="B58" s="153"/>
      <c r="C58" s="152"/>
      <c r="D58" s="149">
        <v>2023</v>
      </c>
      <c r="E58" s="231" t="s">
        <v>22</v>
      </c>
      <c r="F58" s="223">
        <v>16</v>
      </c>
      <c r="G58" s="223">
        <v>30</v>
      </c>
      <c r="H58" s="223">
        <v>28</v>
      </c>
      <c r="I58" s="223">
        <v>15</v>
      </c>
      <c r="J58" s="223">
        <v>20</v>
      </c>
      <c r="K58" s="223"/>
      <c r="L58" s="274">
        <v>96</v>
      </c>
      <c r="M58" s="274">
        <v>427</v>
      </c>
      <c r="N58" s="274">
        <v>327</v>
      </c>
      <c r="O58" s="274">
        <v>209</v>
      </c>
      <c r="P58" s="274">
        <v>77</v>
      </c>
      <c r="Q58" s="274">
        <v>41</v>
      </c>
      <c r="R58" s="222"/>
    </row>
    <row r="59" spans="2:18" ht="8.1" customHeight="1">
      <c r="B59" s="153"/>
      <c r="C59" s="148"/>
      <c r="D59" s="149"/>
      <c r="E59" s="150"/>
      <c r="F59" s="203"/>
      <c r="G59" s="203"/>
      <c r="H59" s="203"/>
      <c r="I59" s="203"/>
      <c r="J59" s="203"/>
      <c r="K59" s="203"/>
      <c r="L59" s="203"/>
      <c r="M59" s="204"/>
      <c r="N59" s="204"/>
      <c r="O59" s="204"/>
      <c r="P59" s="204"/>
      <c r="Q59" s="204"/>
      <c r="R59" s="203"/>
    </row>
    <row r="60" spans="2:18" ht="15" customHeight="1">
      <c r="B60" s="151" t="s">
        <v>104</v>
      </c>
      <c r="C60" s="152"/>
      <c r="D60" s="149">
        <v>2021</v>
      </c>
      <c r="E60" s="231">
        <v>7</v>
      </c>
      <c r="F60" s="223">
        <v>13</v>
      </c>
      <c r="G60" s="223">
        <v>19</v>
      </c>
      <c r="H60" s="223">
        <v>20</v>
      </c>
      <c r="I60" s="223">
        <v>13</v>
      </c>
      <c r="J60" s="231" t="s">
        <v>22</v>
      </c>
      <c r="K60" s="223"/>
      <c r="L60" s="223">
        <v>40</v>
      </c>
      <c r="M60" s="223">
        <v>104</v>
      </c>
      <c r="N60" s="223">
        <v>51</v>
      </c>
      <c r="O60" s="223">
        <v>19</v>
      </c>
      <c r="P60" s="223">
        <v>7</v>
      </c>
      <c r="Q60" s="231" t="s">
        <v>22</v>
      </c>
      <c r="R60" s="222"/>
    </row>
    <row r="61" spans="2:18" ht="15" customHeight="1">
      <c r="B61" s="153"/>
      <c r="C61" s="152"/>
      <c r="D61" s="149">
        <v>2022</v>
      </c>
      <c r="E61" s="223">
        <v>1</v>
      </c>
      <c r="F61" s="223">
        <v>10</v>
      </c>
      <c r="G61" s="223">
        <v>8</v>
      </c>
      <c r="H61" s="223">
        <v>5</v>
      </c>
      <c r="I61" s="231">
        <v>6</v>
      </c>
      <c r="J61" s="231" t="s">
        <v>22</v>
      </c>
      <c r="K61" s="223"/>
      <c r="L61" s="223">
        <v>25</v>
      </c>
      <c r="M61" s="223">
        <v>76</v>
      </c>
      <c r="N61" s="223">
        <v>65</v>
      </c>
      <c r="O61" s="223">
        <v>29</v>
      </c>
      <c r="P61" s="223">
        <v>10</v>
      </c>
      <c r="Q61" s="223">
        <v>1</v>
      </c>
      <c r="R61" s="222"/>
    </row>
    <row r="62" spans="2:18" ht="15" customHeight="1">
      <c r="B62" s="153"/>
      <c r="C62" s="152"/>
      <c r="D62" s="149">
        <v>2023</v>
      </c>
      <c r="E62" s="231">
        <v>3</v>
      </c>
      <c r="F62" s="231">
        <v>11</v>
      </c>
      <c r="G62" s="223">
        <v>11</v>
      </c>
      <c r="H62" s="223">
        <v>8</v>
      </c>
      <c r="I62" s="223">
        <v>2</v>
      </c>
      <c r="J62" s="223">
        <v>1</v>
      </c>
      <c r="K62" s="223"/>
      <c r="L62" s="274">
        <v>15</v>
      </c>
      <c r="M62" s="274">
        <v>77</v>
      </c>
      <c r="N62" s="274">
        <v>54</v>
      </c>
      <c r="O62" s="274">
        <v>33</v>
      </c>
      <c r="P62" s="274">
        <v>6</v>
      </c>
      <c r="Q62" s="231" t="s">
        <v>22</v>
      </c>
      <c r="R62" s="222"/>
    </row>
    <row r="63" spans="2:18" ht="8.1" customHeight="1">
      <c r="B63" s="153"/>
      <c r="C63" s="154"/>
      <c r="D63" s="149"/>
      <c r="E63" s="150"/>
      <c r="F63" s="203"/>
      <c r="G63" s="203"/>
      <c r="H63" s="203"/>
      <c r="I63" s="203"/>
      <c r="J63" s="203"/>
      <c r="K63" s="203"/>
      <c r="L63" s="203"/>
      <c r="M63" s="204"/>
      <c r="N63" s="204"/>
      <c r="O63" s="204"/>
      <c r="P63" s="208"/>
      <c r="Q63" s="208"/>
      <c r="R63" s="203"/>
    </row>
    <row r="64" spans="2:18" ht="15" customHeight="1">
      <c r="B64" s="151" t="s">
        <v>108</v>
      </c>
      <c r="C64" s="152"/>
      <c r="D64" s="149">
        <v>2021</v>
      </c>
      <c r="E64" s="231" t="s">
        <v>22</v>
      </c>
      <c r="F64" s="231">
        <v>6</v>
      </c>
      <c r="G64" s="223">
        <v>18</v>
      </c>
      <c r="H64" s="223">
        <v>9</v>
      </c>
      <c r="I64" s="223">
        <v>3</v>
      </c>
      <c r="J64" s="231">
        <v>4</v>
      </c>
      <c r="K64" s="223"/>
      <c r="L64" s="223">
        <v>15</v>
      </c>
      <c r="M64" s="223">
        <v>86</v>
      </c>
      <c r="N64" s="223">
        <v>52</v>
      </c>
      <c r="O64" s="223">
        <v>24</v>
      </c>
      <c r="P64" s="223">
        <v>13</v>
      </c>
      <c r="Q64" s="223">
        <v>1</v>
      </c>
      <c r="R64" s="222"/>
    </row>
    <row r="65" spans="1:18" ht="15" customHeight="1">
      <c r="B65" s="153"/>
      <c r="C65" s="152"/>
      <c r="D65" s="149">
        <v>2022</v>
      </c>
      <c r="E65" s="231" t="s">
        <v>22</v>
      </c>
      <c r="F65" s="231">
        <v>6</v>
      </c>
      <c r="G65" s="223">
        <v>2</v>
      </c>
      <c r="H65" s="231" t="s">
        <v>22</v>
      </c>
      <c r="I65" s="223">
        <v>2</v>
      </c>
      <c r="J65" s="231">
        <v>2</v>
      </c>
      <c r="K65" s="223"/>
      <c r="L65" s="223">
        <v>10</v>
      </c>
      <c r="M65" s="223">
        <v>79</v>
      </c>
      <c r="N65" s="223">
        <v>75</v>
      </c>
      <c r="O65" s="223">
        <v>24</v>
      </c>
      <c r="P65" s="223">
        <v>12</v>
      </c>
      <c r="Q65" s="223">
        <v>5</v>
      </c>
      <c r="R65" s="222"/>
    </row>
    <row r="66" spans="1:18" ht="15" customHeight="1">
      <c r="B66" s="153"/>
      <c r="C66" s="152"/>
      <c r="D66" s="149">
        <v>2023</v>
      </c>
      <c r="E66" s="231">
        <v>1</v>
      </c>
      <c r="F66" s="223">
        <v>6</v>
      </c>
      <c r="G66" s="223">
        <v>8</v>
      </c>
      <c r="H66" s="223">
        <v>7</v>
      </c>
      <c r="I66" s="223">
        <v>2</v>
      </c>
      <c r="J66" s="231">
        <v>4</v>
      </c>
      <c r="K66" s="223"/>
      <c r="L66" s="274">
        <v>19</v>
      </c>
      <c r="M66" s="274">
        <v>109</v>
      </c>
      <c r="N66" s="274">
        <v>106</v>
      </c>
      <c r="O66" s="274">
        <v>47</v>
      </c>
      <c r="P66" s="274">
        <v>21</v>
      </c>
      <c r="Q66" s="274">
        <v>6</v>
      </c>
      <c r="R66" s="222"/>
    </row>
    <row r="67" spans="1:18" ht="8.1" customHeight="1">
      <c r="B67" s="155"/>
      <c r="C67" s="145"/>
      <c r="D67" s="149"/>
      <c r="E67" s="150"/>
      <c r="F67" s="203"/>
      <c r="G67" s="203"/>
      <c r="H67" s="203"/>
      <c r="I67" s="203"/>
      <c r="J67" s="203"/>
      <c r="K67" s="203"/>
      <c r="L67" s="203"/>
      <c r="M67" s="208"/>
      <c r="N67" s="208"/>
      <c r="O67" s="204"/>
      <c r="P67" s="204"/>
      <c r="Q67" s="204"/>
      <c r="R67" s="203"/>
    </row>
    <row r="68" spans="1:18" ht="15" customHeight="1">
      <c r="B68" s="151" t="s">
        <v>105</v>
      </c>
      <c r="C68" s="152"/>
      <c r="D68" s="149">
        <v>2021</v>
      </c>
      <c r="E68" s="231">
        <v>5</v>
      </c>
      <c r="F68" s="223">
        <v>27</v>
      </c>
      <c r="G68" s="223">
        <v>20</v>
      </c>
      <c r="H68" s="223">
        <v>18</v>
      </c>
      <c r="I68" s="223">
        <v>10</v>
      </c>
      <c r="J68" s="223">
        <v>5</v>
      </c>
      <c r="K68" s="223"/>
      <c r="L68" s="223">
        <v>45</v>
      </c>
      <c r="M68" s="223">
        <v>149</v>
      </c>
      <c r="N68" s="223">
        <v>88</v>
      </c>
      <c r="O68" s="223">
        <v>54</v>
      </c>
      <c r="P68" s="223">
        <v>10</v>
      </c>
      <c r="Q68" s="223">
        <v>5</v>
      </c>
      <c r="R68" s="222"/>
    </row>
    <row r="69" spans="1:18" ht="15" customHeight="1">
      <c r="B69" s="153"/>
      <c r="C69" s="152"/>
      <c r="D69" s="149">
        <v>2022</v>
      </c>
      <c r="E69" s="223">
        <v>1</v>
      </c>
      <c r="F69" s="223">
        <v>5</v>
      </c>
      <c r="G69" s="223">
        <v>7</v>
      </c>
      <c r="H69" s="223">
        <v>12</v>
      </c>
      <c r="I69" s="223">
        <v>6</v>
      </c>
      <c r="J69" s="223">
        <v>5</v>
      </c>
      <c r="K69" s="223"/>
      <c r="L69" s="223">
        <v>52</v>
      </c>
      <c r="M69" s="223">
        <v>164</v>
      </c>
      <c r="N69" s="223">
        <v>116</v>
      </c>
      <c r="O69" s="223">
        <v>48</v>
      </c>
      <c r="P69" s="223">
        <v>17</v>
      </c>
      <c r="Q69" s="223">
        <v>7</v>
      </c>
      <c r="R69" s="222"/>
    </row>
    <row r="70" spans="1:18" ht="15" customHeight="1">
      <c r="B70" s="153"/>
      <c r="C70" s="152"/>
      <c r="D70" s="149">
        <v>2023</v>
      </c>
      <c r="E70" s="231">
        <v>1</v>
      </c>
      <c r="F70" s="223">
        <v>8</v>
      </c>
      <c r="G70" s="223">
        <v>5</v>
      </c>
      <c r="H70" s="223">
        <v>14</v>
      </c>
      <c r="I70" s="223">
        <v>13</v>
      </c>
      <c r="J70" s="223">
        <v>1</v>
      </c>
      <c r="K70" s="223"/>
      <c r="L70" s="274">
        <v>35</v>
      </c>
      <c r="M70" s="274">
        <v>132</v>
      </c>
      <c r="N70" s="274">
        <v>121</v>
      </c>
      <c r="O70" s="274">
        <v>73</v>
      </c>
      <c r="P70" s="274">
        <v>36</v>
      </c>
      <c r="Q70" s="274">
        <v>4</v>
      </c>
      <c r="R70" s="222"/>
    </row>
    <row r="71" spans="1:18" ht="8.1" customHeight="1">
      <c r="B71" s="153"/>
      <c r="C71" s="151"/>
      <c r="D71" s="149"/>
      <c r="E71" s="150"/>
      <c r="F71" s="203"/>
      <c r="G71" s="203"/>
      <c r="H71" s="203"/>
      <c r="I71" s="203"/>
      <c r="J71" s="203"/>
      <c r="K71" s="203"/>
      <c r="L71" s="203"/>
      <c r="M71" s="204"/>
      <c r="N71" s="204"/>
      <c r="O71" s="204"/>
      <c r="P71" s="208"/>
      <c r="Q71" s="208"/>
      <c r="R71" s="203"/>
    </row>
    <row r="72" spans="1:18" ht="15" customHeight="1">
      <c r="B72" s="151" t="s">
        <v>109</v>
      </c>
      <c r="C72" s="152"/>
      <c r="D72" s="149">
        <v>2021</v>
      </c>
      <c r="E72" s="223">
        <v>1</v>
      </c>
      <c r="F72" s="223">
        <v>50</v>
      </c>
      <c r="G72" s="223">
        <v>58</v>
      </c>
      <c r="H72" s="223">
        <v>43</v>
      </c>
      <c r="I72" s="223">
        <v>18</v>
      </c>
      <c r="J72" s="223">
        <v>19</v>
      </c>
      <c r="K72" s="223"/>
      <c r="L72" s="223">
        <v>48</v>
      </c>
      <c r="M72" s="223">
        <v>241</v>
      </c>
      <c r="N72" s="223">
        <v>131</v>
      </c>
      <c r="O72" s="223">
        <v>78</v>
      </c>
      <c r="P72" s="223">
        <v>21</v>
      </c>
      <c r="Q72" s="223">
        <v>4</v>
      </c>
      <c r="R72" s="222"/>
    </row>
    <row r="73" spans="1:18" ht="15" customHeight="1">
      <c r="B73" s="153"/>
      <c r="C73" s="152"/>
      <c r="D73" s="149">
        <v>2022</v>
      </c>
      <c r="E73" s="231">
        <v>2</v>
      </c>
      <c r="F73" s="223">
        <v>31</v>
      </c>
      <c r="G73" s="223">
        <v>17</v>
      </c>
      <c r="H73" s="223">
        <v>23</v>
      </c>
      <c r="I73" s="223">
        <v>11</v>
      </c>
      <c r="J73" s="223">
        <v>7</v>
      </c>
      <c r="K73" s="223"/>
      <c r="L73" s="223">
        <v>64</v>
      </c>
      <c r="M73" s="223">
        <v>352</v>
      </c>
      <c r="N73" s="223">
        <v>251</v>
      </c>
      <c r="O73" s="223">
        <v>107</v>
      </c>
      <c r="P73" s="223">
        <v>38</v>
      </c>
      <c r="Q73" s="223">
        <v>7</v>
      </c>
      <c r="R73" s="222"/>
    </row>
    <row r="74" spans="1:18" ht="15" customHeight="1">
      <c r="A74" s="177"/>
      <c r="B74" s="225"/>
      <c r="C74" s="226"/>
      <c r="D74" s="227">
        <v>2023</v>
      </c>
      <c r="E74" s="223">
        <v>1</v>
      </c>
      <c r="F74" s="223">
        <v>20</v>
      </c>
      <c r="G74" s="223">
        <v>23</v>
      </c>
      <c r="H74" s="223">
        <v>21</v>
      </c>
      <c r="I74" s="223">
        <v>16</v>
      </c>
      <c r="J74" s="223">
        <v>15</v>
      </c>
      <c r="K74" s="223"/>
      <c r="L74" s="274">
        <v>55</v>
      </c>
      <c r="M74" s="274">
        <v>256</v>
      </c>
      <c r="N74" s="274">
        <v>189</v>
      </c>
      <c r="O74" s="274">
        <v>115</v>
      </c>
      <c r="P74" s="274">
        <v>39</v>
      </c>
      <c r="Q74" s="274">
        <v>13</v>
      </c>
      <c r="R74" s="222"/>
    </row>
    <row r="75" spans="1:18" ht="8.1" customHeight="1" thickBot="1">
      <c r="A75" s="156"/>
      <c r="B75" s="156"/>
      <c r="C75" s="156"/>
      <c r="D75" s="157"/>
      <c r="E75" s="158"/>
      <c r="F75" s="158"/>
      <c r="G75" s="158"/>
      <c r="H75" s="158"/>
      <c r="I75" s="158"/>
      <c r="J75" s="158"/>
      <c r="K75" s="158"/>
      <c r="L75" s="158"/>
      <c r="M75" s="228"/>
      <c r="N75" s="228"/>
      <c r="O75" s="229"/>
      <c r="P75" s="229"/>
      <c r="Q75" s="229"/>
      <c r="R75" s="158"/>
    </row>
    <row r="76" spans="1:18" s="87" customFormat="1" ht="15.95" customHeight="1">
      <c r="B76" s="88"/>
      <c r="C76" s="89"/>
      <c r="D76" s="90"/>
      <c r="E76" s="91"/>
      <c r="F76" s="91"/>
      <c r="R76" s="92" t="s">
        <v>19</v>
      </c>
    </row>
    <row r="77" spans="1:18" s="87" customFormat="1" ht="15.95" customHeight="1">
      <c r="B77" s="88"/>
      <c r="C77" s="89"/>
      <c r="D77" s="90"/>
      <c r="E77" s="91"/>
      <c r="F77" s="91"/>
      <c r="R77" s="93" t="s">
        <v>20</v>
      </c>
    </row>
    <row r="78" spans="1:18" ht="15" customHeight="1">
      <c r="B78" s="212"/>
      <c r="C78" s="213"/>
      <c r="D78" s="214"/>
      <c r="E78" s="219"/>
      <c r="F78" s="220"/>
      <c r="G78" s="220"/>
      <c r="H78" s="220"/>
      <c r="I78" s="220"/>
      <c r="J78" s="220"/>
      <c r="K78" s="220"/>
      <c r="L78" s="220"/>
      <c r="M78" s="221"/>
      <c r="N78" s="221"/>
      <c r="O78" s="196"/>
      <c r="P78" s="196"/>
      <c r="Q78" s="196"/>
      <c r="R78" s="220"/>
    </row>
    <row r="79" spans="1:18" ht="15" customHeight="1">
      <c r="D79" s="217"/>
      <c r="E79" s="216"/>
      <c r="F79" s="216"/>
      <c r="G79" s="216"/>
      <c r="H79" s="216"/>
      <c r="L79" s="215"/>
      <c r="M79" s="218"/>
      <c r="N79" s="218"/>
    </row>
    <row r="80" spans="1:18" ht="15" customHeight="1">
      <c r="B80" s="138"/>
      <c r="C80" s="138"/>
      <c r="D80" s="139"/>
      <c r="E80" s="140"/>
      <c r="F80" s="140"/>
      <c r="G80" s="140"/>
      <c r="H80" s="140"/>
      <c r="I80" s="140"/>
      <c r="J80" s="140"/>
      <c r="K80" s="140"/>
      <c r="L80" s="140"/>
      <c r="R80" s="140"/>
    </row>
    <row r="81" spans="2:18" ht="15" customHeight="1">
      <c r="B81" s="138"/>
      <c r="C81" s="138"/>
      <c r="D81" s="139"/>
      <c r="E81" s="140"/>
      <c r="F81" s="140"/>
      <c r="G81" s="140"/>
      <c r="H81" s="140"/>
      <c r="I81" s="140"/>
      <c r="J81" s="140"/>
      <c r="K81" s="140"/>
      <c r="L81" s="140"/>
      <c r="R81" s="140"/>
    </row>
    <row r="82" spans="2:18" ht="15" customHeight="1">
      <c r="B82" s="138"/>
      <c r="C82" s="138"/>
      <c r="D82" s="139"/>
      <c r="E82" s="140"/>
      <c r="F82" s="140"/>
      <c r="G82" s="140"/>
      <c r="H82" s="140"/>
      <c r="I82" s="140"/>
      <c r="J82" s="140"/>
      <c r="K82" s="140"/>
      <c r="L82" s="140"/>
      <c r="R82" s="140"/>
    </row>
    <row r="83" spans="2:18" ht="15" customHeight="1">
      <c r="B83" s="138"/>
      <c r="C83" s="138"/>
      <c r="D83" s="139"/>
      <c r="E83" s="140"/>
      <c r="F83" s="140"/>
      <c r="G83" s="140"/>
      <c r="H83" s="140"/>
      <c r="I83" s="140"/>
      <c r="J83" s="140"/>
      <c r="K83" s="140"/>
      <c r="L83" s="140"/>
      <c r="R83" s="140"/>
    </row>
    <row r="84" spans="2:18" ht="15" customHeight="1">
      <c r="B84" s="138"/>
      <c r="C84" s="138"/>
      <c r="D84" s="139"/>
      <c r="E84" s="140"/>
      <c r="F84" s="140"/>
      <c r="G84" s="140"/>
      <c r="H84" s="140"/>
      <c r="I84" s="140"/>
      <c r="J84" s="140"/>
      <c r="K84" s="140"/>
      <c r="L84" s="140"/>
      <c r="R84" s="140"/>
    </row>
    <row r="85" spans="2:18" ht="15" customHeight="1">
      <c r="B85" s="138"/>
      <c r="C85" s="138"/>
      <c r="D85" s="139"/>
      <c r="E85" s="140"/>
      <c r="F85" s="140"/>
      <c r="G85" s="140"/>
      <c r="H85" s="140"/>
      <c r="I85" s="140"/>
      <c r="J85" s="140"/>
      <c r="K85" s="140"/>
      <c r="L85" s="140"/>
      <c r="R85" s="140"/>
    </row>
    <row r="86" spans="2:18" ht="15" customHeight="1">
      <c r="B86" s="138"/>
      <c r="C86" s="138"/>
      <c r="D86" s="139"/>
      <c r="E86" s="140"/>
      <c r="F86" s="140"/>
      <c r="G86" s="140"/>
      <c r="H86" s="140"/>
      <c r="I86" s="140"/>
      <c r="J86" s="140"/>
      <c r="K86" s="140"/>
      <c r="L86" s="140"/>
      <c r="R86" s="140"/>
    </row>
    <row r="87" spans="2:18" ht="15" customHeight="1">
      <c r="B87" s="138"/>
      <c r="C87" s="138"/>
      <c r="D87" s="139"/>
      <c r="E87" s="140"/>
      <c r="F87" s="140"/>
      <c r="G87" s="140"/>
      <c r="H87" s="140"/>
      <c r="I87" s="140"/>
      <c r="J87" s="140"/>
      <c r="K87" s="140"/>
      <c r="L87" s="140"/>
      <c r="R87" s="140"/>
    </row>
    <row r="88" spans="2:18" ht="15" customHeight="1">
      <c r="B88" s="138"/>
      <c r="C88" s="138"/>
      <c r="D88" s="139"/>
      <c r="E88" s="140"/>
      <c r="F88" s="140"/>
      <c r="G88" s="140"/>
      <c r="H88" s="140"/>
      <c r="I88" s="140"/>
      <c r="J88" s="140"/>
      <c r="K88" s="140"/>
      <c r="L88" s="140"/>
      <c r="R88" s="140"/>
    </row>
    <row r="89" spans="2:18" ht="15" customHeight="1">
      <c r="B89" s="138"/>
      <c r="C89" s="138"/>
      <c r="D89" s="139"/>
      <c r="E89" s="140"/>
      <c r="F89" s="140"/>
      <c r="G89" s="140"/>
      <c r="H89" s="140"/>
      <c r="I89" s="140"/>
      <c r="J89" s="140"/>
      <c r="K89" s="140"/>
      <c r="L89" s="140"/>
      <c r="R89" s="140"/>
    </row>
    <row r="90" spans="2:18" ht="15" customHeight="1">
      <c r="B90" s="138"/>
      <c r="C90" s="138"/>
      <c r="D90" s="139"/>
      <c r="E90" s="140"/>
      <c r="F90" s="140"/>
      <c r="G90" s="140"/>
      <c r="H90" s="140"/>
      <c r="I90" s="140"/>
      <c r="J90" s="140"/>
      <c r="K90" s="140"/>
      <c r="L90" s="140"/>
      <c r="R90" s="140"/>
    </row>
    <row r="91" spans="2:18" ht="15" customHeight="1">
      <c r="B91" s="138"/>
      <c r="C91" s="138"/>
      <c r="D91" s="139"/>
      <c r="E91" s="140"/>
      <c r="F91" s="140"/>
      <c r="G91" s="140"/>
      <c r="H91" s="140"/>
      <c r="I91" s="140"/>
      <c r="J91" s="140"/>
      <c r="K91" s="140"/>
      <c r="L91" s="140"/>
      <c r="R91" s="140"/>
    </row>
    <row r="92" spans="2:18" ht="15" customHeight="1">
      <c r="B92" s="138"/>
      <c r="C92" s="138"/>
      <c r="D92" s="139"/>
      <c r="E92" s="140"/>
      <c r="F92" s="140"/>
      <c r="G92" s="140"/>
      <c r="H92" s="140"/>
      <c r="I92" s="140"/>
      <c r="J92" s="140"/>
      <c r="K92" s="140"/>
      <c r="L92" s="140"/>
      <c r="R92" s="140"/>
    </row>
    <row r="93" spans="2:18" ht="15" customHeight="1">
      <c r="B93" s="138"/>
      <c r="C93" s="138"/>
      <c r="D93" s="139"/>
      <c r="E93" s="140"/>
      <c r="F93" s="140"/>
      <c r="G93" s="140"/>
      <c r="H93" s="140"/>
      <c r="I93" s="140"/>
      <c r="J93" s="140"/>
      <c r="K93" s="140"/>
      <c r="L93" s="140"/>
      <c r="R93" s="140"/>
    </row>
    <row r="94" spans="2:18" ht="15" customHeight="1">
      <c r="B94" s="138"/>
      <c r="C94" s="138"/>
      <c r="D94" s="139"/>
      <c r="E94" s="140"/>
      <c r="F94" s="140"/>
      <c r="G94" s="140"/>
      <c r="H94" s="140"/>
      <c r="I94" s="140"/>
      <c r="J94" s="140"/>
      <c r="K94" s="140"/>
      <c r="L94" s="140"/>
      <c r="R94" s="140"/>
    </row>
    <row r="95" spans="2:18" ht="15" customHeight="1">
      <c r="B95" s="138"/>
      <c r="C95" s="138"/>
      <c r="D95" s="139"/>
      <c r="E95" s="140"/>
      <c r="F95" s="140"/>
      <c r="G95" s="140"/>
      <c r="H95" s="140"/>
      <c r="I95" s="140"/>
      <c r="J95" s="140"/>
      <c r="K95" s="140"/>
      <c r="L95" s="140"/>
      <c r="R95" s="140"/>
    </row>
    <row r="96" spans="2:18" ht="15" customHeight="1">
      <c r="B96" s="138"/>
      <c r="C96" s="138"/>
      <c r="D96" s="139"/>
      <c r="E96" s="140"/>
      <c r="F96" s="140"/>
      <c r="G96" s="140"/>
      <c r="H96" s="140"/>
      <c r="I96" s="140"/>
      <c r="J96" s="140"/>
      <c r="K96" s="140"/>
      <c r="L96" s="140"/>
      <c r="R96" s="140"/>
    </row>
    <row r="97" spans="2:18" ht="15" customHeight="1">
      <c r="B97" s="138"/>
      <c r="C97" s="138"/>
      <c r="D97" s="139"/>
      <c r="E97" s="140"/>
      <c r="F97" s="140"/>
      <c r="G97" s="140"/>
      <c r="H97" s="140"/>
      <c r="I97" s="140"/>
      <c r="J97" s="140"/>
      <c r="K97" s="140"/>
      <c r="L97" s="140"/>
      <c r="R97" s="140"/>
    </row>
    <row r="98" spans="2:18" ht="15" customHeight="1">
      <c r="B98" s="138"/>
      <c r="C98" s="138"/>
      <c r="D98" s="139"/>
      <c r="E98" s="140"/>
      <c r="F98" s="140"/>
      <c r="G98" s="140"/>
      <c r="H98" s="140"/>
      <c r="I98" s="140"/>
      <c r="J98" s="140"/>
      <c r="K98" s="140"/>
      <c r="L98" s="140"/>
      <c r="R98" s="140"/>
    </row>
    <row r="99" spans="2:18" ht="15" customHeight="1">
      <c r="B99" s="138"/>
      <c r="C99" s="138"/>
      <c r="D99" s="139"/>
      <c r="E99" s="140"/>
      <c r="F99" s="140"/>
      <c r="G99" s="140"/>
      <c r="H99" s="140"/>
      <c r="I99" s="140"/>
      <c r="J99" s="140"/>
      <c r="K99" s="140"/>
      <c r="L99" s="140"/>
      <c r="R99" s="140"/>
    </row>
    <row r="100" spans="2:18" ht="15" customHeight="1">
      <c r="B100" s="138"/>
      <c r="C100" s="138"/>
      <c r="D100" s="139"/>
      <c r="E100" s="140"/>
      <c r="F100" s="140"/>
      <c r="G100" s="140"/>
      <c r="H100" s="140"/>
      <c r="I100" s="140"/>
      <c r="J100" s="140"/>
      <c r="K100" s="140"/>
      <c r="L100" s="140"/>
      <c r="R100" s="140"/>
    </row>
    <row r="101" spans="2:18" ht="15" customHeight="1">
      <c r="B101" s="138"/>
      <c r="C101" s="138"/>
      <c r="D101" s="139"/>
      <c r="E101" s="140"/>
      <c r="F101" s="140"/>
      <c r="G101" s="140"/>
      <c r="H101" s="140"/>
      <c r="I101" s="140"/>
      <c r="J101" s="140"/>
      <c r="K101" s="140"/>
      <c r="L101" s="140"/>
      <c r="R101" s="140"/>
    </row>
    <row r="102" spans="2:18" ht="15" customHeight="1">
      <c r="B102" s="138"/>
      <c r="C102" s="138"/>
      <c r="D102" s="139"/>
      <c r="E102" s="140"/>
      <c r="F102" s="140"/>
      <c r="G102" s="140"/>
      <c r="H102" s="140"/>
      <c r="I102" s="140"/>
      <c r="J102" s="140"/>
      <c r="K102" s="140"/>
      <c r="L102" s="140"/>
      <c r="R102" s="140"/>
    </row>
    <row r="103" spans="2:18" ht="15" customHeight="1">
      <c r="B103" s="138"/>
      <c r="C103" s="138"/>
      <c r="D103" s="139"/>
      <c r="E103" s="140"/>
      <c r="F103" s="140"/>
      <c r="G103" s="140"/>
      <c r="H103" s="140"/>
      <c r="I103" s="140"/>
      <c r="J103" s="140"/>
      <c r="K103" s="140"/>
      <c r="L103" s="140"/>
      <c r="R103" s="140"/>
    </row>
    <row r="104" spans="2:18" ht="15" customHeight="1">
      <c r="B104" s="138"/>
      <c r="C104" s="138"/>
      <c r="D104" s="139"/>
      <c r="E104" s="140"/>
      <c r="F104" s="140"/>
      <c r="G104" s="140"/>
      <c r="H104" s="140"/>
      <c r="I104" s="140"/>
      <c r="J104" s="140"/>
      <c r="K104" s="140"/>
      <c r="L104" s="140"/>
      <c r="R104" s="140"/>
    </row>
    <row r="105" spans="2:18" ht="15" customHeight="1">
      <c r="B105" s="138"/>
      <c r="C105" s="138"/>
      <c r="D105" s="139"/>
      <c r="E105" s="140"/>
      <c r="F105" s="140"/>
      <c r="G105" s="140"/>
      <c r="H105" s="140"/>
      <c r="I105" s="140"/>
      <c r="J105" s="140"/>
      <c r="K105" s="140"/>
      <c r="L105" s="140"/>
      <c r="R105" s="140"/>
    </row>
    <row r="106" spans="2:18" ht="15" customHeight="1">
      <c r="B106" s="138"/>
      <c r="C106" s="138"/>
      <c r="D106" s="139"/>
      <c r="E106" s="140"/>
      <c r="F106" s="140"/>
      <c r="G106" s="140"/>
      <c r="H106" s="140"/>
      <c r="I106" s="140"/>
      <c r="J106" s="140"/>
      <c r="K106" s="140"/>
      <c r="L106" s="140"/>
      <c r="R106" s="140"/>
    </row>
    <row r="107" spans="2:18" ht="15" customHeight="1">
      <c r="B107" s="138"/>
      <c r="C107" s="138"/>
      <c r="D107" s="139"/>
      <c r="E107" s="140"/>
      <c r="F107" s="140"/>
      <c r="G107" s="140"/>
      <c r="H107" s="140"/>
      <c r="I107" s="140"/>
      <c r="J107" s="140"/>
      <c r="K107" s="140"/>
      <c r="L107" s="140"/>
      <c r="R107" s="140"/>
    </row>
    <row r="108" spans="2:18" ht="15" customHeight="1">
      <c r="B108" s="138"/>
      <c r="C108" s="138"/>
      <c r="D108" s="139"/>
      <c r="E108" s="140"/>
      <c r="F108" s="140"/>
      <c r="G108" s="140"/>
      <c r="H108" s="140"/>
      <c r="I108" s="140"/>
      <c r="J108" s="140"/>
      <c r="K108" s="140"/>
      <c r="L108" s="140"/>
      <c r="R108" s="140"/>
    </row>
    <row r="109" spans="2:18" ht="15" customHeight="1">
      <c r="B109" s="138"/>
      <c r="C109" s="138"/>
      <c r="D109" s="139"/>
      <c r="E109" s="140"/>
      <c r="F109" s="140"/>
      <c r="G109" s="140"/>
      <c r="H109" s="140"/>
      <c r="I109" s="140"/>
      <c r="J109" s="140"/>
      <c r="K109" s="140"/>
      <c r="L109" s="140"/>
      <c r="R109" s="140"/>
    </row>
    <row r="110" spans="2:18" ht="15" customHeight="1">
      <c r="B110" s="138"/>
      <c r="C110" s="138"/>
      <c r="D110" s="139"/>
      <c r="E110" s="140"/>
      <c r="F110" s="140"/>
      <c r="G110" s="140"/>
      <c r="H110" s="140"/>
      <c r="I110" s="140"/>
      <c r="J110" s="140"/>
      <c r="K110" s="140"/>
      <c r="L110" s="140"/>
      <c r="R110" s="140"/>
    </row>
    <row r="111" spans="2:18" ht="15" customHeight="1">
      <c r="B111" s="138"/>
      <c r="C111" s="138"/>
      <c r="D111" s="139"/>
      <c r="E111" s="140"/>
      <c r="F111" s="140"/>
      <c r="G111" s="140"/>
      <c r="H111" s="140"/>
      <c r="I111" s="140"/>
      <c r="J111" s="140"/>
      <c r="K111" s="140"/>
      <c r="L111" s="140"/>
      <c r="R111" s="140"/>
    </row>
    <row r="112" spans="2:18" ht="15" customHeight="1">
      <c r="B112" s="138"/>
      <c r="C112" s="138"/>
      <c r="D112" s="139"/>
      <c r="E112" s="140"/>
      <c r="F112" s="140"/>
      <c r="G112" s="140"/>
      <c r="H112" s="140"/>
      <c r="I112" s="140"/>
      <c r="J112" s="140"/>
      <c r="K112" s="140"/>
      <c r="L112" s="140"/>
      <c r="R112" s="140"/>
    </row>
    <row r="113" spans="2:18" ht="15" customHeight="1">
      <c r="B113" s="138"/>
      <c r="C113" s="138"/>
      <c r="D113" s="139"/>
      <c r="E113" s="140"/>
      <c r="F113" s="140"/>
      <c r="G113" s="140"/>
      <c r="H113" s="140"/>
      <c r="I113" s="140"/>
      <c r="J113" s="140"/>
      <c r="K113" s="140"/>
      <c r="L113" s="140"/>
      <c r="R113" s="140"/>
    </row>
    <row r="114" spans="2:18" ht="15" customHeight="1">
      <c r="B114" s="138"/>
      <c r="C114" s="138"/>
      <c r="D114" s="139"/>
      <c r="E114" s="140"/>
      <c r="F114" s="140"/>
      <c r="G114" s="140"/>
      <c r="H114" s="140"/>
      <c r="I114" s="140"/>
      <c r="J114" s="140"/>
      <c r="K114" s="140"/>
      <c r="L114" s="140"/>
      <c r="R114" s="140"/>
    </row>
    <row r="115" spans="2:18" ht="15" customHeight="1">
      <c r="B115" s="138"/>
      <c r="C115" s="138"/>
      <c r="D115" s="139"/>
      <c r="E115" s="140"/>
      <c r="F115" s="140"/>
      <c r="G115" s="140"/>
      <c r="H115" s="140"/>
      <c r="I115" s="140"/>
      <c r="J115" s="140"/>
      <c r="K115" s="140"/>
      <c r="L115" s="140"/>
      <c r="R115" s="140"/>
    </row>
    <row r="116" spans="2:18" ht="15" customHeight="1">
      <c r="B116" s="138"/>
      <c r="C116" s="138"/>
      <c r="D116" s="139"/>
      <c r="E116" s="140"/>
      <c r="F116" s="140"/>
      <c r="G116" s="140"/>
      <c r="H116" s="140"/>
      <c r="I116" s="140"/>
      <c r="J116" s="140"/>
      <c r="K116" s="140"/>
      <c r="L116" s="140"/>
      <c r="R116" s="140"/>
    </row>
    <row r="117" spans="2:18" ht="15" customHeight="1">
      <c r="B117" s="138"/>
      <c r="C117" s="138"/>
      <c r="D117" s="139"/>
      <c r="E117" s="140"/>
      <c r="F117" s="140"/>
      <c r="G117" s="140"/>
      <c r="H117" s="140"/>
      <c r="I117" s="140"/>
      <c r="J117" s="140"/>
      <c r="K117" s="140"/>
      <c r="L117" s="140"/>
      <c r="R117" s="140"/>
    </row>
    <row r="118" spans="2:18" ht="15" customHeight="1">
      <c r="B118" s="138"/>
      <c r="C118" s="138"/>
      <c r="D118" s="139"/>
      <c r="E118" s="140"/>
      <c r="F118" s="140"/>
      <c r="G118" s="140"/>
      <c r="H118" s="140"/>
      <c r="I118" s="140"/>
      <c r="J118" s="140"/>
      <c r="K118" s="140"/>
      <c r="L118" s="140"/>
      <c r="R118" s="140"/>
    </row>
    <row r="119" spans="2:18" ht="15" customHeight="1">
      <c r="B119" s="138"/>
      <c r="C119" s="138"/>
      <c r="D119" s="139"/>
      <c r="E119" s="140"/>
      <c r="F119" s="140"/>
      <c r="G119" s="140"/>
      <c r="H119" s="140"/>
      <c r="I119" s="140"/>
      <c r="J119" s="140"/>
      <c r="K119" s="140"/>
      <c r="L119" s="140"/>
      <c r="R119" s="140"/>
    </row>
    <row r="120" spans="2:18" ht="15" customHeight="1">
      <c r="B120" s="138"/>
      <c r="C120" s="138"/>
      <c r="D120" s="139"/>
      <c r="E120" s="140"/>
      <c r="F120" s="140"/>
      <c r="G120" s="140"/>
      <c r="H120" s="140"/>
      <c r="I120" s="140"/>
      <c r="J120" s="140"/>
      <c r="K120" s="140"/>
      <c r="L120" s="140"/>
      <c r="R120" s="140"/>
    </row>
    <row r="121" spans="2:18" ht="15" customHeight="1">
      <c r="B121" s="138"/>
      <c r="C121" s="138"/>
      <c r="D121" s="139"/>
      <c r="E121" s="140"/>
      <c r="F121" s="140"/>
      <c r="G121" s="140"/>
      <c r="H121" s="140"/>
      <c r="I121" s="140"/>
      <c r="J121" s="140"/>
      <c r="K121" s="140"/>
      <c r="L121" s="140"/>
      <c r="R121" s="140"/>
    </row>
    <row r="122" spans="2:18" ht="15" customHeight="1">
      <c r="B122" s="138"/>
      <c r="C122" s="138"/>
      <c r="D122" s="139"/>
      <c r="E122" s="140"/>
      <c r="F122" s="140"/>
      <c r="G122" s="140"/>
      <c r="H122" s="140"/>
      <c r="I122" s="140"/>
      <c r="J122" s="140"/>
      <c r="K122" s="140"/>
      <c r="L122" s="140"/>
      <c r="R122" s="140"/>
    </row>
    <row r="123" spans="2:18" ht="15" customHeight="1">
      <c r="B123" s="138"/>
      <c r="C123" s="138"/>
      <c r="D123" s="139"/>
      <c r="E123" s="140"/>
      <c r="F123" s="140"/>
      <c r="G123" s="140"/>
      <c r="H123" s="140"/>
      <c r="I123" s="140"/>
      <c r="J123" s="140"/>
      <c r="K123" s="140"/>
      <c r="L123" s="140"/>
      <c r="R123" s="140"/>
    </row>
    <row r="124" spans="2:18" ht="15" customHeight="1">
      <c r="B124" s="138"/>
      <c r="C124" s="138"/>
      <c r="D124" s="139"/>
      <c r="E124" s="140"/>
      <c r="F124" s="140"/>
      <c r="G124" s="140"/>
      <c r="H124" s="140"/>
      <c r="I124" s="140"/>
      <c r="J124" s="140"/>
      <c r="K124" s="140"/>
      <c r="L124" s="140"/>
      <c r="R124" s="140"/>
    </row>
    <row r="125" spans="2:18" ht="15" customHeight="1">
      <c r="B125" s="138"/>
      <c r="C125" s="138"/>
      <c r="D125" s="139"/>
      <c r="E125" s="140"/>
      <c r="F125" s="140"/>
      <c r="G125" s="140"/>
      <c r="H125" s="140"/>
      <c r="I125" s="140"/>
      <c r="J125" s="140"/>
      <c r="K125" s="140"/>
      <c r="L125" s="140"/>
      <c r="R125" s="140"/>
    </row>
    <row r="126" spans="2:18" ht="15" customHeight="1">
      <c r="B126" s="138"/>
      <c r="C126" s="138"/>
      <c r="D126" s="139"/>
      <c r="E126" s="140"/>
      <c r="F126" s="140"/>
      <c r="G126" s="140"/>
      <c r="H126" s="140"/>
      <c r="I126" s="140"/>
      <c r="J126" s="140"/>
      <c r="K126" s="140"/>
      <c r="L126" s="140"/>
      <c r="R126" s="140"/>
    </row>
    <row r="127" spans="2:18" ht="15" customHeight="1">
      <c r="B127" s="138"/>
      <c r="C127" s="138"/>
      <c r="D127" s="139"/>
      <c r="E127" s="140"/>
      <c r="F127" s="140"/>
      <c r="G127" s="140"/>
      <c r="H127" s="140"/>
      <c r="I127" s="140"/>
      <c r="J127" s="140"/>
      <c r="K127" s="140"/>
      <c r="L127" s="140"/>
      <c r="R127" s="140"/>
    </row>
    <row r="128" spans="2:18" ht="15" customHeight="1">
      <c r="B128" s="138"/>
      <c r="C128" s="138"/>
      <c r="D128" s="139"/>
      <c r="E128" s="140"/>
      <c r="F128" s="140"/>
      <c r="G128" s="140"/>
      <c r="H128" s="140"/>
      <c r="I128" s="140"/>
      <c r="J128" s="140"/>
      <c r="K128" s="140"/>
      <c r="L128" s="140"/>
      <c r="R128" s="140"/>
    </row>
    <row r="129" spans="2:18" ht="15" customHeight="1">
      <c r="B129" s="138"/>
      <c r="C129" s="138"/>
      <c r="D129" s="139"/>
      <c r="E129" s="140"/>
      <c r="F129" s="140"/>
      <c r="G129" s="140"/>
      <c r="H129" s="140"/>
      <c r="I129" s="140"/>
      <c r="J129" s="140"/>
      <c r="K129" s="140"/>
      <c r="L129" s="140"/>
      <c r="R129" s="140"/>
    </row>
    <row r="130" spans="2:18" ht="15" customHeight="1">
      <c r="B130" s="138"/>
      <c r="C130" s="138"/>
      <c r="D130" s="139"/>
      <c r="E130" s="140"/>
      <c r="F130" s="140"/>
      <c r="G130" s="140"/>
      <c r="H130" s="140"/>
      <c r="I130" s="140"/>
      <c r="J130" s="140"/>
      <c r="K130" s="140"/>
      <c r="L130" s="140"/>
      <c r="R130" s="140"/>
    </row>
    <row r="131" spans="2:18" ht="15" customHeight="1">
      <c r="B131" s="138"/>
      <c r="C131" s="138"/>
      <c r="D131" s="139"/>
      <c r="E131" s="140"/>
      <c r="F131" s="140"/>
      <c r="G131" s="140"/>
      <c r="H131" s="140"/>
      <c r="I131" s="140"/>
      <c r="J131" s="140"/>
      <c r="K131" s="140"/>
      <c r="L131" s="140"/>
      <c r="R131" s="140"/>
    </row>
    <row r="132" spans="2:18" ht="15" customHeight="1">
      <c r="B132" s="138"/>
      <c r="C132" s="138"/>
      <c r="D132" s="139"/>
      <c r="E132" s="140"/>
      <c r="F132" s="140"/>
      <c r="G132" s="140"/>
      <c r="H132" s="140"/>
      <c r="I132" s="140"/>
      <c r="J132" s="140"/>
      <c r="K132" s="140"/>
      <c r="L132" s="140"/>
      <c r="R132" s="140"/>
    </row>
    <row r="133" spans="2:18" ht="15" customHeight="1">
      <c r="B133" s="138"/>
      <c r="C133" s="138"/>
      <c r="D133" s="139"/>
      <c r="E133" s="140"/>
      <c r="F133" s="140"/>
      <c r="G133" s="140"/>
      <c r="H133" s="140"/>
      <c r="I133" s="140"/>
      <c r="J133" s="140"/>
      <c r="K133" s="140"/>
      <c r="L133" s="140"/>
      <c r="R133" s="140"/>
    </row>
    <row r="134" spans="2:18" ht="15" customHeight="1">
      <c r="B134" s="138"/>
      <c r="C134" s="138"/>
      <c r="D134" s="139"/>
      <c r="E134" s="140"/>
      <c r="F134" s="140"/>
      <c r="G134" s="140"/>
      <c r="H134" s="140"/>
      <c r="I134" s="140"/>
      <c r="J134" s="140"/>
      <c r="K134" s="140"/>
      <c r="L134" s="140"/>
      <c r="R134" s="140"/>
    </row>
    <row r="135" spans="2:18" ht="15" customHeight="1">
      <c r="B135" s="138"/>
      <c r="C135" s="138"/>
      <c r="D135" s="139"/>
      <c r="E135" s="140"/>
      <c r="F135" s="140"/>
      <c r="G135" s="140"/>
      <c r="H135" s="140"/>
      <c r="I135" s="140"/>
      <c r="J135" s="140"/>
      <c r="K135" s="140"/>
      <c r="L135" s="140"/>
      <c r="R135" s="140"/>
    </row>
    <row r="136" spans="2:18" ht="15" customHeight="1">
      <c r="B136" s="138"/>
      <c r="C136" s="138"/>
      <c r="D136" s="139"/>
      <c r="E136" s="140"/>
      <c r="F136" s="140"/>
      <c r="G136" s="140"/>
      <c r="H136" s="140"/>
      <c r="I136" s="140"/>
      <c r="J136" s="140"/>
      <c r="K136" s="140"/>
      <c r="L136" s="140"/>
      <c r="R136" s="140"/>
    </row>
    <row r="137" spans="2:18" ht="15" customHeight="1">
      <c r="B137" s="138"/>
      <c r="C137" s="138"/>
      <c r="D137" s="139"/>
      <c r="E137" s="140"/>
      <c r="F137" s="140"/>
      <c r="G137" s="140"/>
      <c r="H137" s="140"/>
      <c r="I137" s="140"/>
      <c r="J137" s="140"/>
      <c r="K137" s="140"/>
      <c r="L137" s="140"/>
      <c r="R137" s="140"/>
    </row>
    <row r="138" spans="2:18" ht="15" customHeight="1">
      <c r="B138" s="138"/>
      <c r="C138" s="138"/>
      <c r="D138" s="139"/>
      <c r="E138" s="140"/>
      <c r="F138" s="140"/>
      <c r="G138" s="140"/>
      <c r="H138" s="140"/>
      <c r="I138" s="140"/>
      <c r="J138" s="140"/>
      <c r="K138" s="140"/>
      <c r="L138" s="140"/>
      <c r="R138" s="140"/>
    </row>
    <row r="139" spans="2:18" ht="15" customHeight="1">
      <c r="B139" s="138"/>
      <c r="C139" s="138"/>
      <c r="D139" s="139"/>
      <c r="E139" s="140"/>
      <c r="F139" s="140"/>
      <c r="G139" s="140"/>
      <c r="H139" s="140"/>
      <c r="I139" s="140"/>
      <c r="J139" s="140"/>
      <c r="K139" s="140"/>
      <c r="L139" s="140"/>
      <c r="R139" s="140"/>
    </row>
    <row r="140" spans="2:18" ht="15" customHeight="1">
      <c r="B140" s="138"/>
      <c r="C140" s="138"/>
      <c r="D140" s="139"/>
      <c r="E140" s="140"/>
      <c r="F140" s="140"/>
      <c r="G140" s="140"/>
      <c r="H140" s="140"/>
      <c r="I140" s="140"/>
      <c r="J140" s="140"/>
      <c r="K140" s="140"/>
      <c r="L140" s="140"/>
      <c r="R140" s="140"/>
    </row>
    <row r="141" spans="2:18" ht="15" customHeight="1">
      <c r="B141" s="138"/>
      <c r="C141" s="138"/>
      <c r="D141" s="139"/>
      <c r="E141" s="140"/>
      <c r="F141" s="140"/>
      <c r="G141" s="140"/>
      <c r="H141" s="140"/>
      <c r="I141" s="140"/>
      <c r="J141" s="140"/>
      <c r="K141" s="140"/>
      <c r="L141" s="140"/>
      <c r="R141" s="140"/>
    </row>
    <row r="142" spans="2:18" ht="15" customHeight="1">
      <c r="B142" s="138"/>
      <c r="C142" s="138"/>
      <c r="D142" s="139"/>
      <c r="E142" s="140"/>
      <c r="F142" s="140"/>
      <c r="G142" s="140"/>
      <c r="H142" s="140"/>
      <c r="I142" s="140"/>
      <c r="J142" s="140"/>
      <c r="K142" s="140"/>
      <c r="L142" s="140"/>
      <c r="R142" s="140"/>
    </row>
    <row r="143" spans="2:18" ht="15" customHeight="1">
      <c r="B143" s="138"/>
      <c r="C143" s="138"/>
      <c r="D143" s="139"/>
      <c r="E143" s="140"/>
      <c r="F143" s="140"/>
      <c r="G143" s="140"/>
      <c r="H143" s="140"/>
      <c r="I143" s="140"/>
      <c r="J143" s="140"/>
      <c r="K143" s="140"/>
      <c r="L143" s="140"/>
      <c r="R143" s="140"/>
    </row>
    <row r="144" spans="2:18" ht="15" customHeight="1">
      <c r="B144" s="138"/>
      <c r="C144" s="138"/>
      <c r="D144" s="139"/>
      <c r="E144" s="140"/>
      <c r="F144" s="140"/>
      <c r="G144" s="140"/>
      <c r="H144" s="140"/>
      <c r="I144" s="140"/>
      <c r="J144" s="140"/>
      <c r="K144" s="140"/>
      <c r="L144" s="140"/>
      <c r="R144" s="140"/>
    </row>
    <row r="145" spans="2:18" ht="15" customHeight="1">
      <c r="B145" s="138"/>
      <c r="C145" s="138"/>
      <c r="D145" s="139"/>
      <c r="E145" s="140"/>
      <c r="F145" s="140"/>
      <c r="G145" s="140"/>
      <c r="H145" s="140"/>
      <c r="I145" s="140"/>
      <c r="J145" s="140"/>
      <c r="K145" s="140"/>
      <c r="L145" s="140"/>
      <c r="R145" s="140"/>
    </row>
    <row r="146" spans="2:18" ht="15" customHeight="1">
      <c r="B146" s="138"/>
      <c r="C146" s="138"/>
      <c r="D146" s="139"/>
      <c r="E146" s="140"/>
      <c r="F146" s="140"/>
      <c r="G146" s="140"/>
      <c r="H146" s="140"/>
      <c r="I146" s="140"/>
      <c r="J146" s="140"/>
      <c r="K146" s="140"/>
      <c r="L146" s="140"/>
      <c r="R146" s="140"/>
    </row>
    <row r="147" spans="2:18" ht="15" customHeight="1">
      <c r="B147" s="138"/>
      <c r="C147" s="138"/>
      <c r="D147" s="139"/>
      <c r="E147" s="140"/>
      <c r="F147" s="140"/>
      <c r="G147" s="140"/>
      <c r="H147" s="140"/>
      <c r="I147" s="140"/>
      <c r="J147" s="140"/>
      <c r="K147" s="140"/>
      <c r="L147" s="140"/>
      <c r="R147" s="140"/>
    </row>
    <row r="148" spans="2:18" ht="15" customHeight="1">
      <c r="B148" s="138"/>
      <c r="C148" s="138"/>
      <c r="D148" s="139"/>
      <c r="E148" s="140"/>
      <c r="F148" s="140"/>
      <c r="G148" s="140"/>
      <c r="H148" s="140"/>
      <c r="I148" s="140"/>
      <c r="J148" s="140"/>
      <c r="K148" s="140"/>
      <c r="L148" s="140"/>
      <c r="R148" s="140"/>
    </row>
    <row r="149" spans="2:18" ht="15" customHeight="1">
      <c r="B149" s="138"/>
      <c r="C149" s="138"/>
      <c r="D149" s="139"/>
      <c r="E149" s="140"/>
      <c r="F149" s="140"/>
      <c r="G149" s="140"/>
      <c r="H149" s="140"/>
      <c r="I149" s="140"/>
      <c r="J149" s="140"/>
      <c r="K149" s="140"/>
      <c r="L149" s="140"/>
      <c r="R149" s="140"/>
    </row>
    <row r="150" spans="2:18" ht="15" customHeight="1">
      <c r="B150" s="138"/>
      <c r="C150" s="138"/>
      <c r="D150" s="139"/>
      <c r="E150" s="140"/>
      <c r="F150" s="140"/>
      <c r="G150" s="140"/>
      <c r="H150" s="140"/>
      <c r="I150" s="140"/>
      <c r="J150" s="140"/>
      <c r="K150" s="140"/>
      <c r="L150" s="140"/>
      <c r="R150" s="140"/>
    </row>
    <row r="151" spans="2:18" ht="15" customHeight="1">
      <c r="B151" s="138"/>
      <c r="C151" s="138"/>
      <c r="D151" s="139"/>
      <c r="E151" s="140"/>
      <c r="F151" s="140"/>
      <c r="G151" s="140"/>
      <c r="H151" s="140"/>
      <c r="I151" s="140"/>
      <c r="J151" s="140"/>
      <c r="K151" s="140"/>
      <c r="L151" s="140"/>
      <c r="R151" s="140"/>
    </row>
    <row r="152" spans="2:18" ht="15" customHeight="1">
      <c r="B152" s="138"/>
      <c r="C152" s="138"/>
      <c r="D152" s="139"/>
      <c r="E152" s="140"/>
      <c r="F152" s="140"/>
      <c r="G152" s="140"/>
      <c r="H152" s="140"/>
      <c r="I152" s="140"/>
      <c r="J152" s="140"/>
      <c r="K152" s="140"/>
      <c r="L152" s="140"/>
      <c r="R152" s="140"/>
    </row>
    <row r="153" spans="2:18" ht="15" customHeight="1">
      <c r="B153" s="138"/>
      <c r="C153" s="138"/>
      <c r="D153" s="139"/>
      <c r="E153" s="140"/>
      <c r="F153" s="140"/>
      <c r="G153" s="140"/>
      <c r="H153" s="140"/>
      <c r="I153" s="140"/>
      <c r="J153" s="140"/>
      <c r="K153" s="140"/>
      <c r="L153" s="140"/>
      <c r="R153" s="140"/>
    </row>
    <row r="154" spans="2:18" ht="15" customHeight="1">
      <c r="B154" s="138"/>
      <c r="C154" s="138"/>
      <c r="D154" s="139"/>
      <c r="E154" s="140"/>
      <c r="F154" s="140"/>
      <c r="G154" s="140"/>
      <c r="H154" s="140"/>
      <c r="I154" s="140"/>
      <c r="J154" s="140"/>
      <c r="K154" s="140"/>
      <c r="L154" s="140"/>
      <c r="R154" s="140"/>
    </row>
    <row r="155" spans="2:18" ht="15" customHeight="1">
      <c r="B155" s="138"/>
      <c r="C155" s="138"/>
      <c r="D155" s="139"/>
      <c r="E155" s="140"/>
      <c r="F155" s="140"/>
      <c r="G155" s="140"/>
      <c r="H155" s="140"/>
      <c r="I155" s="140"/>
      <c r="J155" s="140"/>
      <c r="K155" s="140"/>
      <c r="L155" s="140"/>
      <c r="R155" s="140"/>
    </row>
    <row r="156" spans="2:18" ht="15" customHeight="1">
      <c r="B156" s="138"/>
      <c r="C156" s="138"/>
      <c r="D156" s="139"/>
      <c r="E156" s="140"/>
      <c r="F156" s="140"/>
      <c r="G156" s="140"/>
      <c r="H156" s="140"/>
      <c r="I156" s="140"/>
      <c r="J156" s="140"/>
      <c r="K156" s="140"/>
      <c r="L156" s="140"/>
      <c r="R156" s="140"/>
    </row>
    <row r="157" spans="2:18" ht="15" customHeight="1">
      <c r="B157" s="138"/>
      <c r="C157" s="138"/>
      <c r="D157" s="139"/>
      <c r="E157" s="140"/>
      <c r="F157" s="140"/>
      <c r="G157" s="140"/>
      <c r="H157" s="140"/>
      <c r="I157" s="140"/>
      <c r="J157" s="140"/>
      <c r="K157" s="140"/>
      <c r="L157" s="140"/>
      <c r="R157" s="140"/>
    </row>
    <row r="158" spans="2:18" ht="15" customHeight="1">
      <c r="B158" s="138"/>
      <c r="C158" s="138"/>
      <c r="D158" s="139"/>
      <c r="E158" s="140"/>
      <c r="F158" s="140"/>
      <c r="G158" s="140"/>
      <c r="H158" s="140"/>
      <c r="I158" s="140"/>
      <c r="J158" s="140"/>
      <c r="K158" s="140"/>
      <c r="L158" s="140"/>
      <c r="R158" s="140"/>
    </row>
    <row r="159" spans="2:18" ht="15" customHeight="1">
      <c r="B159" s="138"/>
      <c r="C159" s="138"/>
      <c r="D159" s="139"/>
      <c r="E159" s="140"/>
      <c r="F159" s="140"/>
      <c r="G159" s="140"/>
      <c r="H159" s="140"/>
      <c r="I159" s="140"/>
      <c r="J159" s="140"/>
      <c r="K159" s="140"/>
      <c r="L159" s="140"/>
      <c r="R159" s="140"/>
    </row>
    <row r="160" spans="2:18" ht="15" customHeight="1">
      <c r="B160" s="138"/>
      <c r="C160" s="138"/>
      <c r="D160" s="139"/>
      <c r="E160" s="140"/>
      <c r="F160" s="140"/>
      <c r="G160" s="140"/>
      <c r="H160" s="140"/>
      <c r="I160" s="140"/>
      <c r="J160" s="140"/>
      <c r="K160" s="140"/>
      <c r="L160" s="140"/>
      <c r="R160" s="140"/>
    </row>
    <row r="161" spans="2:18" ht="15" customHeight="1">
      <c r="B161" s="138"/>
      <c r="C161" s="138"/>
      <c r="D161" s="139"/>
      <c r="E161" s="140"/>
      <c r="F161" s="140"/>
      <c r="G161" s="140"/>
      <c r="H161" s="140"/>
      <c r="I161" s="140"/>
      <c r="J161" s="140"/>
      <c r="K161" s="140"/>
      <c r="L161" s="140"/>
      <c r="R161" s="140"/>
    </row>
    <row r="162" spans="2:18" ht="15" customHeight="1">
      <c r="B162" s="138"/>
      <c r="C162" s="138"/>
      <c r="D162" s="139"/>
      <c r="E162" s="140"/>
      <c r="F162" s="140"/>
      <c r="G162" s="140"/>
      <c r="H162" s="140"/>
      <c r="I162" s="140"/>
      <c r="J162" s="140"/>
      <c r="K162" s="140"/>
      <c r="L162" s="140"/>
      <c r="R162" s="140"/>
    </row>
    <row r="163" spans="2:18" ht="15" customHeight="1">
      <c r="B163" s="138"/>
      <c r="C163" s="138"/>
      <c r="D163" s="139"/>
      <c r="E163" s="140"/>
      <c r="F163" s="140"/>
      <c r="G163" s="140"/>
      <c r="H163" s="140"/>
      <c r="I163" s="140"/>
      <c r="J163" s="140"/>
      <c r="K163" s="140"/>
      <c r="L163" s="140"/>
      <c r="R163" s="140"/>
    </row>
    <row r="164" spans="2:18" ht="15" customHeight="1">
      <c r="B164" s="138"/>
      <c r="C164" s="138"/>
      <c r="D164" s="139"/>
      <c r="E164" s="140"/>
      <c r="F164" s="140"/>
      <c r="G164" s="140"/>
      <c r="H164" s="140"/>
      <c r="I164" s="140"/>
      <c r="J164" s="140"/>
      <c r="K164" s="140"/>
      <c r="L164" s="140"/>
      <c r="R164" s="140"/>
    </row>
    <row r="165" spans="2:18" ht="15" customHeight="1">
      <c r="B165" s="138"/>
      <c r="C165" s="138"/>
      <c r="D165" s="139"/>
      <c r="E165" s="140"/>
      <c r="F165" s="140"/>
      <c r="G165" s="140"/>
      <c r="H165" s="140"/>
      <c r="I165" s="140"/>
      <c r="J165" s="140"/>
      <c r="K165" s="140"/>
      <c r="L165" s="140"/>
      <c r="R165" s="140"/>
    </row>
    <row r="166" spans="2:18" ht="15" customHeight="1">
      <c r="B166" s="138"/>
      <c r="C166" s="138"/>
      <c r="D166" s="139"/>
      <c r="E166" s="140"/>
      <c r="F166" s="140"/>
      <c r="G166" s="140"/>
      <c r="H166" s="140"/>
      <c r="I166" s="140"/>
      <c r="J166" s="140"/>
      <c r="K166" s="140"/>
      <c r="L166" s="140"/>
      <c r="R166" s="140"/>
    </row>
    <row r="167" spans="2:18" ht="15" customHeight="1">
      <c r="B167" s="138"/>
      <c r="C167" s="138"/>
      <c r="D167" s="139"/>
      <c r="E167" s="140"/>
      <c r="F167" s="140"/>
      <c r="G167" s="140"/>
      <c r="H167" s="140"/>
      <c r="I167" s="140"/>
      <c r="J167" s="140"/>
      <c r="K167" s="140"/>
      <c r="L167" s="140"/>
      <c r="R167" s="140"/>
    </row>
    <row r="168" spans="2:18" ht="15" customHeight="1">
      <c r="B168" s="138"/>
      <c r="C168" s="138"/>
      <c r="D168" s="139"/>
      <c r="E168" s="140"/>
      <c r="F168" s="140"/>
      <c r="G168" s="140"/>
      <c r="H168" s="140"/>
      <c r="I168" s="140"/>
      <c r="J168" s="140"/>
      <c r="K168" s="140"/>
      <c r="L168" s="140"/>
      <c r="R168" s="140"/>
    </row>
    <row r="169" spans="2:18" ht="15" customHeight="1">
      <c r="B169" s="138"/>
      <c r="C169" s="138"/>
      <c r="D169" s="139"/>
      <c r="E169" s="140"/>
      <c r="F169" s="140"/>
      <c r="G169" s="140"/>
      <c r="H169" s="140"/>
      <c r="I169" s="140"/>
      <c r="J169" s="140"/>
      <c r="K169" s="140"/>
      <c r="L169" s="140"/>
      <c r="R169" s="140"/>
    </row>
    <row r="170" spans="2:18" ht="15" customHeight="1">
      <c r="B170" s="138"/>
      <c r="C170" s="138"/>
      <c r="D170" s="139"/>
      <c r="E170" s="140"/>
      <c r="F170" s="140"/>
      <c r="G170" s="140"/>
      <c r="H170" s="140"/>
      <c r="I170" s="140"/>
      <c r="J170" s="140"/>
      <c r="K170" s="140"/>
      <c r="L170" s="140"/>
      <c r="R170" s="140"/>
    </row>
    <row r="171" spans="2:18" ht="15" customHeight="1">
      <c r="B171" s="138"/>
      <c r="C171" s="138"/>
      <c r="D171" s="139"/>
      <c r="E171" s="140"/>
      <c r="F171" s="140"/>
      <c r="G171" s="140"/>
      <c r="H171" s="140"/>
      <c r="I171" s="140"/>
      <c r="J171" s="140"/>
      <c r="K171" s="140"/>
      <c r="L171" s="140"/>
      <c r="R171" s="140"/>
    </row>
    <row r="172" spans="2:18" ht="15" customHeight="1">
      <c r="B172" s="138"/>
      <c r="C172" s="138"/>
      <c r="D172" s="139"/>
      <c r="E172" s="140"/>
      <c r="F172" s="140"/>
      <c r="G172" s="140"/>
      <c r="H172" s="140"/>
      <c r="I172" s="140"/>
      <c r="J172" s="140"/>
      <c r="K172" s="140"/>
      <c r="L172" s="140"/>
      <c r="R172" s="140"/>
    </row>
    <row r="173" spans="2:18" ht="15" customHeight="1">
      <c r="B173" s="138"/>
      <c r="C173" s="138"/>
      <c r="D173" s="139"/>
      <c r="E173" s="140"/>
      <c r="F173" s="140"/>
      <c r="G173" s="140"/>
      <c r="H173" s="140"/>
      <c r="I173" s="140"/>
      <c r="J173" s="140"/>
      <c r="K173" s="140"/>
      <c r="L173" s="140"/>
      <c r="R173" s="140"/>
    </row>
  </sheetData>
  <mergeCells count="6">
    <mergeCell ref="K1:M1"/>
    <mergeCell ref="L7:M7"/>
    <mergeCell ref="E10:J10"/>
    <mergeCell ref="L10:Q10"/>
    <mergeCell ref="E11:J11"/>
    <mergeCell ref="L11:Q11"/>
  </mergeCells>
  <printOptions horizontalCentered="1"/>
  <pageMargins left="0.39370078740157483" right="0.39370078740157483" top="0.51181102362204722" bottom="0.39370078740157483" header="0.31496062992125984" footer="0.31496062992125984"/>
  <pageSetup paperSize="9" scale="75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R173"/>
  <sheetViews>
    <sheetView tabSelected="1" view="pageBreakPreview" zoomScale="95" zoomScaleNormal="84" zoomScaleSheetLayoutView="95" workbookViewId="0">
      <selection activeCell="M12" sqref="M12"/>
    </sheetView>
  </sheetViews>
  <sheetFormatPr defaultColWidth="7.140625" defaultRowHeight="13.5"/>
  <cols>
    <col min="1" max="1" width="1.7109375" style="116" customWidth="1"/>
    <col min="2" max="2" width="12.42578125" style="116" customWidth="1"/>
    <col min="3" max="3" width="7.28515625" style="116" customWidth="1"/>
    <col min="4" max="4" width="10.7109375" style="116" customWidth="1"/>
    <col min="5" max="10" width="7.5703125" style="116" customWidth="1"/>
    <col min="11" max="11" width="1.5703125" style="116" customWidth="1"/>
    <col min="12" max="16" width="7.5703125" style="116" customWidth="1"/>
    <col min="17" max="17" width="7.5703125" style="177" customWidth="1"/>
    <col min="18" max="18" width="1.7109375" style="116" customWidth="1"/>
    <col min="19" max="16384" width="7.140625" style="116"/>
  </cols>
  <sheetData>
    <row r="1" spans="1:18" s="1" customFormat="1" ht="15" customHeight="1">
      <c r="B1" s="2"/>
      <c r="C1" s="2"/>
      <c r="D1" s="3"/>
      <c r="E1" s="201"/>
      <c r="F1" s="201"/>
      <c r="G1" s="201"/>
      <c r="H1" s="201"/>
      <c r="I1" s="201"/>
      <c r="J1" s="201"/>
      <c r="K1" s="297"/>
      <c r="L1" s="297"/>
      <c r="M1" s="297"/>
    </row>
    <row r="2" spans="1:18" s="1" customFormat="1">
      <c r="B2" s="2"/>
      <c r="C2" s="2"/>
      <c r="D2" s="3"/>
      <c r="E2" s="201"/>
      <c r="F2" s="201"/>
      <c r="G2" s="201"/>
      <c r="H2" s="201"/>
      <c r="I2" s="201"/>
      <c r="J2" s="201"/>
      <c r="K2" s="201"/>
      <c r="L2" s="201"/>
      <c r="R2" s="4" t="s">
        <v>7</v>
      </c>
    </row>
    <row r="3" spans="1:18" s="1" customFormat="1">
      <c r="B3" s="2"/>
      <c r="C3" s="2"/>
      <c r="D3" s="3"/>
      <c r="E3" s="201"/>
      <c r="F3" s="201"/>
      <c r="G3" s="201"/>
      <c r="H3" s="201"/>
      <c r="I3" s="201"/>
      <c r="J3" s="201"/>
      <c r="K3" s="201"/>
      <c r="L3" s="201"/>
      <c r="R3" s="5" t="s">
        <v>55</v>
      </c>
    </row>
    <row r="4" spans="1:18" s="1" customFormat="1">
      <c r="B4" s="7"/>
      <c r="C4" s="7"/>
      <c r="D4" s="3"/>
    </row>
    <row r="5" spans="1:18" ht="15" customHeight="1">
      <c r="B5" s="8" t="s">
        <v>120</v>
      </c>
      <c r="C5" s="9" t="s">
        <v>144</v>
      </c>
      <c r="D5" s="117"/>
      <c r="E5" s="118"/>
      <c r="F5" s="118"/>
      <c r="G5" s="118"/>
      <c r="H5" s="118"/>
      <c r="I5" s="118"/>
      <c r="J5" s="118"/>
      <c r="K5" s="118"/>
      <c r="L5" s="118"/>
      <c r="R5" s="118"/>
    </row>
    <row r="6" spans="1:18" ht="15" customHeight="1">
      <c r="B6" s="12" t="s">
        <v>121</v>
      </c>
      <c r="C6" s="13" t="s">
        <v>145</v>
      </c>
      <c r="D6" s="114"/>
      <c r="E6" s="115"/>
      <c r="F6" s="115"/>
      <c r="G6" s="115"/>
      <c r="H6" s="115"/>
      <c r="I6" s="115"/>
      <c r="J6" s="115"/>
      <c r="K6" s="115"/>
      <c r="L6" s="115"/>
      <c r="R6" s="115"/>
    </row>
    <row r="7" spans="1:18" ht="8.1" customHeight="1">
      <c r="B7" s="112"/>
      <c r="C7" s="113"/>
      <c r="D7" s="114"/>
      <c r="E7" s="115"/>
      <c r="F7" s="115"/>
      <c r="G7" s="115"/>
      <c r="H7" s="115"/>
      <c r="I7" s="115"/>
      <c r="J7" s="115"/>
      <c r="K7" s="115"/>
      <c r="L7" s="298"/>
      <c r="M7" s="298"/>
      <c r="R7" s="115"/>
    </row>
    <row r="8" spans="1:18" ht="15.95" customHeight="1" thickBot="1">
      <c r="B8" s="116" t="s">
        <v>122</v>
      </c>
      <c r="D8" s="117"/>
      <c r="E8" s="118"/>
      <c r="F8" s="118"/>
      <c r="G8" s="118"/>
      <c r="H8" s="118"/>
      <c r="I8" s="118"/>
      <c r="J8" s="118"/>
      <c r="K8" s="118"/>
      <c r="L8" s="118"/>
      <c r="N8" s="118"/>
      <c r="O8" s="118"/>
      <c r="P8" s="118"/>
      <c r="Q8" s="116"/>
      <c r="R8" s="118"/>
    </row>
    <row r="9" spans="1:18" ht="8.1" customHeight="1" thickTop="1">
      <c r="A9" s="119"/>
      <c r="B9" s="120"/>
      <c r="C9" s="121"/>
      <c r="D9" s="122"/>
      <c r="E9" s="123"/>
      <c r="F9" s="123"/>
      <c r="G9" s="123"/>
      <c r="H9" s="123"/>
      <c r="I9" s="123"/>
      <c r="J9" s="123"/>
      <c r="K9" s="123"/>
      <c r="L9" s="123"/>
      <c r="M9" s="119"/>
      <c r="N9" s="123"/>
      <c r="O9" s="123"/>
      <c r="P9" s="123"/>
      <c r="Q9" s="119"/>
      <c r="R9" s="123"/>
    </row>
    <row r="10" spans="1:18" ht="15" customHeight="1">
      <c r="A10" s="124"/>
      <c r="B10" s="125" t="s">
        <v>90</v>
      </c>
      <c r="C10" s="126"/>
      <c r="D10" s="127" t="s">
        <v>91</v>
      </c>
      <c r="E10" s="301" t="s">
        <v>127</v>
      </c>
      <c r="F10" s="301"/>
      <c r="G10" s="301"/>
      <c r="H10" s="301"/>
      <c r="I10" s="301"/>
      <c r="J10" s="301"/>
      <c r="K10" s="127"/>
      <c r="L10" s="301" t="s">
        <v>128</v>
      </c>
      <c r="M10" s="301"/>
      <c r="N10" s="301"/>
      <c r="O10" s="301"/>
      <c r="P10" s="301"/>
      <c r="Q10" s="301"/>
      <c r="R10" s="127"/>
    </row>
    <row r="11" spans="1:18" ht="15" customHeight="1">
      <c r="A11" s="124"/>
      <c r="B11" s="129" t="s">
        <v>92</v>
      </c>
      <c r="C11" s="126"/>
      <c r="D11" s="130" t="s">
        <v>93</v>
      </c>
      <c r="E11" s="294" t="s">
        <v>136</v>
      </c>
      <c r="F11" s="294"/>
      <c r="G11" s="294"/>
      <c r="H11" s="294"/>
      <c r="I11" s="294"/>
      <c r="J11" s="294"/>
      <c r="K11" s="128"/>
      <c r="L11" s="296" t="s">
        <v>137</v>
      </c>
      <c r="M11" s="296"/>
      <c r="N11" s="296"/>
      <c r="O11" s="296"/>
      <c r="P11" s="296"/>
      <c r="Q11" s="296"/>
      <c r="R11" s="128"/>
    </row>
    <row r="12" spans="1:18" ht="15" customHeight="1">
      <c r="A12" s="124"/>
      <c r="B12" s="125"/>
      <c r="C12" s="126"/>
      <c r="D12" s="127"/>
      <c r="E12" s="172"/>
      <c r="F12" s="172"/>
      <c r="G12" s="192"/>
      <c r="H12" s="192"/>
      <c r="I12" s="192"/>
      <c r="J12" s="192"/>
      <c r="K12" s="192"/>
      <c r="L12" s="192"/>
      <c r="M12" s="192"/>
      <c r="N12" s="192"/>
      <c r="O12" s="192"/>
      <c r="P12" s="192"/>
      <c r="Q12" s="192"/>
      <c r="R12" s="192"/>
    </row>
    <row r="13" spans="1:18" ht="15" customHeight="1">
      <c r="A13" s="124"/>
      <c r="B13" s="125"/>
      <c r="C13" s="126"/>
      <c r="D13" s="127"/>
      <c r="E13" s="278" t="s">
        <v>112</v>
      </c>
      <c r="F13" s="278" t="s">
        <v>113</v>
      </c>
      <c r="G13" s="278" t="s">
        <v>114</v>
      </c>
      <c r="H13" s="278" t="s">
        <v>115</v>
      </c>
      <c r="I13" s="278" t="s">
        <v>116</v>
      </c>
      <c r="J13" s="278" t="s">
        <v>132</v>
      </c>
      <c r="K13" s="278"/>
      <c r="L13" s="278" t="s">
        <v>112</v>
      </c>
      <c r="M13" s="278" t="s">
        <v>113</v>
      </c>
      <c r="N13" s="278" t="s">
        <v>114</v>
      </c>
      <c r="O13" s="278" t="s">
        <v>115</v>
      </c>
      <c r="P13" s="278" t="s">
        <v>116</v>
      </c>
      <c r="Q13" s="278" t="s">
        <v>132</v>
      </c>
      <c r="R13" s="230"/>
    </row>
    <row r="14" spans="1:18" ht="8.1" customHeight="1">
      <c r="A14" s="135"/>
      <c r="B14" s="136"/>
      <c r="C14" s="135"/>
      <c r="D14" s="135"/>
      <c r="E14" s="137"/>
      <c r="F14" s="137"/>
      <c r="G14" s="137"/>
      <c r="H14" s="137"/>
      <c r="I14" s="137"/>
      <c r="J14" s="137"/>
      <c r="K14" s="137"/>
      <c r="L14" s="137"/>
      <c r="M14" s="135"/>
      <c r="N14" s="135"/>
      <c r="O14" s="224"/>
      <c r="P14" s="224"/>
      <c r="Q14" s="224"/>
      <c r="R14" s="137"/>
    </row>
    <row r="15" spans="1:18" ht="8.1" customHeight="1">
      <c r="A15" s="138"/>
      <c r="B15" s="138"/>
      <c r="C15" s="138"/>
      <c r="D15" s="146"/>
      <c r="E15" s="140"/>
      <c r="F15" s="140"/>
      <c r="G15" s="140"/>
      <c r="H15" s="141"/>
      <c r="I15" s="142"/>
      <c r="J15" s="142"/>
      <c r="K15" s="142"/>
      <c r="L15" s="143"/>
      <c r="M15" s="142"/>
      <c r="N15" s="142"/>
      <c r="R15" s="142"/>
    </row>
    <row r="16" spans="1:18" ht="15" customHeight="1">
      <c r="B16" s="144" t="s">
        <v>107</v>
      </c>
      <c r="C16" s="145"/>
      <c r="D16" s="147">
        <v>2021</v>
      </c>
      <c r="E16" s="211">
        <f>SUM(E20,E24,E28,E32,E36,E40,E44,E48,E52,E56,E60,E64,E68,E72)</f>
        <v>156</v>
      </c>
      <c r="F16" s="211">
        <f t="shared" ref="F16:Q18" si="0">SUM(F20,F24,F28,F32,F36,F40,F44,F48,F52,F56,F60,F64,F68,F72)</f>
        <v>881</v>
      </c>
      <c r="G16" s="211">
        <f t="shared" si="0"/>
        <v>636</v>
      </c>
      <c r="H16" s="211">
        <f t="shared" si="0"/>
        <v>284</v>
      </c>
      <c r="I16" s="211">
        <f t="shared" si="0"/>
        <v>109</v>
      </c>
      <c r="J16" s="211">
        <f t="shared" si="0"/>
        <v>33</v>
      </c>
      <c r="K16" s="211"/>
      <c r="L16" s="211">
        <f t="shared" si="0"/>
        <v>63</v>
      </c>
      <c r="M16" s="211">
        <f t="shared" si="0"/>
        <v>387</v>
      </c>
      <c r="N16" s="211">
        <f t="shared" si="0"/>
        <v>391</v>
      </c>
      <c r="O16" s="211">
        <f t="shared" si="0"/>
        <v>263</v>
      </c>
      <c r="P16" s="211">
        <f t="shared" si="0"/>
        <v>163</v>
      </c>
      <c r="Q16" s="211">
        <f t="shared" si="0"/>
        <v>45</v>
      </c>
      <c r="R16" s="211"/>
    </row>
    <row r="17" spans="2:18" ht="15" customHeight="1">
      <c r="B17" s="145"/>
      <c r="C17" s="145"/>
      <c r="D17" s="146">
        <v>2022</v>
      </c>
      <c r="E17" s="211">
        <f t="shared" ref="E17:E18" si="1">SUM(E21,E25,E29,E33,E37,E41,E45,E49,E53,E57,E61,E65,E69,E73)</f>
        <v>65</v>
      </c>
      <c r="F17" s="211">
        <f t="shared" si="0"/>
        <v>696</v>
      </c>
      <c r="G17" s="211">
        <f t="shared" si="0"/>
        <v>519</v>
      </c>
      <c r="H17" s="211">
        <f t="shared" si="0"/>
        <v>210</v>
      </c>
      <c r="I17" s="211">
        <f t="shared" si="0"/>
        <v>69</v>
      </c>
      <c r="J17" s="211">
        <f t="shared" si="0"/>
        <v>28</v>
      </c>
      <c r="K17" s="211"/>
      <c r="L17" s="211">
        <f t="shared" si="0"/>
        <v>53</v>
      </c>
      <c r="M17" s="211">
        <f t="shared" si="0"/>
        <v>383</v>
      </c>
      <c r="N17" s="211">
        <f t="shared" si="0"/>
        <v>549</v>
      </c>
      <c r="O17" s="211">
        <f t="shared" si="0"/>
        <v>373</v>
      </c>
      <c r="P17" s="211">
        <f t="shared" si="0"/>
        <v>204</v>
      </c>
      <c r="Q17" s="211">
        <f t="shared" si="0"/>
        <v>91</v>
      </c>
      <c r="R17" s="211"/>
    </row>
    <row r="18" spans="2:18" ht="15" customHeight="1">
      <c r="B18" s="145"/>
      <c r="C18" s="145"/>
      <c r="D18" s="146">
        <v>2023</v>
      </c>
      <c r="E18" s="211">
        <f t="shared" si="1"/>
        <v>69</v>
      </c>
      <c r="F18" s="211">
        <f t="shared" si="0"/>
        <v>780</v>
      </c>
      <c r="G18" s="211">
        <f t="shared" si="0"/>
        <v>695</v>
      </c>
      <c r="H18" s="211">
        <f t="shared" si="0"/>
        <v>330</v>
      </c>
      <c r="I18" s="211">
        <f t="shared" si="0"/>
        <v>142</v>
      </c>
      <c r="J18" s="211">
        <f t="shared" si="0"/>
        <v>54</v>
      </c>
      <c r="K18" s="211"/>
      <c r="L18" s="211">
        <f t="shared" si="0"/>
        <v>73</v>
      </c>
      <c r="M18" s="211">
        <f t="shared" si="0"/>
        <v>496</v>
      </c>
      <c r="N18" s="211">
        <f t="shared" si="0"/>
        <v>742</v>
      </c>
      <c r="O18" s="211">
        <f t="shared" si="0"/>
        <v>568</v>
      </c>
      <c r="P18" s="211">
        <f t="shared" si="0"/>
        <v>418</v>
      </c>
      <c r="Q18" s="211">
        <f t="shared" si="0"/>
        <v>283</v>
      </c>
      <c r="R18" s="211"/>
    </row>
    <row r="19" spans="2:18" ht="8.1" customHeight="1">
      <c r="B19" s="145"/>
      <c r="C19" s="148"/>
      <c r="D19" s="149"/>
      <c r="E19" s="179"/>
      <c r="F19" s="184"/>
      <c r="G19" s="184"/>
      <c r="H19" s="184"/>
      <c r="I19" s="184"/>
      <c r="J19" s="184"/>
      <c r="K19" s="184"/>
      <c r="L19" s="184"/>
      <c r="M19" s="185"/>
      <c r="N19" s="185"/>
      <c r="O19" s="186"/>
      <c r="P19" s="186"/>
      <c r="Q19" s="186"/>
      <c r="R19" s="184"/>
    </row>
    <row r="20" spans="2:18" ht="15" customHeight="1">
      <c r="B20" s="151" t="s">
        <v>94</v>
      </c>
      <c r="C20" s="152"/>
      <c r="D20" s="149">
        <v>2021</v>
      </c>
      <c r="E20" s="231">
        <v>16</v>
      </c>
      <c r="F20" s="223">
        <v>94</v>
      </c>
      <c r="G20" s="223">
        <v>66</v>
      </c>
      <c r="H20" s="223">
        <v>39</v>
      </c>
      <c r="I20" s="223">
        <v>14</v>
      </c>
      <c r="J20" s="223">
        <v>2</v>
      </c>
      <c r="K20" s="223"/>
      <c r="L20" s="223">
        <v>7</v>
      </c>
      <c r="M20" s="223">
        <v>50</v>
      </c>
      <c r="N20" s="223">
        <v>42</v>
      </c>
      <c r="O20" s="223">
        <v>27</v>
      </c>
      <c r="P20" s="223">
        <v>22</v>
      </c>
      <c r="Q20" s="223">
        <v>5</v>
      </c>
      <c r="R20" s="222"/>
    </row>
    <row r="21" spans="2:18" ht="15" customHeight="1">
      <c r="B21" s="153"/>
      <c r="C21" s="152"/>
      <c r="D21" s="149">
        <v>2022</v>
      </c>
      <c r="E21" s="231">
        <v>4</v>
      </c>
      <c r="F21" s="223">
        <v>69</v>
      </c>
      <c r="G21" s="223">
        <v>37</v>
      </c>
      <c r="H21" s="223">
        <v>17</v>
      </c>
      <c r="I21" s="223">
        <v>5</v>
      </c>
      <c r="J21" s="223">
        <v>2</v>
      </c>
      <c r="K21" s="223"/>
      <c r="L21" s="223">
        <v>5</v>
      </c>
      <c r="M21" s="223">
        <v>40</v>
      </c>
      <c r="N21" s="223">
        <v>47</v>
      </c>
      <c r="O21" s="223">
        <v>34</v>
      </c>
      <c r="P21" s="223">
        <v>23</v>
      </c>
      <c r="Q21" s="223">
        <v>12</v>
      </c>
      <c r="R21" s="222"/>
    </row>
    <row r="22" spans="2:18" ht="15" customHeight="1">
      <c r="B22" s="153"/>
      <c r="C22" s="152"/>
      <c r="D22" s="149">
        <v>2023</v>
      </c>
      <c r="E22" s="274">
        <v>11</v>
      </c>
      <c r="F22" s="274">
        <v>103</v>
      </c>
      <c r="G22" s="274">
        <v>63</v>
      </c>
      <c r="H22" s="274">
        <v>38</v>
      </c>
      <c r="I22" s="274">
        <v>17</v>
      </c>
      <c r="J22" s="274">
        <v>4</v>
      </c>
      <c r="K22" s="274"/>
      <c r="L22" s="274">
        <v>7</v>
      </c>
      <c r="M22" s="274">
        <v>65</v>
      </c>
      <c r="N22" s="274">
        <v>90</v>
      </c>
      <c r="O22" s="274">
        <v>67</v>
      </c>
      <c r="P22" s="276">
        <v>50</v>
      </c>
      <c r="Q22" s="276">
        <v>33</v>
      </c>
      <c r="R22" s="222"/>
    </row>
    <row r="23" spans="2:18" ht="8.1" customHeight="1">
      <c r="B23" s="153"/>
      <c r="C23" s="154"/>
      <c r="D23" s="149"/>
      <c r="E23" s="150"/>
      <c r="F23" s="203"/>
      <c r="G23" s="203"/>
      <c r="H23" s="203"/>
      <c r="I23" s="203"/>
      <c r="J23" s="203"/>
      <c r="K23" s="203"/>
      <c r="L23" s="203"/>
      <c r="M23" s="204"/>
      <c r="N23" s="204"/>
      <c r="O23" s="204"/>
      <c r="P23" s="204"/>
      <c r="Q23" s="204"/>
      <c r="R23" s="203"/>
    </row>
    <row r="24" spans="2:18" ht="15" customHeight="1">
      <c r="B24" s="151" t="s">
        <v>95</v>
      </c>
      <c r="C24" s="152"/>
      <c r="D24" s="149">
        <v>2021</v>
      </c>
      <c r="E24" s="231">
        <v>10</v>
      </c>
      <c r="F24" s="223">
        <v>63</v>
      </c>
      <c r="G24" s="223">
        <v>44</v>
      </c>
      <c r="H24" s="223">
        <v>15</v>
      </c>
      <c r="I24" s="223">
        <v>8</v>
      </c>
      <c r="J24" s="223">
        <v>1</v>
      </c>
      <c r="K24" s="223"/>
      <c r="L24" s="223">
        <v>4</v>
      </c>
      <c r="M24" s="223">
        <v>22</v>
      </c>
      <c r="N24" s="223">
        <v>26</v>
      </c>
      <c r="O24" s="223">
        <v>16</v>
      </c>
      <c r="P24" s="223">
        <v>4</v>
      </c>
      <c r="Q24" s="223">
        <v>4</v>
      </c>
      <c r="R24" s="222"/>
    </row>
    <row r="25" spans="2:18" ht="15" customHeight="1">
      <c r="B25" s="151"/>
      <c r="C25" s="152"/>
      <c r="D25" s="149">
        <v>2022</v>
      </c>
      <c r="E25" s="231">
        <v>8</v>
      </c>
      <c r="F25" s="223">
        <v>60</v>
      </c>
      <c r="G25" s="223">
        <v>26</v>
      </c>
      <c r="H25" s="223">
        <v>14</v>
      </c>
      <c r="I25" s="223">
        <v>5</v>
      </c>
      <c r="J25" s="223">
        <v>1</v>
      </c>
      <c r="K25" s="223"/>
      <c r="L25" s="223">
        <v>1</v>
      </c>
      <c r="M25" s="223">
        <v>30</v>
      </c>
      <c r="N25" s="223">
        <v>45</v>
      </c>
      <c r="O25" s="223">
        <v>27</v>
      </c>
      <c r="P25" s="223">
        <v>12</v>
      </c>
      <c r="Q25" s="223">
        <v>6</v>
      </c>
      <c r="R25" s="273"/>
    </row>
    <row r="26" spans="2:18" ht="15" customHeight="1">
      <c r="B26" s="151"/>
      <c r="C26" s="152"/>
      <c r="D26" s="149">
        <v>2023</v>
      </c>
      <c r="E26" s="274">
        <v>7</v>
      </c>
      <c r="F26" s="274">
        <v>60</v>
      </c>
      <c r="G26" s="274">
        <v>43</v>
      </c>
      <c r="H26" s="274">
        <v>21</v>
      </c>
      <c r="I26" s="274">
        <v>11</v>
      </c>
      <c r="J26" s="274">
        <v>4</v>
      </c>
      <c r="K26" s="274"/>
      <c r="L26" s="274">
        <v>5</v>
      </c>
      <c r="M26" s="274">
        <v>29</v>
      </c>
      <c r="N26" s="274">
        <v>53</v>
      </c>
      <c r="O26" s="274">
        <v>36</v>
      </c>
      <c r="P26" s="276">
        <v>22</v>
      </c>
      <c r="Q26" s="276">
        <v>16</v>
      </c>
      <c r="R26" s="273"/>
    </row>
    <row r="27" spans="2:18" ht="8.1" customHeight="1">
      <c r="B27" s="151"/>
      <c r="C27" s="154"/>
      <c r="D27" s="149"/>
      <c r="E27" s="150"/>
      <c r="F27" s="203"/>
      <c r="G27" s="203"/>
      <c r="H27" s="203"/>
      <c r="I27" s="203"/>
      <c r="J27" s="203"/>
      <c r="K27" s="203"/>
      <c r="L27" s="203"/>
      <c r="M27" s="204"/>
      <c r="N27" s="204"/>
      <c r="O27" s="204"/>
      <c r="P27" s="204"/>
      <c r="Q27" s="204"/>
      <c r="R27" s="184"/>
    </row>
    <row r="28" spans="2:18" ht="15" customHeight="1">
      <c r="B28" s="151" t="s">
        <v>96</v>
      </c>
      <c r="C28" s="152"/>
      <c r="D28" s="149">
        <v>2021</v>
      </c>
      <c r="E28" s="223">
        <v>5</v>
      </c>
      <c r="F28" s="223">
        <v>20</v>
      </c>
      <c r="G28" s="223">
        <v>17</v>
      </c>
      <c r="H28" s="223">
        <v>10</v>
      </c>
      <c r="I28" s="223">
        <v>4</v>
      </c>
      <c r="J28" s="231">
        <v>2</v>
      </c>
      <c r="K28" s="223"/>
      <c r="L28" s="223">
        <v>2</v>
      </c>
      <c r="M28" s="223">
        <v>10</v>
      </c>
      <c r="N28" s="223">
        <v>16</v>
      </c>
      <c r="O28" s="223">
        <v>9</v>
      </c>
      <c r="P28" s="223">
        <v>8</v>
      </c>
      <c r="Q28" s="231" t="s">
        <v>22</v>
      </c>
      <c r="R28" s="222"/>
    </row>
    <row r="29" spans="2:18" ht="15" customHeight="1">
      <c r="B29" s="153"/>
      <c r="C29" s="152"/>
      <c r="D29" s="149">
        <v>2022</v>
      </c>
      <c r="E29" s="223">
        <v>8</v>
      </c>
      <c r="F29" s="231">
        <v>22</v>
      </c>
      <c r="G29" s="223">
        <v>23</v>
      </c>
      <c r="H29" s="223">
        <v>5</v>
      </c>
      <c r="I29" s="223">
        <v>3</v>
      </c>
      <c r="J29" s="231">
        <v>1</v>
      </c>
      <c r="K29" s="223"/>
      <c r="L29" s="223">
        <v>4</v>
      </c>
      <c r="M29" s="223">
        <v>20</v>
      </c>
      <c r="N29" s="223">
        <v>16</v>
      </c>
      <c r="O29" s="223">
        <v>16</v>
      </c>
      <c r="P29" s="223">
        <v>9</v>
      </c>
      <c r="Q29" s="223">
        <v>6</v>
      </c>
      <c r="R29" s="222"/>
    </row>
    <row r="30" spans="2:18" ht="15" customHeight="1">
      <c r="B30" s="153"/>
      <c r="C30" s="152"/>
      <c r="D30" s="149">
        <v>2023</v>
      </c>
      <c r="E30" s="274">
        <v>4</v>
      </c>
      <c r="F30" s="274">
        <v>20</v>
      </c>
      <c r="G30" s="274">
        <v>6</v>
      </c>
      <c r="H30" s="274">
        <v>4</v>
      </c>
      <c r="I30" s="274">
        <v>3</v>
      </c>
      <c r="J30" s="274">
        <v>4</v>
      </c>
      <c r="K30" s="274"/>
      <c r="L30" s="274">
        <v>3</v>
      </c>
      <c r="M30" s="274">
        <v>13</v>
      </c>
      <c r="N30" s="274">
        <v>20</v>
      </c>
      <c r="O30" s="274">
        <v>17</v>
      </c>
      <c r="P30" s="276">
        <v>9</v>
      </c>
      <c r="Q30" s="276">
        <v>6</v>
      </c>
      <c r="R30" s="222"/>
    </row>
    <row r="31" spans="2:18" ht="8.1" customHeight="1">
      <c r="B31" s="153"/>
      <c r="C31" s="148"/>
      <c r="D31" s="149"/>
      <c r="E31" s="150"/>
      <c r="F31" s="203"/>
      <c r="G31" s="203"/>
      <c r="H31" s="203"/>
      <c r="I31" s="203"/>
      <c r="J31" s="203"/>
      <c r="K31" s="203"/>
      <c r="L31" s="203"/>
      <c r="M31" s="204"/>
      <c r="N31" s="204"/>
      <c r="O31" s="205"/>
      <c r="P31" s="206"/>
      <c r="Q31" s="206"/>
      <c r="R31" s="203"/>
    </row>
    <row r="32" spans="2:18" ht="15" customHeight="1">
      <c r="B32" s="151" t="s">
        <v>97</v>
      </c>
      <c r="C32" s="152"/>
      <c r="D32" s="149">
        <v>2021</v>
      </c>
      <c r="E32" s="231">
        <v>10</v>
      </c>
      <c r="F32" s="223">
        <v>48</v>
      </c>
      <c r="G32" s="223">
        <v>21</v>
      </c>
      <c r="H32" s="223">
        <v>8</v>
      </c>
      <c r="I32" s="223">
        <v>3</v>
      </c>
      <c r="J32" s="223">
        <v>1</v>
      </c>
      <c r="K32" s="223"/>
      <c r="L32" s="223">
        <v>3</v>
      </c>
      <c r="M32" s="223">
        <v>20</v>
      </c>
      <c r="N32" s="223">
        <v>26</v>
      </c>
      <c r="O32" s="223">
        <v>12</v>
      </c>
      <c r="P32" s="223">
        <v>10</v>
      </c>
      <c r="Q32" s="223">
        <v>2</v>
      </c>
      <c r="R32" s="222"/>
    </row>
    <row r="33" spans="2:18" ht="15" customHeight="1">
      <c r="B33" s="153"/>
      <c r="C33" s="152"/>
      <c r="D33" s="149">
        <v>2022</v>
      </c>
      <c r="E33" s="231">
        <v>2</v>
      </c>
      <c r="F33" s="223">
        <v>37</v>
      </c>
      <c r="G33" s="223">
        <v>36</v>
      </c>
      <c r="H33" s="223">
        <v>11</v>
      </c>
      <c r="I33" s="223">
        <v>5</v>
      </c>
      <c r="J33" s="231" t="s">
        <v>22</v>
      </c>
      <c r="K33" s="223"/>
      <c r="L33" s="223">
        <v>2</v>
      </c>
      <c r="M33" s="223">
        <v>21</v>
      </c>
      <c r="N33" s="223">
        <v>23</v>
      </c>
      <c r="O33" s="223">
        <v>23</v>
      </c>
      <c r="P33" s="223">
        <v>15</v>
      </c>
      <c r="Q33" s="223">
        <v>5</v>
      </c>
      <c r="R33" s="222"/>
    </row>
    <row r="34" spans="2:18" ht="15" customHeight="1">
      <c r="B34" s="153"/>
      <c r="C34" s="152"/>
      <c r="D34" s="149">
        <v>2023</v>
      </c>
      <c r="E34" s="274">
        <v>0</v>
      </c>
      <c r="F34" s="274">
        <v>56</v>
      </c>
      <c r="G34" s="274">
        <v>48</v>
      </c>
      <c r="H34" s="274">
        <v>13</v>
      </c>
      <c r="I34" s="274">
        <v>11</v>
      </c>
      <c r="J34" s="274">
        <v>2</v>
      </c>
      <c r="K34" s="274"/>
      <c r="L34" s="274">
        <v>3</v>
      </c>
      <c r="M34" s="274">
        <v>29</v>
      </c>
      <c r="N34" s="274">
        <v>49</v>
      </c>
      <c r="O34" s="274">
        <v>22</v>
      </c>
      <c r="P34" s="276">
        <v>28</v>
      </c>
      <c r="Q34" s="276">
        <v>11</v>
      </c>
      <c r="R34" s="222"/>
    </row>
    <row r="35" spans="2:18" ht="8.1" customHeight="1">
      <c r="B35" s="153"/>
      <c r="C35" s="154"/>
      <c r="D35" s="149"/>
      <c r="E35" s="150"/>
      <c r="F35" s="203"/>
      <c r="G35" s="203"/>
      <c r="H35" s="203"/>
      <c r="I35" s="203"/>
      <c r="J35" s="203"/>
      <c r="K35" s="203"/>
      <c r="L35" s="203"/>
      <c r="M35" s="204"/>
      <c r="N35" s="204"/>
      <c r="O35" s="205"/>
      <c r="P35" s="206"/>
      <c r="Q35" s="206"/>
      <c r="R35" s="203"/>
    </row>
    <row r="36" spans="2:18" ht="15" customHeight="1">
      <c r="B36" s="151" t="s">
        <v>98</v>
      </c>
      <c r="C36" s="152"/>
      <c r="D36" s="149">
        <v>2021</v>
      </c>
      <c r="E36" s="223">
        <v>14</v>
      </c>
      <c r="F36" s="223">
        <v>87</v>
      </c>
      <c r="G36" s="231">
        <v>57</v>
      </c>
      <c r="H36" s="223">
        <v>30</v>
      </c>
      <c r="I36" s="223">
        <v>15</v>
      </c>
      <c r="J36" s="223">
        <v>1</v>
      </c>
      <c r="K36" s="223"/>
      <c r="L36" s="223">
        <v>5</v>
      </c>
      <c r="M36" s="223">
        <v>28</v>
      </c>
      <c r="N36" s="223">
        <v>26</v>
      </c>
      <c r="O36" s="223">
        <v>21</v>
      </c>
      <c r="P36" s="223">
        <v>10</v>
      </c>
      <c r="Q36" s="223">
        <v>5</v>
      </c>
      <c r="R36" s="222"/>
    </row>
    <row r="37" spans="2:18" ht="15" customHeight="1">
      <c r="B37" s="153"/>
      <c r="C37" s="152"/>
      <c r="D37" s="149">
        <v>2022</v>
      </c>
      <c r="E37" s="231">
        <v>7</v>
      </c>
      <c r="F37" s="223">
        <v>86</v>
      </c>
      <c r="G37" s="223">
        <v>49</v>
      </c>
      <c r="H37" s="223">
        <v>21</v>
      </c>
      <c r="I37" s="223">
        <v>10</v>
      </c>
      <c r="J37" s="223">
        <v>5</v>
      </c>
      <c r="K37" s="223"/>
      <c r="L37" s="223">
        <v>10</v>
      </c>
      <c r="M37" s="223">
        <v>32</v>
      </c>
      <c r="N37" s="223">
        <v>54</v>
      </c>
      <c r="O37" s="223">
        <v>27</v>
      </c>
      <c r="P37" s="223">
        <v>26</v>
      </c>
      <c r="Q37" s="223">
        <v>14</v>
      </c>
      <c r="R37" s="222"/>
    </row>
    <row r="38" spans="2:18" ht="15" customHeight="1">
      <c r="B38" s="153"/>
      <c r="C38" s="152"/>
      <c r="D38" s="149">
        <v>2023</v>
      </c>
      <c r="E38" s="274">
        <v>6</v>
      </c>
      <c r="F38" s="274">
        <v>68</v>
      </c>
      <c r="G38" s="274">
        <v>69</v>
      </c>
      <c r="H38" s="274">
        <v>41</v>
      </c>
      <c r="I38" s="274">
        <v>16</v>
      </c>
      <c r="J38" s="274">
        <v>8</v>
      </c>
      <c r="K38" s="274"/>
      <c r="L38" s="274">
        <v>5</v>
      </c>
      <c r="M38" s="274">
        <v>30</v>
      </c>
      <c r="N38" s="274">
        <v>63</v>
      </c>
      <c r="O38" s="274">
        <v>36</v>
      </c>
      <c r="P38" s="276">
        <v>33</v>
      </c>
      <c r="Q38" s="276">
        <v>29</v>
      </c>
      <c r="R38" s="222"/>
    </row>
    <row r="39" spans="2:18" ht="8.1" customHeight="1">
      <c r="B39" s="153"/>
      <c r="C39" s="154"/>
      <c r="D39" s="149"/>
      <c r="E39" s="150"/>
      <c r="F39" s="203"/>
      <c r="G39" s="203"/>
      <c r="H39" s="203"/>
      <c r="I39" s="203"/>
      <c r="J39" s="203"/>
      <c r="K39" s="203"/>
      <c r="L39" s="203"/>
      <c r="M39" s="204"/>
      <c r="N39" s="204"/>
      <c r="O39" s="205"/>
      <c r="P39" s="206"/>
      <c r="Q39" s="206"/>
      <c r="R39" s="203"/>
    </row>
    <row r="40" spans="2:18" ht="15" customHeight="1">
      <c r="B40" s="151" t="s">
        <v>99</v>
      </c>
      <c r="C40" s="152"/>
      <c r="D40" s="149">
        <v>2021</v>
      </c>
      <c r="E40" s="231">
        <v>16</v>
      </c>
      <c r="F40" s="223">
        <v>63</v>
      </c>
      <c r="G40" s="223">
        <v>38</v>
      </c>
      <c r="H40" s="223">
        <v>18</v>
      </c>
      <c r="I40" s="223">
        <v>7</v>
      </c>
      <c r="J40" s="223">
        <v>1</v>
      </c>
      <c r="K40" s="223"/>
      <c r="L40" s="223">
        <v>4</v>
      </c>
      <c r="M40" s="223">
        <v>19</v>
      </c>
      <c r="N40" s="223">
        <v>20</v>
      </c>
      <c r="O40" s="223">
        <v>9</v>
      </c>
      <c r="P40" s="223">
        <v>9</v>
      </c>
      <c r="Q40" s="223">
        <v>3</v>
      </c>
      <c r="R40" s="222"/>
    </row>
    <row r="41" spans="2:18" ht="15" customHeight="1">
      <c r="B41" s="153"/>
      <c r="C41" s="152"/>
      <c r="D41" s="149">
        <v>2022</v>
      </c>
      <c r="E41" s="231">
        <v>6</v>
      </c>
      <c r="F41" s="223">
        <v>53</v>
      </c>
      <c r="G41" s="223">
        <v>40</v>
      </c>
      <c r="H41" s="223">
        <v>15</v>
      </c>
      <c r="I41" s="223">
        <v>4</v>
      </c>
      <c r="J41" s="223">
        <v>3</v>
      </c>
      <c r="K41" s="223"/>
      <c r="L41" s="223">
        <v>5</v>
      </c>
      <c r="M41" s="223">
        <v>29</v>
      </c>
      <c r="N41" s="223">
        <v>47</v>
      </c>
      <c r="O41" s="223">
        <v>34</v>
      </c>
      <c r="P41" s="223">
        <v>9</v>
      </c>
      <c r="Q41" s="223">
        <v>5</v>
      </c>
      <c r="R41" s="222"/>
    </row>
    <row r="42" spans="2:18" ht="15" customHeight="1">
      <c r="B42" s="153"/>
      <c r="C42" s="152"/>
      <c r="D42" s="149">
        <v>2023</v>
      </c>
      <c r="E42" s="274">
        <v>12</v>
      </c>
      <c r="F42" s="274">
        <v>47</v>
      </c>
      <c r="G42" s="274">
        <v>58</v>
      </c>
      <c r="H42" s="274">
        <v>25</v>
      </c>
      <c r="I42" s="274">
        <v>6</v>
      </c>
      <c r="J42" s="274">
        <v>3</v>
      </c>
      <c r="K42" s="274"/>
      <c r="L42" s="274">
        <v>10</v>
      </c>
      <c r="M42" s="274">
        <v>41</v>
      </c>
      <c r="N42" s="274">
        <v>65</v>
      </c>
      <c r="O42" s="274">
        <v>26</v>
      </c>
      <c r="P42" s="276">
        <v>22</v>
      </c>
      <c r="Q42" s="276">
        <v>24</v>
      </c>
      <c r="R42" s="222"/>
    </row>
    <row r="43" spans="2:18" ht="8.1" customHeight="1">
      <c r="B43" s="153"/>
      <c r="C43" s="148"/>
      <c r="D43" s="149"/>
      <c r="E43" s="150"/>
      <c r="F43" s="203"/>
      <c r="G43" s="203"/>
      <c r="H43" s="203"/>
      <c r="I43" s="203"/>
      <c r="J43" s="203"/>
      <c r="K43" s="203"/>
      <c r="L43" s="203"/>
      <c r="M43" s="204"/>
      <c r="N43" s="204"/>
      <c r="O43" s="204"/>
      <c r="P43" s="204"/>
      <c r="Q43" s="204"/>
      <c r="R43" s="203"/>
    </row>
    <row r="44" spans="2:18" ht="15" customHeight="1">
      <c r="B44" s="151" t="s">
        <v>100</v>
      </c>
      <c r="C44" s="152"/>
      <c r="D44" s="149">
        <v>2021</v>
      </c>
      <c r="E44" s="223">
        <v>11</v>
      </c>
      <c r="F44" s="223">
        <v>76</v>
      </c>
      <c r="G44" s="223">
        <v>46</v>
      </c>
      <c r="H44" s="223">
        <v>21</v>
      </c>
      <c r="I44" s="223">
        <v>9</v>
      </c>
      <c r="J44" s="223">
        <v>2</v>
      </c>
      <c r="K44" s="223"/>
      <c r="L44" s="223">
        <v>7</v>
      </c>
      <c r="M44" s="223">
        <v>52</v>
      </c>
      <c r="N44" s="223">
        <v>44</v>
      </c>
      <c r="O44" s="223">
        <v>26</v>
      </c>
      <c r="P44" s="223">
        <v>18</v>
      </c>
      <c r="Q44" s="223">
        <v>10</v>
      </c>
      <c r="R44" s="222"/>
    </row>
    <row r="45" spans="2:18" ht="15" customHeight="1">
      <c r="B45" s="151"/>
      <c r="C45" s="152"/>
      <c r="D45" s="149">
        <v>2022</v>
      </c>
      <c r="E45" s="223">
        <v>3</v>
      </c>
      <c r="F45" s="223">
        <v>67</v>
      </c>
      <c r="G45" s="223">
        <v>37</v>
      </c>
      <c r="H45" s="223">
        <v>15</v>
      </c>
      <c r="I45" s="223">
        <v>7</v>
      </c>
      <c r="J45" s="223">
        <v>2</v>
      </c>
      <c r="K45" s="223"/>
      <c r="L45" s="223">
        <v>5</v>
      </c>
      <c r="M45" s="223">
        <v>38</v>
      </c>
      <c r="N45" s="223">
        <v>54</v>
      </c>
      <c r="O45" s="223">
        <v>24</v>
      </c>
      <c r="P45" s="223">
        <v>10</v>
      </c>
      <c r="Q45" s="223">
        <v>3</v>
      </c>
      <c r="R45" s="222"/>
    </row>
    <row r="46" spans="2:18" ht="15" customHeight="1">
      <c r="B46" s="151"/>
      <c r="C46" s="152"/>
      <c r="D46" s="149">
        <v>2023</v>
      </c>
      <c r="E46" s="274">
        <v>1</v>
      </c>
      <c r="F46" s="274">
        <v>74</v>
      </c>
      <c r="G46" s="274">
        <v>49</v>
      </c>
      <c r="H46" s="274">
        <v>27</v>
      </c>
      <c r="I46" s="274">
        <v>14</v>
      </c>
      <c r="J46" s="274">
        <v>2</v>
      </c>
      <c r="K46" s="274"/>
      <c r="L46" s="274">
        <v>7</v>
      </c>
      <c r="M46" s="274">
        <v>63</v>
      </c>
      <c r="N46" s="274">
        <v>49</v>
      </c>
      <c r="O46" s="274">
        <v>53</v>
      </c>
      <c r="P46" s="276">
        <v>35</v>
      </c>
      <c r="Q46" s="276">
        <v>13</v>
      </c>
      <c r="R46" s="222"/>
    </row>
    <row r="47" spans="2:18" ht="8.1" customHeight="1">
      <c r="B47" s="151"/>
      <c r="C47" s="154"/>
      <c r="D47" s="149"/>
      <c r="E47" s="150"/>
      <c r="F47" s="203"/>
      <c r="G47" s="203"/>
      <c r="H47" s="203"/>
      <c r="I47" s="203"/>
      <c r="J47" s="203"/>
      <c r="K47" s="203"/>
      <c r="L47" s="203"/>
      <c r="M47" s="204"/>
      <c r="N47" s="204"/>
      <c r="O47" s="204"/>
      <c r="P47" s="204"/>
      <c r="Q47" s="204"/>
      <c r="R47" s="203"/>
    </row>
    <row r="48" spans="2:18" ht="15" customHeight="1">
      <c r="B48" s="151" t="s">
        <v>101</v>
      </c>
      <c r="C48" s="152"/>
      <c r="D48" s="149">
        <v>2021</v>
      </c>
      <c r="E48" s="223">
        <v>11</v>
      </c>
      <c r="F48" s="223">
        <v>52</v>
      </c>
      <c r="G48" s="223">
        <v>35</v>
      </c>
      <c r="H48" s="223">
        <v>19</v>
      </c>
      <c r="I48" s="223">
        <v>5</v>
      </c>
      <c r="J48" s="223">
        <v>3</v>
      </c>
      <c r="K48" s="223"/>
      <c r="L48" s="223">
        <v>5</v>
      </c>
      <c r="M48" s="223">
        <v>29</v>
      </c>
      <c r="N48" s="223">
        <v>27</v>
      </c>
      <c r="O48" s="223">
        <v>15</v>
      </c>
      <c r="P48" s="223">
        <v>11</v>
      </c>
      <c r="Q48" s="223">
        <v>4</v>
      </c>
      <c r="R48" s="222"/>
    </row>
    <row r="49" spans="2:18" ht="15" customHeight="1">
      <c r="B49" s="153"/>
      <c r="C49" s="152"/>
      <c r="D49" s="149">
        <v>2022</v>
      </c>
      <c r="E49" s="223">
        <v>4</v>
      </c>
      <c r="F49" s="223">
        <v>41</v>
      </c>
      <c r="G49" s="223">
        <v>41</v>
      </c>
      <c r="H49" s="223">
        <v>10</v>
      </c>
      <c r="I49" s="231">
        <v>2</v>
      </c>
      <c r="J49" s="223">
        <v>1</v>
      </c>
      <c r="K49" s="223"/>
      <c r="L49" s="223">
        <v>3</v>
      </c>
      <c r="M49" s="223">
        <v>25</v>
      </c>
      <c r="N49" s="223">
        <v>27</v>
      </c>
      <c r="O49" s="223">
        <v>28</v>
      </c>
      <c r="P49" s="223">
        <v>13</v>
      </c>
      <c r="Q49" s="223">
        <v>9</v>
      </c>
      <c r="R49" s="222"/>
    </row>
    <row r="50" spans="2:18" ht="15" customHeight="1">
      <c r="B50" s="153"/>
      <c r="C50" s="152"/>
      <c r="D50" s="149">
        <v>2023</v>
      </c>
      <c r="E50" s="274">
        <v>7</v>
      </c>
      <c r="F50" s="274">
        <v>64</v>
      </c>
      <c r="G50" s="274">
        <v>40</v>
      </c>
      <c r="H50" s="274">
        <v>31</v>
      </c>
      <c r="I50" s="274">
        <v>12</v>
      </c>
      <c r="J50" s="274">
        <v>5</v>
      </c>
      <c r="K50" s="274"/>
      <c r="L50" s="274">
        <v>9</v>
      </c>
      <c r="M50" s="274">
        <v>29</v>
      </c>
      <c r="N50" s="274">
        <v>37</v>
      </c>
      <c r="O50" s="274">
        <v>38</v>
      </c>
      <c r="P50" s="276">
        <v>48</v>
      </c>
      <c r="Q50" s="276">
        <v>31</v>
      </c>
      <c r="R50" s="222"/>
    </row>
    <row r="51" spans="2:18" ht="8.1" customHeight="1">
      <c r="B51" s="153"/>
      <c r="C51" s="138"/>
      <c r="D51" s="149"/>
      <c r="E51" s="150"/>
      <c r="F51" s="203"/>
      <c r="G51" s="203"/>
      <c r="H51" s="203"/>
      <c r="I51" s="203"/>
      <c r="J51" s="203"/>
      <c r="K51" s="203"/>
      <c r="L51" s="203"/>
      <c r="M51" s="207"/>
      <c r="N51" s="207"/>
      <c r="O51" s="204"/>
      <c r="P51" s="204"/>
      <c r="Q51" s="204"/>
      <c r="R51" s="203"/>
    </row>
    <row r="52" spans="2:18" ht="15" customHeight="1">
      <c r="B52" s="151" t="s">
        <v>102</v>
      </c>
      <c r="C52" s="152"/>
      <c r="D52" s="149">
        <v>2021</v>
      </c>
      <c r="E52" s="223">
        <v>4</v>
      </c>
      <c r="F52" s="231">
        <v>13</v>
      </c>
      <c r="G52" s="223">
        <v>4</v>
      </c>
      <c r="H52" s="223">
        <v>3</v>
      </c>
      <c r="I52" s="231" t="s">
        <v>22</v>
      </c>
      <c r="J52" s="231">
        <v>1</v>
      </c>
      <c r="K52" s="223"/>
      <c r="L52" s="231" t="s">
        <v>22</v>
      </c>
      <c r="M52" s="223">
        <v>6</v>
      </c>
      <c r="N52" s="223">
        <v>4</v>
      </c>
      <c r="O52" s="231">
        <v>4</v>
      </c>
      <c r="P52" s="223">
        <v>1</v>
      </c>
      <c r="Q52" s="231" t="s">
        <v>22</v>
      </c>
      <c r="R52" s="222"/>
    </row>
    <row r="53" spans="2:18" ht="15" customHeight="1">
      <c r="B53" s="153"/>
      <c r="C53" s="152"/>
      <c r="D53" s="149">
        <v>2022</v>
      </c>
      <c r="E53" s="231">
        <v>1</v>
      </c>
      <c r="F53" s="223">
        <v>12</v>
      </c>
      <c r="G53" s="231">
        <v>10</v>
      </c>
      <c r="H53" s="223">
        <v>5</v>
      </c>
      <c r="I53" s="231">
        <v>2</v>
      </c>
      <c r="J53" s="231">
        <v>1</v>
      </c>
      <c r="K53" s="223"/>
      <c r="L53" s="231" t="s">
        <v>22</v>
      </c>
      <c r="M53" s="223">
        <v>2</v>
      </c>
      <c r="N53" s="223">
        <v>8</v>
      </c>
      <c r="O53" s="223">
        <v>4</v>
      </c>
      <c r="P53" s="223">
        <v>5</v>
      </c>
      <c r="Q53" s="231" t="s">
        <v>22</v>
      </c>
      <c r="R53" s="222"/>
    </row>
    <row r="54" spans="2:18" ht="15" customHeight="1">
      <c r="B54" s="153"/>
      <c r="C54" s="152"/>
      <c r="D54" s="149">
        <v>2023</v>
      </c>
      <c r="E54" s="274">
        <v>1</v>
      </c>
      <c r="F54" s="274">
        <v>10</v>
      </c>
      <c r="G54" s="274">
        <v>5</v>
      </c>
      <c r="H54" s="274">
        <v>7</v>
      </c>
      <c r="I54" s="274">
        <v>4</v>
      </c>
      <c r="J54" s="231" t="s">
        <v>22</v>
      </c>
      <c r="K54" s="274"/>
      <c r="L54" s="274">
        <v>3</v>
      </c>
      <c r="M54" s="274">
        <v>6</v>
      </c>
      <c r="N54" s="274">
        <v>8</v>
      </c>
      <c r="O54" s="274">
        <v>5</v>
      </c>
      <c r="P54" s="276">
        <v>2</v>
      </c>
      <c r="Q54" s="276">
        <v>3</v>
      </c>
      <c r="R54" s="222"/>
    </row>
    <row r="55" spans="2:18" ht="8.1" customHeight="1">
      <c r="B55" s="153"/>
      <c r="C55" s="154"/>
      <c r="D55" s="149"/>
      <c r="E55" s="150"/>
      <c r="F55" s="203"/>
      <c r="G55" s="203"/>
      <c r="H55" s="203"/>
      <c r="I55" s="203"/>
      <c r="J55" s="203"/>
      <c r="K55" s="203"/>
      <c r="L55" s="203"/>
      <c r="M55" s="204"/>
      <c r="N55" s="204"/>
      <c r="O55" s="204"/>
      <c r="P55" s="204"/>
      <c r="Q55" s="204"/>
      <c r="R55" s="203"/>
    </row>
    <row r="56" spans="2:18" ht="15" customHeight="1">
      <c r="B56" s="151" t="s">
        <v>103</v>
      </c>
      <c r="C56" s="152"/>
      <c r="D56" s="149">
        <v>2021</v>
      </c>
      <c r="E56" s="223">
        <v>8</v>
      </c>
      <c r="F56" s="223">
        <v>101</v>
      </c>
      <c r="G56" s="223">
        <v>87</v>
      </c>
      <c r="H56" s="223">
        <v>42</v>
      </c>
      <c r="I56" s="223">
        <v>16</v>
      </c>
      <c r="J56" s="223">
        <v>7</v>
      </c>
      <c r="K56" s="223"/>
      <c r="L56" s="223">
        <v>5</v>
      </c>
      <c r="M56" s="223">
        <v>48</v>
      </c>
      <c r="N56" s="223">
        <v>62</v>
      </c>
      <c r="O56" s="223">
        <v>38</v>
      </c>
      <c r="P56" s="223">
        <v>29</v>
      </c>
      <c r="Q56" s="223">
        <v>6</v>
      </c>
      <c r="R56" s="222"/>
    </row>
    <row r="57" spans="2:18" ht="15" customHeight="1">
      <c r="B57" s="153"/>
      <c r="C57" s="152"/>
      <c r="D57" s="149">
        <v>2022</v>
      </c>
      <c r="E57" s="223">
        <v>5</v>
      </c>
      <c r="F57" s="223">
        <v>52</v>
      </c>
      <c r="G57" s="223">
        <v>45</v>
      </c>
      <c r="H57" s="223">
        <v>24</v>
      </c>
      <c r="I57" s="223">
        <v>6</v>
      </c>
      <c r="J57" s="223">
        <v>1</v>
      </c>
      <c r="K57" s="223"/>
      <c r="L57" s="223">
        <v>3</v>
      </c>
      <c r="M57" s="223">
        <v>39</v>
      </c>
      <c r="N57" s="223">
        <v>65</v>
      </c>
      <c r="O57" s="223">
        <v>44</v>
      </c>
      <c r="P57" s="223">
        <v>28</v>
      </c>
      <c r="Q57" s="223">
        <v>13</v>
      </c>
      <c r="R57" s="222"/>
    </row>
    <row r="58" spans="2:18" ht="15" customHeight="1">
      <c r="B58" s="153"/>
      <c r="C58" s="152"/>
      <c r="D58" s="149">
        <v>2023</v>
      </c>
      <c r="E58" s="274">
        <v>6</v>
      </c>
      <c r="F58" s="274">
        <v>90</v>
      </c>
      <c r="G58" s="274">
        <v>101</v>
      </c>
      <c r="H58" s="274">
        <v>49</v>
      </c>
      <c r="I58" s="274">
        <v>14</v>
      </c>
      <c r="J58" s="274">
        <v>8</v>
      </c>
      <c r="K58" s="274"/>
      <c r="L58" s="274">
        <v>10</v>
      </c>
      <c r="M58" s="274">
        <v>61</v>
      </c>
      <c r="N58" s="274">
        <v>119</v>
      </c>
      <c r="O58" s="274">
        <v>118</v>
      </c>
      <c r="P58" s="276">
        <v>85</v>
      </c>
      <c r="Q58" s="276">
        <v>68</v>
      </c>
      <c r="R58" s="222"/>
    </row>
    <row r="59" spans="2:18" ht="8.1" customHeight="1">
      <c r="B59" s="153"/>
      <c r="C59" s="148"/>
      <c r="D59" s="149"/>
      <c r="E59" s="150"/>
      <c r="F59" s="203"/>
      <c r="G59" s="203"/>
      <c r="H59" s="203"/>
      <c r="I59" s="203"/>
      <c r="J59" s="203"/>
      <c r="K59" s="203"/>
      <c r="L59" s="203"/>
      <c r="M59" s="204"/>
      <c r="N59" s="204"/>
      <c r="O59" s="204"/>
      <c r="P59" s="204"/>
      <c r="Q59" s="204"/>
      <c r="R59" s="203"/>
    </row>
    <row r="60" spans="2:18" ht="15" customHeight="1">
      <c r="B60" s="151" t="s">
        <v>104</v>
      </c>
      <c r="C60" s="152"/>
      <c r="D60" s="149">
        <v>2021</v>
      </c>
      <c r="E60" s="231">
        <v>7</v>
      </c>
      <c r="F60" s="223">
        <v>31</v>
      </c>
      <c r="G60" s="223">
        <v>31</v>
      </c>
      <c r="H60" s="223">
        <v>12</v>
      </c>
      <c r="I60" s="223">
        <v>6</v>
      </c>
      <c r="J60" s="231">
        <v>1</v>
      </c>
      <c r="K60" s="223"/>
      <c r="L60" s="223">
        <v>4</v>
      </c>
      <c r="M60" s="223">
        <v>13</v>
      </c>
      <c r="N60" s="223">
        <v>12</v>
      </c>
      <c r="O60" s="223">
        <v>9</v>
      </c>
      <c r="P60" s="223">
        <v>5</v>
      </c>
      <c r="Q60" s="231" t="s">
        <v>22</v>
      </c>
      <c r="R60" s="222"/>
    </row>
    <row r="61" spans="2:18" ht="15" customHeight="1">
      <c r="B61" s="153"/>
      <c r="C61" s="152"/>
      <c r="D61" s="149">
        <v>2022</v>
      </c>
      <c r="E61" s="223">
        <v>5</v>
      </c>
      <c r="F61" s="223">
        <v>30</v>
      </c>
      <c r="G61" s="223">
        <v>34</v>
      </c>
      <c r="H61" s="223">
        <v>6</v>
      </c>
      <c r="I61" s="231">
        <v>1</v>
      </c>
      <c r="J61" s="231" t="s">
        <v>22</v>
      </c>
      <c r="K61" s="223"/>
      <c r="L61" s="223">
        <v>3</v>
      </c>
      <c r="M61" s="223">
        <v>23</v>
      </c>
      <c r="N61" s="223">
        <v>31</v>
      </c>
      <c r="O61" s="223">
        <v>21</v>
      </c>
      <c r="P61" s="223">
        <v>8</v>
      </c>
      <c r="Q61" s="223">
        <v>3</v>
      </c>
      <c r="R61" s="222"/>
    </row>
    <row r="62" spans="2:18" ht="15" customHeight="1">
      <c r="B62" s="153"/>
      <c r="C62" s="152"/>
      <c r="D62" s="149">
        <v>2023</v>
      </c>
      <c r="E62" s="274">
        <v>2</v>
      </c>
      <c r="F62" s="274">
        <v>19</v>
      </c>
      <c r="G62" s="274">
        <v>15</v>
      </c>
      <c r="H62" s="274">
        <v>7</v>
      </c>
      <c r="I62" s="274">
        <v>4</v>
      </c>
      <c r="J62" s="274">
        <v>2</v>
      </c>
      <c r="K62" s="274"/>
      <c r="L62" s="274">
        <v>1</v>
      </c>
      <c r="M62" s="274">
        <v>18</v>
      </c>
      <c r="N62" s="274">
        <v>32</v>
      </c>
      <c r="O62" s="274">
        <v>18</v>
      </c>
      <c r="P62" s="276">
        <v>12</v>
      </c>
      <c r="Q62" s="276">
        <v>9</v>
      </c>
      <c r="R62" s="222"/>
    </row>
    <row r="63" spans="2:18" ht="8.1" customHeight="1">
      <c r="B63" s="153"/>
      <c r="C63" s="154"/>
      <c r="D63" s="149"/>
      <c r="E63" s="150"/>
      <c r="F63" s="203"/>
      <c r="G63" s="203"/>
      <c r="H63" s="203"/>
      <c r="I63" s="203"/>
      <c r="J63" s="203"/>
      <c r="K63" s="203"/>
      <c r="L63" s="203"/>
      <c r="M63" s="204"/>
      <c r="N63" s="204"/>
      <c r="O63" s="204"/>
      <c r="P63" s="208"/>
      <c r="Q63" s="208"/>
      <c r="R63" s="203"/>
    </row>
    <row r="64" spans="2:18" ht="15" customHeight="1">
      <c r="B64" s="151" t="s">
        <v>108</v>
      </c>
      <c r="C64" s="152"/>
      <c r="D64" s="149">
        <v>2021</v>
      </c>
      <c r="E64" s="231">
        <v>6</v>
      </c>
      <c r="F64" s="231">
        <v>48</v>
      </c>
      <c r="G64" s="223">
        <v>37</v>
      </c>
      <c r="H64" s="223">
        <v>8</v>
      </c>
      <c r="I64" s="223">
        <v>6</v>
      </c>
      <c r="J64" s="231">
        <v>4</v>
      </c>
      <c r="K64" s="223"/>
      <c r="L64" s="231" t="s">
        <v>22</v>
      </c>
      <c r="M64" s="223">
        <v>15</v>
      </c>
      <c r="N64" s="223">
        <v>11</v>
      </c>
      <c r="O64" s="223">
        <v>9</v>
      </c>
      <c r="P64" s="223">
        <v>8</v>
      </c>
      <c r="Q64" s="231" t="s">
        <v>22</v>
      </c>
      <c r="R64" s="222"/>
    </row>
    <row r="65" spans="1:18" ht="15" customHeight="1">
      <c r="B65" s="153"/>
      <c r="C65" s="152"/>
      <c r="D65" s="149">
        <v>2022</v>
      </c>
      <c r="E65" s="223">
        <v>1</v>
      </c>
      <c r="F65" s="231">
        <v>29</v>
      </c>
      <c r="G65" s="223">
        <v>25</v>
      </c>
      <c r="H65" s="223">
        <v>10</v>
      </c>
      <c r="I65" s="223">
        <v>1</v>
      </c>
      <c r="J65" s="231">
        <v>3</v>
      </c>
      <c r="K65" s="223"/>
      <c r="L65" s="223">
        <v>4</v>
      </c>
      <c r="M65" s="223">
        <v>21</v>
      </c>
      <c r="N65" s="223">
        <v>31</v>
      </c>
      <c r="O65" s="223">
        <v>17</v>
      </c>
      <c r="P65" s="223">
        <v>10</v>
      </c>
      <c r="Q65" s="223">
        <v>1</v>
      </c>
      <c r="R65" s="222"/>
    </row>
    <row r="66" spans="1:18" ht="15" customHeight="1">
      <c r="B66" s="153"/>
      <c r="C66" s="152"/>
      <c r="D66" s="149">
        <v>2023</v>
      </c>
      <c r="E66" s="274">
        <v>4</v>
      </c>
      <c r="F66" s="274">
        <v>40</v>
      </c>
      <c r="G66" s="274">
        <v>49</v>
      </c>
      <c r="H66" s="274">
        <v>13</v>
      </c>
      <c r="I66" s="274">
        <v>9</v>
      </c>
      <c r="J66" s="274">
        <v>1</v>
      </c>
      <c r="K66" s="274"/>
      <c r="L66" s="274">
        <v>2</v>
      </c>
      <c r="M66" s="274">
        <v>26</v>
      </c>
      <c r="N66" s="274">
        <v>45</v>
      </c>
      <c r="O66" s="274">
        <v>37</v>
      </c>
      <c r="P66" s="276">
        <v>27</v>
      </c>
      <c r="Q66" s="276">
        <v>7</v>
      </c>
      <c r="R66" s="222"/>
    </row>
    <row r="67" spans="1:18" ht="8.1" customHeight="1">
      <c r="B67" s="155"/>
      <c r="C67" s="145"/>
      <c r="D67" s="149"/>
      <c r="E67" s="150"/>
      <c r="F67" s="203"/>
      <c r="G67" s="203"/>
      <c r="H67" s="203"/>
      <c r="I67" s="203"/>
      <c r="J67" s="203"/>
      <c r="K67" s="203"/>
      <c r="L67" s="203"/>
      <c r="M67" s="208"/>
      <c r="N67" s="208"/>
      <c r="O67" s="204"/>
      <c r="P67" s="204"/>
      <c r="Q67" s="204"/>
      <c r="R67" s="203"/>
    </row>
    <row r="68" spans="1:18" ht="15" customHeight="1">
      <c r="B68" s="151" t="s">
        <v>105</v>
      </c>
      <c r="C68" s="152"/>
      <c r="D68" s="149">
        <v>2021</v>
      </c>
      <c r="E68" s="231">
        <v>22</v>
      </c>
      <c r="F68" s="223">
        <v>86</v>
      </c>
      <c r="G68" s="223">
        <v>58</v>
      </c>
      <c r="H68" s="223">
        <v>27</v>
      </c>
      <c r="I68" s="223">
        <v>2</v>
      </c>
      <c r="J68" s="223">
        <v>2</v>
      </c>
      <c r="K68" s="223"/>
      <c r="L68" s="223">
        <v>8</v>
      </c>
      <c r="M68" s="223">
        <v>17</v>
      </c>
      <c r="N68" s="223">
        <v>16</v>
      </c>
      <c r="O68" s="223">
        <v>13</v>
      </c>
      <c r="P68" s="223">
        <v>4</v>
      </c>
      <c r="Q68" s="223">
        <v>1</v>
      </c>
      <c r="R68" s="222"/>
    </row>
    <row r="69" spans="1:18" ht="15" customHeight="1">
      <c r="B69" s="153"/>
      <c r="C69" s="152"/>
      <c r="D69" s="149">
        <v>2022</v>
      </c>
      <c r="E69" s="223">
        <v>5</v>
      </c>
      <c r="F69" s="223">
        <v>51</v>
      </c>
      <c r="G69" s="223">
        <v>26</v>
      </c>
      <c r="H69" s="223">
        <v>13</v>
      </c>
      <c r="I69" s="223">
        <v>6</v>
      </c>
      <c r="J69" s="223">
        <v>3</v>
      </c>
      <c r="K69" s="223"/>
      <c r="L69" s="223">
        <v>2</v>
      </c>
      <c r="M69" s="223">
        <v>21</v>
      </c>
      <c r="N69" s="223">
        <v>25</v>
      </c>
      <c r="O69" s="223">
        <v>13</v>
      </c>
      <c r="P69" s="223">
        <v>6</v>
      </c>
      <c r="Q69" s="223">
        <v>2</v>
      </c>
      <c r="R69" s="222"/>
    </row>
    <row r="70" spans="1:18" ht="15" customHeight="1">
      <c r="B70" s="153"/>
      <c r="C70" s="152"/>
      <c r="D70" s="149">
        <v>2023</v>
      </c>
      <c r="E70" s="274">
        <v>5</v>
      </c>
      <c r="F70" s="274">
        <v>64</v>
      </c>
      <c r="G70" s="274">
        <v>57</v>
      </c>
      <c r="H70" s="274">
        <v>22</v>
      </c>
      <c r="I70" s="274">
        <v>5</v>
      </c>
      <c r="J70" s="274">
        <v>1</v>
      </c>
      <c r="K70" s="274"/>
      <c r="L70" s="274">
        <v>4</v>
      </c>
      <c r="M70" s="274">
        <v>24</v>
      </c>
      <c r="N70" s="274">
        <v>29</v>
      </c>
      <c r="O70" s="274">
        <v>23</v>
      </c>
      <c r="P70" s="276">
        <v>10</v>
      </c>
      <c r="Q70" s="276">
        <v>9</v>
      </c>
      <c r="R70" s="222"/>
    </row>
    <row r="71" spans="1:18" ht="8.1" customHeight="1">
      <c r="B71" s="153"/>
      <c r="C71" s="151"/>
      <c r="D71" s="149"/>
      <c r="E71" s="150"/>
      <c r="F71" s="203"/>
      <c r="G71" s="203"/>
      <c r="H71" s="203"/>
      <c r="I71" s="203"/>
      <c r="J71" s="203"/>
      <c r="K71" s="203"/>
      <c r="L71" s="203"/>
      <c r="M71" s="204"/>
      <c r="N71" s="204"/>
      <c r="O71" s="204"/>
      <c r="P71" s="208"/>
      <c r="Q71" s="208"/>
      <c r="R71" s="203"/>
    </row>
    <row r="72" spans="1:18" ht="15" customHeight="1">
      <c r="B72" s="151" t="s">
        <v>109</v>
      </c>
      <c r="C72" s="152"/>
      <c r="D72" s="149">
        <v>2021</v>
      </c>
      <c r="E72" s="223">
        <v>16</v>
      </c>
      <c r="F72" s="223">
        <v>99</v>
      </c>
      <c r="G72" s="223">
        <v>95</v>
      </c>
      <c r="H72" s="223">
        <v>32</v>
      </c>
      <c r="I72" s="223">
        <v>14</v>
      </c>
      <c r="J72" s="223">
        <v>5</v>
      </c>
      <c r="K72" s="223"/>
      <c r="L72" s="223">
        <v>9</v>
      </c>
      <c r="M72" s="223">
        <v>58</v>
      </c>
      <c r="N72" s="223">
        <v>59</v>
      </c>
      <c r="O72" s="223">
        <v>55</v>
      </c>
      <c r="P72" s="223">
        <v>24</v>
      </c>
      <c r="Q72" s="223">
        <v>5</v>
      </c>
      <c r="R72" s="222"/>
    </row>
    <row r="73" spans="1:18" ht="15" customHeight="1">
      <c r="B73" s="153"/>
      <c r="C73" s="152"/>
      <c r="D73" s="149">
        <v>2022</v>
      </c>
      <c r="E73" s="231">
        <v>6</v>
      </c>
      <c r="F73" s="223">
        <v>87</v>
      </c>
      <c r="G73" s="223">
        <v>90</v>
      </c>
      <c r="H73" s="223">
        <v>44</v>
      </c>
      <c r="I73" s="223">
        <v>12</v>
      </c>
      <c r="J73" s="223">
        <v>5</v>
      </c>
      <c r="K73" s="223"/>
      <c r="L73" s="223">
        <v>6</v>
      </c>
      <c r="M73" s="223">
        <v>42</v>
      </c>
      <c r="N73" s="223">
        <v>76</v>
      </c>
      <c r="O73" s="223">
        <v>61</v>
      </c>
      <c r="P73" s="223">
        <v>30</v>
      </c>
      <c r="Q73" s="223">
        <v>12</v>
      </c>
      <c r="R73" s="222"/>
    </row>
    <row r="74" spans="1:18" ht="15" customHeight="1">
      <c r="A74" s="177"/>
      <c r="B74" s="225"/>
      <c r="C74" s="226"/>
      <c r="D74" s="227">
        <v>2023</v>
      </c>
      <c r="E74" s="274">
        <v>3</v>
      </c>
      <c r="F74" s="274">
        <v>65</v>
      </c>
      <c r="G74" s="274">
        <v>92</v>
      </c>
      <c r="H74" s="274">
        <v>32</v>
      </c>
      <c r="I74" s="274">
        <v>16</v>
      </c>
      <c r="J74" s="274">
        <v>10</v>
      </c>
      <c r="K74" s="274"/>
      <c r="L74" s="274">
        <v>4</v>
      </c>
      <c r="M74" s="274">
        <v>62</v>
      </c>
      <c r="N74" s="274">
        <v>83</v>
      </c>
      <c r="O74" s="274">
        <v>72</v>
      </c>
      <c r="P74" s="276">
        <v>35</v>
      </c>
      <c r="Q74" s="276">
        <v>24</v>
      </c>
      <c r="R74" s="222"/>
    </row>
    <row r="75" spans="1:18" ht="8.1" customHeight="1" thickBot="1">
      <c r="A75" s="156"/>
      <c r="B75" s="156"/>
      <c r="C75" s="156"/>
      <c r="D75" s="157"/>
      <c r="E75" s="158"/>
      <c r="F75" s="158"/>
      <c r="G75" s="158"/>
      <c r="H75" s="158"/>
      <c r="I75" s="158"/>
      <c r="J75" s="158"/>
      <c r="K75" s="158"/>
      <c r="L75" s="158"/>
      <c r="M75" s="228"/>
      <c r="N75" s="228"/>
      <c r="O75" s="229"/>
      <c r="P75" s="229"/>
      <c r="Q75" s="229"/>
      <c r="R75" s="158"/>
    </row>
    <row r="76" spans="1:18" s="87" customFormat="1" ht="15.95" customHeight="1">
      <c r="B76" s="88"/>
      <c r="C76" s="89"/>
      <c r="D76" s="90"/>
      <c r="E76" s="91"/>
      <c r="F76" s="91"/>
      <c r="R76" s="92" t="s">
        <v>19</v>
      </c>
    </row>
    <row r="77" spans="1:18" s="87" customFormat="1" ht="15.95" customHeight="1">
      <c r="B77" s="88"/>
      <c r="C77" s="89"/>
      <c r="D77" s="90"/>
      <c r="E77" s="91"/>
      <c r="F77" s="91"/>
      <c r="R77" s="93" t="s">
        <v>20</v>
      </c>
    </row>
    <row r="78" spans="1:18" ht="15" customHeight="1">
      <c r="B78" s="212"/>
      <c r="C78" s="213"/>
      <c r="D78" s="214"/>
      <c r="E78" s="219"/>
      <c r="F78" s="220"/>
      <c r="G78" s="220"/>
      <c r="H78" s="220"/>
      <c r="I78" s="220"/>
      <c r="J78" s="220"/>
      <c r="K78" s="220"/>
      <c r="L78" s="220"/>
      <c r="M78" s="221"/>
      <c r="N78" s="221"/>
      <c r="O78" s="196"/>
      <c r="P78" s="196"/>
      <c r="Q78" s="196"/>
      <c r="R78" s="220"/>
    </row>
    <row r="79" spans="1:18" ht="15" customHeight="1">
      <c r="D79" s="217"/>
      <c r="E79" s="216"/>
      <c r="F79" s="216"/>
      <c r="G79" s="216"/>
      <c r="H79" s="216"/>
      <c r="L79" s="215"/>
      <c r="M79" s="218"/>
      <c r="N79" s="218"/>
    </row>
    <row r="80" spans="1:18" ht="15" customHeight="1">
      <c r="B80" s="138"/>
      <c r="C80" s="138"/>
      <c r="D80" s="139"/>
      <c r="E80" s="140"/>
      <c r="F80" s="140"/>
      <c r="G80" s="140"/>
      <c r="H80" s="140"/>
      <c r="I80" s="140"/>
      <c r="J80" s="140"/>
      <c r="K80" s="140"/>
      <c r="L80" s="140"/>
      <c r="R80" s="140"/>
    </row>
    <row r="81" spans="2:18" ht="15" customHeight="1">
      <c r="B81" s="138"/>
      <c r="C81" s="138"/>
      <c r="D81" s="139"/>
      <c r="E81" s="140"/>
      <c r="F81" s="140"/>
      <c r="G81" s="140"/>
      <c r="H81" s="140"/>
      <c r="I81" s="140"/>
      <c r="J81" s="140"/>
      <c r="K81" s="140"/>
      <c r="L81" s="140"/>
      <c r="R81" s="140"/>
    </row>
    <row r="82" spans="2:18" ht="15" customHeight="1">
      <c r="B82" s="138"/>
      <c r="C82" s="138"/>
      <c r="D82" s="139"/>
      <c r="E82" s="140"/>
      <c r="F82" s="140"/>
      <c r="G82" s="140"/>
      <c r="H82" s="140"/>
      <c r="I82" s="140"/>
      <c r="J82" s="140"/>
      <c r="K82" s="140"/>
      <c r="L82" s="140"/>
      <c r="R82" s="140"/>
    </row>
    <row r="83" spans="2:18" ht="15" customHeight="1">
      <c r="B83" s="138"/>
      <c r="C83" s="138"/>
      <c r="D83" s="139"/>
      <c r="E83" s="140"/>
      <c r="F83" s="140"/>
      <c r="G83" s="140"/>
      <c r="H83" s="140"/>
      <c r="I83" s="140"/>
      <c r="J83" s="140"/>
      <c r="K83" s="140"/>
      <c r="L83" s="140"/>
      <c r="R83" s="140"/>
    </row>
    <row r="84" spans="2:18" ht="15" customHeight="1">
      <c r="B84" s="138"/>
      <c r="C84" s="138"/>
      <c r="D84" s="139"/>
      <c r="E84" s="140"/>
      <c r="F84" s="140"/>
      <c r="G84" s="140"/>
      <c r="H84" s="140"/>
      <c r="I84" s="140"/>
      <c r="J84" s="140"/>
      <c r="K84" s="140"/>
      <c r="L84" s="140"/>
      <c r="R84" s="140"/>
    </row>
    <row r="85" spans="2:18" ht="15" customHeight="1">
      <c r="B85" s="138"/>
      <c r="C85" s="138"/>
      <c r="D85" s="139"/>
      <c r="E85" s="140"/>
      <c r="F85" s="140"/>
      <c r="G85" s="140"/>
      <c r="H85" s="140"/>
      <c r="I85" s="140"/>
      <c r="J85" s="140"/>
      <c r="K85" s="140"/>
      <c r="L85" s="140"/>
      <c r="R85" s="140"/>
    </row>
    <row r="86" spans="2:18" ht="15" customHeight="1">
      <c r="B86" s="138"/>
      <c r="C86" s="138"/>
      <c r="D86" s="139"/>
      <c r="E86" s="140"/>
      <c r="F86" s="140"/>
      <c r="G86" s="140"/>
      <c r="H86" s="140"/>
      <c r="I86" s="140"/>
      <c r="J86" s="140"/>
      <c r="K86" s="140"/>
      <c r="L86" s="140"/>
      <c r="R86" s="140"/>
    </row>
    <row r="87" spans="2:18" ht="15" customHeight="1">
      <c r="B87" s="138"/>
      <c r="C87" s="138"/>
      <c r="D87" s="139"/>
      <c r="E87" s="140"/>
      <c r="F87" s="140"/>
      <c r="G87" s="140"/>
      <c r="H87" s="140"/>
      <c r="I87" s="140"/>
      <c r="J87" s="140"/>
      <c r="K87" s="140"/>
      <c r="L87" s="140"/>
      <c r="R87" s="140"/>
    </row>
    <row r="88" spans="2:18" ht="15" customHeight="1">
      <c r="B88" s="138"/>
      <c r="C88" s="138"/>
      <c r="D88" s="139"/>
      <c r="E88" s="140"/>
      <c r="F88" s="140"/>
      <c r="G88" s="140"/>
      <c r="H88" s="140"/>
      <c r="I88" s="140"/>
      <c r="J88" s="140"/>
      <c r="K88" s="140"/>
      <c r="L88" s="140"/>
      <c r="R88" s="140"/>
    </row>
    <row r="89" spans="2:18" ht="15" customHeight="1">
      <c r="B89" s="138"/>
      <c r="C89" s="138"/>
      <c r="D89" s="139"/>
      <c r="E89" s="140"/>
      <c r="F89" s="140"/>
      <c r="G89" s="140"/>
      <c r="H89" s="140"/>
      <c r="I89" s="140"/>
      <c r="J89" s="140"/>
      <c r="K89" s="140"/>
      <c r="L89" s="140"/>
      <c r="R89" s="140"/>
    </row>
    <row r="90" spans="2:18" ht="15" customHeight="1">
      <c r="B90" s="138"/>
      <c r="C90" s="138"/>
      <c r="D90" s="139"/>
      <c r="E90" s="140"/>
      <c r="F90" s="140"/>
      <c r="G90" s="140"/>
      <c r="H90" s="140"/>
      <c r="I90" s="140"/>
      <c r="J90" s="140"/>
      <c r="K90" s="140"/>
      <c r="L90" s="140"/>
      <c r="R90" s="140"/>
    </row>
    <row r="91" spans="2:18" ht="15" customHeight="1">
      <c r="B91" s="138"/>
      <c r="C91" s="138"/>
      <c r="D91" s="139"/>
      <c r="E91" s="140"/>
      <c r="F91" s="140"/>
      <c r="G91" s="140"/>
      <c r="H91" s="140"/>
      <c r="I91" s="140"/>
      <c r="J91" s="140"/>
      <c r="K91" s="140"/>
      <c r="L91" s="140"/>
      <c r="R91" s="140"/>
    </row>
    <row r="92" spans="2:18" ht="15" customHeight="1">
      <c r="B92" s="138"/>
      <c r="C92" s="138"/>
      <c r="D92" s="139"/>
      <c r="E92" s="140"/>
      <c r="F92" s="140"/>
      <c r="G92" s="140"/>
      <c r="H92" s="140"/>
      <c r="I92" s="140"/>
      <c r="J92" s="140"/>
      <c r="K92" s="140"/>
      <c r="L92" s="140"/>
      <c r="R92" s="140"/>
    </row>
    <row r="93" spans="2:18" ht="15" customHeight="1">
      <c r="B93" s="138"/>
      <c r="C93" s="138"/>
      <c r="D93" s="139"/>
      <c r="E93" s="140"/>
      <c r="F93" s="140"/>
      <c r="G93" s="140"/>
      <c r="H93" s="140"/>
      <c r="I93" s="140"/>
      <c r="J93" s="140"/>
      <c r="K93" s="140"/>
      <c r="L93" s="140"/>
      <c r="R93" s="140"/>
    </row>
    <row r="94" spans="2:18" ht="15" customHeight="1">
      <c r="B94" s="138"/>
      <c r="C94" s="138"/>
      <c r="D94" s="139"/>
      <c r="E94" s="140"/>
      <c r="F94" s="140"/>
      <c r="G94" s="140"/>
      <c r="H94" s="140"/>
      <c r="I94" s="140"/>
      <c r="J94" s="140"/>
      <c r="K94" s="140"/>
      <c r="L94" s="140"/>
      <c r="R94" s="140"/>
    </row>
    <row r="95" spans="2:18" ht="15" customHeight="1">
      <c r="B95" s="138"/>
      <c r="C95" s="138"/>
      <c r="D95" s="139"/>
      <c r="E95" s="140"/>
      <c r="F95" s="140"/>
      <c r="G95" s="140"/>
      <c r="H95" s="140"/>
      <c r="I95" s="140"/>
      <c r="J95" s="140"/>
      <c r="K95" s="140"/>
      <c r="L95" s="140"/>
      <c r="R95" s="140"/>
    </row>
    <row r="96" spans="2:18" ht="15" customHeight="1">
      <c r="B96" s="138"/>
      <c r="C96" s="138"/>
      <c r="D96" s="139"/>
      <c r="E96" s="140"/>
      <c r="F96" s="140"/>
      <c r="G96" s="140"/>
      <c r="H96" s="140"/>
      <c r="I96" s="140"/>
      <c r="J96" s="140"/>
      <c r="K96" s="140"/>
      <c r="L96" s="140"/>
      <c r="R96" s="140"/>
    </row>
    <row r="97" spans="2:18" ht="15" customHeight="1">
      <c r="B97" s="138"/>
      <c r="C97" s="138"/>
      <c r="D97" s="139"/>
      <c r="E97" s="140"/>
      <c r="F97" s="140"/>
      <c r="G97" s="140"/>
      <c r="H97" s="140"/>
      <c r="I97" s="140"/>
      <c r="J97" s="140"/>
      <c r="K97" s="140"/>
      <c r="L97" s="140"/>
      <c r="R97" s="140"/>
    </row>
    <row r="98" spans="2:18" ht="15" customHeight="1">
      <c r="B98" s="138"/>
      <c r="C98" s="138"/>
      <c r="D98" s="139"/>
      <c r="E98" s="140"/>
      <c r="F98" s="140"/>
      <c r="G98" s="140"/>
      <c r="H98" s="140"/>
      <c r="I98" s="140"/>
      <c r="J98" s="140"/>
      <c r="K98" s="140"/>
      <c r="L98" s="140"/>
      <c r="R98" s="140"/>
    </row>
    <row r="99" spans="2:18" ht="15" customHeight="1">
      <c r="B99" s="138"/>
      <c r="C99" s="138"/>
      <c r="D99" s="139"/>
      <c r="E99" s="140"/>
      <c r="F99" s="140"/>
      <c r="G99" s="140"/>
      <c r="H99" s="140"/>
      <c r="I99" s="140"/>
      <c r="J99" s="140"/>
      <c r="K99" s="140"/>
      <c r="L99" s="140"/>
      <c r="R99" s="140"/>
    </row>
    <row r="100" spans="2:18" ht="15" customHeight="1">
      <c r="B100" s="138"/>
      <c r="C100" s="138"/>
      <c r="D100" s="139"/>
      <c r="E100" s="140"/>
      <c r="F100" s="140"/>
      <c r="G100" s="140"/>
      <c r="H100" s="140"/>
      <c r="I100" s="140"/>
      <c r="J100" s="140"/>
      <c r="K100" s="140"/>
      <c r="L100" s="140"/>
      <c r="R100" s="140"/>
    </row>
    <row r="101" spans="2:18" ht="15" customHeight="1">
      <c r="B101" s="138"/>
      <c r="C101" s="138"/>
      <c r="D101" s="139"/>
      <c r="E101" s="140"/>
      <c r="F101" s="140"/>
      <c r="G101" s="140"/>
      <c r="H101" s="140"/>
      <c r="I101" s="140"/>
      <c r="J101" s="140"/>
      <c r="K101" s="140"/>
      <c r="L101" s="140"/>
      <c r="R101" s="140"/>
    </row>
    <row r="102" spans="2:18" ht="15" customHeight="1">
      <c r="B102" s="138"/>
      <c r="C102" s="138"/>
      <c r="D102" s="139"/>
      <c r="E102" s="140"/>
      <c r="F102" s="140"/>
      <c r="G102" s="140"/>
      <c r="H102" s="140"/>
      <c r="I102" s="140"/>
      <c r="J102" s="140"/>
      <c r="K102" s="140"/>
      <c r="L102" s="140"/>
      <c r="R102" s="140"/>
    </row>
    <row r="103" spans="2:18" ht="15" customHeight="1">
      <c r="B103" s="138"/>
      <c r="C103" s="138"/>
      <c r="D103" s="139"/>
      <c r="E103" s="140"/>
      <c r="F103" s="140"/>
      <c r="G103" s="140"/>
      <c r="H103" s="140"/>
      <c r="I103" s="140"/>
      <c r="J103" s="140"/>
      <c r="K103" s="140"/>
      <c r="L103" s="140"/>
      <c r="R103" s="140"/>
    </row>
    <row r="104" spans="2:18" ht="15" customHeight="1">
      <c r="B104" s="138"/>
      <c r="C104" s="138"/>
      <c r="D104" s="139"/>
      <c r="E104" s="140"/>
      <c r="F104" s="140"/>
      <c r="G104" s="140"/>
      <c r="H104" s="140"/>
      <c r="I104" s="140"/>
      <c r="J104" s="140"/>
      <c r="K104" s="140"/>
      <c r="L104" s="140"/>
      <c r="R104" s="140"/>
    </row>
    <row r="105" spans="2:18" ht="15" customHeight="1">
      <c r="B105" s="138"/>
      <c r="C105" s="138"/>
      <c r="D105" s="139"/>
      <c r="E105" s="140"/>
      <c r="F105" s="140"/>
      <c r="G105" s="140"/>
      <c r="H105" s="140"/>
      <c r="I105" s="140"/>
      <c r="J105" s="140"/>
      <c r="K105" s="140"/>
      <c r="L105" s="140"/>
      <c r="R105" s="140"/>
    </row>
    <row r="106" spans="2:18" ht="15" customHeight="1">
      <c r="B106" s="138"/>
      <c r="C106" s="138"/>
      <c r="D106" s="139"/>
      <c r="E106" s="140"/>
      <c r="F106" s="140"/>
      <c r="G106" s="140"/>
      <c r="H106" s="140"/>
      <c r="I106" s="140"/>
      <c r="J106" s="140"/>
      <c r="K106" s="140"/>
      <c r="L106" s="140"/>
      <c r="R106" s="140"/>
    </row>
    <row r="107" spans="2:18" ht="15" customHeight="1">
      <c r="B107" s="138"/>
      <c r="C107" s="138"/>
      <c r="D107" s="139"/>
      <c r="E107" s="140"/>
      <c r="F107" s="140"/>
      <c r="G107" s="140"/>
      <c r="H107" s="140"/>
      <c r="I107" s="140"/>
      <c r="J107" s="140"/>
      <c r="K107" s="140"/>
      <c r="L107" s="140"/>
      <c r="R107" s="140"/>
    </row>
    <row r="108" spans="2:18" ht="15" customHeight="1">
      <c r="B108" s="138"/>
      <c r="C108" s="138"/>
      <c r="D108" s="139"/>
      <c r="E108" s="140"/>
      <c r="F108" s="140"/>
      <c r="G108" s="140"/>
      <c r="H108" s="140"/>
      <c r="I108" s="140"/>
      <c r="J108" s="140"/>
      <c r="K108" s="140"/>
      <c r="L108" s="140"/>
      <c r="R108" s="140"/>
    </row>
    <row r="109" spans="2:18" ht="15" customHeight="1">
      <c r="B109" s="138"/>
      <c r="C109" s="138"/>
      <c r="D109" s="139"/>
      <c r="E109" s="140"/>
      <c r="F109" s="140"/>
      <c r="G109" s="140"/>
      <c r="H109" s="140"/>
      <c r="I109" s="140"/>
      <c r="J109" s="140"/>
      <c r="K109" s="140"/>
      <c r="L109" s="140"/>
      <c r="R109" s="140"/>
    </row>
    <row r="110" spans="2:18" ht="15" customHeight="1">
      <c r="B110" s="138"/>
      <c r="C110" s="138"/>
      <c r="D110" s="139"/>
      <c r="E110" s="140"/>
      <c r="F110" s="140"/>
      <c r="G110" s="140"/>
      <c r="H110" s="140"/>
      <c r="I110" s="140"/>
      <c r="J110" s="140"/>
      <c r="K110" s="140"/>
      <c r="L110" s="140"/>
      <c r="R110" s="140"/>
    </row>
    <row r="111" spans="2:18" ht="15" customHeight="1">
      <c r="B111" s="138"/>
      <c r="C111" s="138"/>
      <c r="D111" s="139"/>
      <c r="E111" s="140"/>
      <c r="F111" s="140"/>
      <c r="G111" s="140"/>
      <c r="H111" s="140"/>
      <c r="I111" s="140"/>
      <c r="J111" s="140"/>
      <c r="K111" s="140"/>
      <c r="L111" s="140"/>
      <c r="R111" s="140"/>
    </row>
    <row r="112" spans="2:18" ht="15" customHeight="1">
      <c r="B112" s="138"/>
      <c r="C112" s="138"/>
      <c r="D112" s="139"/>
      <c r="E112" s="140"/>
      <c r="F112" s="140"/>
      <c r="G112" s="140"/>
      <c r="H112" s="140"/>
      <c r="I112" s="140"/>
      <c r="J112" s="140"/>
      <c r="K112" s="140"/>
      <c r="L112" s="140"/>
      <c r="R112" s="140"/>
    </row>
    <row r="113" spans="2:18" ht="15" customHeight="1">
      <c r="B113" s="138"/>
      <c r="C113" s="138"/>
      <c r="D113" s="139"/>
      <c r="E113" s="140"/>
      <c r="F113" s="140"/>
      <c r="G113" s="140"/>
      <c r="H113" s="140"/>
      <c r="I113" s="140"/>
      <c r="J113" s="140"/>
      <c r="K113" s="140"/>
      <c r="L113" s="140"/>
      <c r="R113" s="140"/>
    </row>
    <row r="114" spans="2:18" ht="15" customHeight="1">
      <c r="B114" s="138"/>
      <c r="C114" s="138"/>
      <c r="D114" s="139"/>
      <c r="E114" s="140"/>
      <c r="F114" s="140"/>
      <c r="G114" s="140"/>
      <c r="H114" s="140"/>
      <c r="I114" s="140"/>
      <c r="J114" s="140"/>
      <c r="K114" s="140"/>
      <c r="L114" s="140"/>
      <c r="R114" s="140"/>
    </row>
    <row r="115" spans="2:18" ht="15" customHeight="1">
      <c r="B115" s="138"/>
      <c r="C115" s="138"/>
      <c r="D115" s="139"/>
      <c r="E115" s="140"/>
      <c r="F115" s="140"/>
      <c r="G115" s="140"/>
      <c r="H115" s="140"/>
      <c r="I115" s="140"/>
      <c r="J115" s="140"/>
      <c r="K115" s="140"/>
      <c r="L115" s="140"/>
      <c r="R115" s="140"/>
    </row>
    <row r="116" spans="2:18" ht="15" customHeight="1">
      <c r="B116" s="138"/>
      <c r="C116" s="138"/>
      <c r="D116" s="139"/>
      <c r="E116" s="140"/>
      <c r="F116" s="140"/>
      <c r="G116" s="140"/>
      <c r="H116" s="140"/>
      <c r="I116" s="140"/>
      <c r="J116" s="140"/>
      <c r="K116" s="140"/>
      <c r="L116" s="140"/>
      <c r="R116" s="140"/>
    </row>
    <row r="117" spans="2:18" ht="15" customHeight="1">
      <c r="B117" s="138"/>
      <c r="C117" s="138"/>
      <c r="D117" s="139"/>
      <c r="E117" s="140"/>
      <c r="F117" s="140"/>
      <c r="G117" s="140"/>
      <c r="H117" s="140"/>
      <c r="I117" s="140"/>
      <c r="J117" s="140"/>
      <c r="K117" s="140"/>
      <c r="L117" s="140"/>
      <c r="R117" s="140"/>
    </row>
    <row r="118" spans="2:18" ht="15" customHeight="1">
      <c r="B118" s="138"/>
      <c r="C118" s="138"/>
      <c r="D118" s="139"/>
      <c r="E118" s="140"/>
      <c r="F118" s="140"/>
      <c r="G118" s="140"/>
      <c r="H118" s="140"/>
      <c r="I118" s="140"/>
      <c r="J118" s="140"/>
      <c r="K118" s="140"/>
      <c r="L118" s="140"/>
      <c r="R118" s="140"/>
    </row>
    <row r="119" spans="2:18" ht="15" customHeight="1">
      <c r="B119" s="138"/>
      <c r="C119" s="138"/>
      <c r="D119" s="139"/>
      <c r="E119" s="140"/>
      <c r="F119" s="140"/>
      <c r="G119" s="140"/>
      <c r="H119" s="140"/>
      <c r="I119" s="140"/>
      <c r="J119" s="140"/>
      <c r="K119" s="140"/>
      <c r="L119" s="140"/>
      <c r="R119" s="140"/>
    </row>
    <row r="120" spans="2:18" ht="15" customHeight="1">
      <c r="B120" s="138"/>
      <c r="C120" s="138"/>
      <c r="D120" s="139"/>
      <c r="E120" s="140"/>
      <c r="F120" s="140"/>
      <c r="G120" s="140"/>
      <c r="H120" s="140"/>
      <c r="I120" s="140"/>
      <c r="J120" s="140"/>
      <c r="K120" s="140"/>
      <c r="L120" s="140"/>
      <c r="R120" s="140"/>
    </row>
    <row r="121" spans="2:18" ht="15" customHeight="1">
      <c r="B121" s="138"/>
      <c r="C121" s="138"/>
      <c r="D121" s="139"/>
      <c r="E121" s="140"/>
      <c r="F121" s="140"/>
      <c r="G121" s="140"/>
      <c r="H121" s="140"/>
      <c r="I121" s="140"/>
      <c r="J121" s="140"/>
      <c r="K121" s="140"/>
      <c r="L121" s="140"/>
      <c r="R121" s="140"/>
    </row>
    <row r="122" spans="2:18" ht="15" customHeight="1">
      <c r="B122" s="138"/>
      <c r="C122" s="138"/>
      <c r="D122" s="139"/>
      <c r="E122" s="140"/>
      <c r="F122" s="140"/>
      <c r="G122" s="140"/>
      <c r="H122" s="140"/>
      <c r="I122" s="140"/>
      <c r="J122" s="140"/>
      <c r="K122" s="140"/>
      <c r="L122" s="140"/>
      <c r="R122" s="140"/>
    </row>
    <row r="123" spans="2:18" ht="15" customHeight="1">
      <c r="B123" s="138"/>
      <c r="C123" s="138"/>
      <c r="D123" s="139"/>
      <c r="E123" s="140"/>
      <c r="F123" s="140"/>
      <c r="G123" s="140"/>
      <c r="H123" s="140"/>
      <c r="I123" s="140"/>
      <c r="J123" s="140"/>
      <c r="K123" s="140"/>
      <c r="L123" s="140"/>
      <c r="R123" s="140"/>
    </row>
    <row r="124" spans="2:18" ht="15" customHeight="1">
      <c r="B124" s="138"/>
      <c r="C124" s="138"/>
      <c r="D124" s="139"/>
      <c r="E124" s="140"/>
      <c r="F124" s="140"/>
      <c r="G124" s="140"/>
      <c r="H124" s="140"/>
      <c r="I124" s="140"/>
      <c r="J124" s="140"/>
      <c r="K124" s="140"/>
      <c r="L124" s="140"/>
      <c r="R124" s="140"/>
    </row>
    <row r="125" spans="2:18" ht="15" customHeight="1">
      <c r="B125" s="138"/>
      <c r="C125" s="138"/>
      <c r="D125" s="139"/>
      <c r="E125" s="140"/>
      <c r="F125" s="140"/>
      <c r="G125" s="140"/>
      <c r="H125" s="140"/>
      <c r="I125" s="140"/>
      <c r="J125" s="140"/>
      <c r="K125" s="140"/>
      <c r="L125" s="140"/>
      <c r="R125" s="140"/>
    </row>
    <row r="126" spans="2:18" ht="15" customHeight="1">
      <c r="B126" s="138"/>
      <c r="C126" s="138"/>
      <c r="D126" s="139"/>
      <c r="E126" s="140"/>
      <c r="F126" s="140"/>
      <c r="G126" s="140"/>
      <c r="H126" s="140"/>
      <c r="I126" s="140"/>
      <c r="J126" s="140"/>
      <c r="K126" s="140"/>
      <c r="L126" s="140"/>
      <c r="R126" s="140"/>
    </row>
    <row r="127" spans="2:18" ht="15" customHeight="1">
      <c r="B127" s="138"/>
      <c r="C127" s="138"/>
      <c r="D127" s="139"/>
      <c r="E127" s="140"/>
      <c r="F127" s="140"/>
      <c r="G127" s="140"/>
      <c r="H127" s="140"/>
      <c r="I127" s="140"/>
      <c r="J127" s="140"/>
      <c r="K127" s="140"/>
      <c r="L127" s="140"/>
      <c r="R127" s="140"/>
    </row>
    <row r="128" spans="2:18" ht="15" customHeight="1">
      <c r="B128" s="138"/>
      <c r="C128" s="138"/>
      <c r="D128" s="139"/>
      <c r="E128" s="140"/>
      <c r="F128" s="140"/>
      <c r="G128" s="140"/>
      <c r="H128" s="140"/>
      <c r="I128" s="140"/>
      <c r="J128" s="140"/>
      <c r="K128" s="140"/>
      <c r="L128" s="140"/>
      <c r="R128" s="140"/>
    </row>
    <row r="129" spans="2:18" ht="15" customHeight="1">
      <c r="B129" s="138"/>
      <c r="C129" s="138"/>
      <c r="D129" s="139"/>
      <c r="E129" s="140"/>
      <c r="F129" s="140"/>
      <c r="G129" s="140"/>
      <c r="H129" s="140"/>
      <c r="I129" s="140"/>
      <c r="J129" s="140"/>
      <c r="K129" s="140"/>
      <c r="L129" s="140"/>
      <c r="R129" s="140"/>
    </row>
    <row r="130" spans="2:18" ht="15" customHeight="1">
      <c r="B130" s="138"/>
      <c r="C130" s="138"/>
      <c r="D130" s="139"/>
      <c r="E130" s="140"/>
      <c r="F130" s="140"/>
      <c r="G130" s="140"/>
      <c r="H130" s="140"/>
      <c r="I130" s="140"/>
      <c r="J130" s="140"/>
      <c r="K130" s="140"/>
      <c r="L130" s="140"/>
      <c r="R130" s="140"/>
    </row>
    <row r="131" spans="2:18" ht="15" customHeight="1">
      <c r="B131" s="138"/>
      <c r="C131" s="138"/>
      <c r="D131" s="139"/>
      <c r="E131" s="140"/>
      <c r="F131" s="140"/>
      <c r="G131" s="140"/>
      <c r="H131" s="140"/>
      <c r="I131" s="140"/>
      <c r="J131" s="140"/>
      <c r="K131" s="140"/>
      <c r="L131" s="140"/>
      <c r="R131" s="140"/>
    </row>
    <row r="132" spans="2:18" ht="15" customHeight="1">
      <c r="B132" s="138"/>
      <c r="C132" s="138"/>
      <c r="D132" s="139"/>
      <c r="E132" s="140"/>
      <c r="F132" s="140"/>
      <c r="G132" s="140"/>
      <c r="H132" s="140"/>
      <c r="I132" s="140"/>
      <c r="J132" s="140"/>
      <c r="K132" s="140"/>
      <c r="L132" s="140"/>
      <c r="R132" s="140"/>
    </row>
    <row r="133" spans="2:18" ht="15" customHeight="1">
      <c r="B133" s="138"/>
      <c r="C133" s="138"/>
      <c r="D133" s="139"/>
      <c r="E133" s="140"/>
      <c r="F133" s="140"/>
      <c r="G133" s="140"/>
      <c r="H133" s="140"/>
      <c r="I133" s="140"/>
      <c r="J133" s="140"/>
      <c r="K133" s="140"/>
      <c r="L133" s="140"/>
      <c r="R133" s="140"/>
    </row>
    <row r="134" spans="2:18" ht="15" customHeight="1">
      <c r="B134" s="138"/>
      <c r="C134" s="138"/>
      <c r="D134" s="139"/>
      <c r="E134" s="140"/>
      <c r="F134" s="140"/>
      <c r="G134" s="140"/>
      <c r="H134" s="140"/>
      <c r="I134" s="140"/>
      <c r="J134" s="140"/>
      <c r="K134" s="140"/>
      <c r="L134" s="140"/>
      <c r="R134" s="140"/>
    </row>
    <row r="135" spans="2:18" ht="15" customHeight="1">
      <c r="B135" s="138"/>
      <c r="C135" s="138"/>
      <c r="D135" s="139"/>
      <c r="E135" s="140"/>
      <c r="F135" s="140"/>
      <c r="G135" s="140"/>
      <c r="H135" s="140"/>
      <c r="I135" s="140"/>
      <c r="J135" s="140"/>
      <c r="K135" s="140"/>
      <c r="L135" s="140"/>
      <c r="R135" s="140"/>
    </row>
    <row r="136" spans="2:18" ht="15" customHeight="1">
      <c r="B136" s="138"/>
      <c r="C136" s="138"/>
      <c r="D136" s="139"/>
      <c r="E136" s="140"/>
      <c r="F136" s="140"/>
      <c r="G136" s="140"/>
      <c r="H136" s="140"/>
      <c r="I136" s="140"/>
      <c r="J136" s="140"/>
      <c r="K136" s="140"/>
      <c r="L136" s="140"/>
      <c r="R136" s="140"/>
    </row>
    <row r="137" spans="2:18" ht="15" customHeight="1">
      <c r="B137" s="138"/>
      <c r="C137" s="138"/>
      <c r="D137" s="139"/>
      <c r="E137" s="140"/>
      <c r="F137" s="140"/>
      <c r="G137" s="140"/>
      <c r="H137" s="140"/>
      <c r="I137" s="140"/>
      <c r="J137" s="140"/>
      <c r="K137" s="140"/>
      <c r="L137" s="140"/>
      <c r="R137" s="140"/>
    </row>
    <row r="138" spans="2:18" ht="15" customHeight="1">
      <c r="B138" s="138"/>
      <c r="C138" s="138"/>
      <c r="D138" s="139"/>
      <c r="E138" s="140"/>
      <c r="F138" s="140"/>
      <c r="G138" s="140"/>
      <c r="H138" s="140"/>
      <c r="I138" s="140"/>
      <c r="J138" s="140"/>
      <c r="K138" s="140"/>
      <c r="L138" s="140"/>
      <c r="R138" s="140"/>
    </row>
    <row r="139" spans="2:18" ht="15" customHeight="1">
      <c r="B139" s="138"/>
      <c r="C139" s="138"/>
      <c r="D139" s="139"/>
      <c r="E139" s="140"/>
      <c r="F139" s="140"/>
      <c r="G139" s="140"/>
      <c r="H139" s="140"/>
      <c r="I139" s="140"/>
      <c r="J139" s="140"/>
      <c r="K139" s="140"/>
      <c r="L139" s="140"/>
      <c r="R139" s="140"/>
    </row>
    <row r="140" spans="2:18" ht="15" customHeight="1">
      <c r="B140" s="138"/>
      <c r="C140" s="138"/>
      <c r="D140" s="139"/>
      <c r="E140" s="140"/>
      <c r="F140" s="140"/>
      <c r="G140" s="140"/>
      <c r="H140" s="140"/>
      <c r="I140" s="140"/>
      <c r="J140" s="140"/>
      <c r="K140" s="140"/>
      <c r="L140" s="140"/>
      <c r="R140" s="140"/>
    </row>
    <row r="141" spans="2:18" ht="15" customHeight="1">
      <c r="B141" s="138"/>
      <c r="C141" s="138"/>
      <c r="D141" s="139"/>
      <c r="E141" s="140"/>
      <c r="F141" s="140"/>
      <c r="G141" s="140"/>
      <c r="H141" s="140"/>
      <c r="I141" s="140"/>
      <c r="J141" s="140"/>
      <c r="K141" s="140"/>
      <c r="L141" s="140"/>
      <c r="R141" s="140"/>
    </row>
    <row r="142" spans="2:18" ht="15" customHeight="1">
      <c r="B142" s="138"/>
      <c r="C142" s="138"/>
      <c r="D142" s="139"/>
      <c r="E142" s="140"/>
      <c r="F142" s="140"/>
      <c r="G142" s="140"/>
      <c r="H142" s="140"/>
      <c r="I142" s="140"/>
      <c r="J142" s="140"/>
      <c r="K142" s="140"/>
      <c r="L142" s="140"/>
      <c r="R142" s="140"/>
    </row>
    <row r="143" spans="2:18" ht="15" customHeight="1">
      <c r="B143" s="138"/>
      <c r="C143" s="138"/>
      <c r="D143" s="139"/>
      <c r="E143" s="140"/>
      <c r="F143" s="140"/>
      <c r="G143" s="140"/>
      <c r="H143" s="140"/>
      <c r="I143" s="140"/>
      <c r="J143" s="140"/>
      <c r="K143" s="140"/>
      <c r="L143" s="140"/>
      <c r="R143" s="140"/>
    </row>
    <row r="144" spans="2:18" ht="15" customHeight="1">
      <c r="B144" s="138"/>
      <c r="C144" s="138"/>
      <c r="D144" s="139"/>
      <c r="E144" s="140"/>
      <c r="F144" s="140"/>
      <c r="G144" s="140"/>
      <c r="H144" s="140"/>
      <c r="I144" s="140"/>
      <c r="J144" s="140"/>
      <c r="K144" s="140"/>
      <c r="L144" s="140"/>
      <c r="R144" s="140"/>
    </row>
    <row r="145" spans="2:18" ht="15" customHeight="1">
      <c r="B145" s="138"/>
      <c r="C145" s="138"/>
      <c r="D145" s="139"/>
      <c r="E145" s="140"/>
      <c r="F145" s="140"/>
      <c r="G145" s="140"/>
      <c r="H145" s="140"/>
      <c r="I145" s="140"/>
      <c r="J145" s="140"/>
      <c r="K145" s="140"/>
      <c r="L145" s="140"/>
      <c r="R145" s="140"/>
    </row>
    <row r="146" spans="2:18" ht="15" customHeight="1">
      <c r="B146" s="138"/>
      <c r="C146" s="138"/>
      <c r="D146" s="139"/>
      <c r="E146" s="140"/>
      <c r="F146" s="140"/>
      <c r="G146" s="140"/>
      <c r="H146" s="140"/>
      <c r="I146" s="140"/>
      <c r="J146" s="140"/>
      <c r="K146" s="140"/>
      <c r="L146" s="140"/>
      <c r="R146" s="140"/>
    </row>
    <row r="147" spans="2:18" ht="15" customHeight="1">
      <c r="B147" s="138"/>
      <c r="C147" s="138"/>
      <c r="D147" s="139"/>
      <c r="E147" s="140"/>
      <c r="F147" s="140"/>
      <c r="G147" s="140"/>
      <c r="H147" s="140"/>
      <c r="I147" s="140"/>
      <c r="J147" s="140"/>
      <c r="K147" s="140"/>
      <c r="L147" s="140"/>
      <c r="R147" s="140"/>
    </row>
    <row r="148" spans="2:18" ht="15" customHeight="1">
      <c r="B148" s="138"/>
      <c r="C148" s="138"/>
      <c r="D148" s="139"/>
      <c r="E148" s="140"/>
      <c r="F148" s="140"/>
      <c r="G148" s="140"/>
      <c r="H148" s="140"/>
      <c r="I148" s="140"/>
      <c r="J148" s="140"/>
      <c r="K148" s="140"/>
      <c r="L148" s="140"/>
      <c r="R148" s="140"/>
    </row>
    <row r="149" spans="2:18" ht="15" customHeight="1">
      <c r="B149" s="138"/>
      <c r="C149" s="138"/>
      <c r="D149" s="139"/>
      <c r="E149" s="140"/>
      <c r="F149" s="140"/>
      <c r="G149" s="140"/>
      <c r="H149" s="140"/>
      <c r="I149" s="140"/>
      <c r="J149" s="140"/>
      <c r="K149" s="140"/>
      <c r="L149" s="140"/>
      <c r="R149" s="140"/>
    </row>
    <row r="150" spans="2:18" ht="15" customHeight="1">
      <c r="B150" s="138"/>
      <c r="C150" s="138"/>
      <c r="D150" s="139"/>
      <c r="E150" s="140"/>
      <c r="F150" s="140"/>
      <c r="G150" s="140"/>
      <c r="H150" s="140"/>
      <c r="I150" s="140"/>
      <c r="J150" s="140"/>
      <c r="K150" s="140"/>
      <c r="L150" s="140"/>
      <c r="R150" s="140"/>
    </row>
    <row r="151" spans="2:18" ht="15" customHeight="1">
      <c r="B151" s="138"/>
      <c r="C151" s="138"/>
      <c r="D151" s="139"/>
      <c r="E151" s="140"/>
      <c r="F151" s="140"/>
      <c r="G151" s="140"/>
      <c r="H151" s="140"/>
      <c r="I151" s="140"/>
      <c r="J151" s="140"/>
      <c r="K151" s="140"/>
      <c r="L151" s="140"/>
      <c r="R151" s="140"/>
    </row>
    <row r="152" spans="2:18" ht="15" customHeight="1">
      <c r="B152" s="138"/>
      <c r="C152" s="138"/>
      <c r="D152" s="139"/>
      <c r="E152" s="140"/>
      <c r="F152" s="140"/>
      <c r="G152" s="140"/>
      <c r="H152" s="140"/>
      <c r="I152" s="140"/>
      <c r="J152" s="140"/>
      <c r="K152" s="140"/>
      <c r="L152" s="140"/>
      <c r="R152" s="140"/>
    </row>
    <row r="153" spans="2:18" ht="15" customHeight="1">
      <c r="B153" s="138"/>
      <c r="C153" s="138"/>
      <c r="D153" s="139"/>
      <c r="E153" s="140"/>
      <c r="F153" s="140"/>
      <c r="G153" s="140"/>
      <c r="H153" s="140"/>
      <c r="I153" s="140"/>
      <c r="J153" s="140"/>
      <c r="K153" s="140"/>
      <c r="L153" s="140"/>
      <c r="R153" s="140"/>
    </row>
    <row r="154" spans="2:18" ht="15" customHeight="1">
      <c r="B154" s="138"/>
      <c r="C154" s="138"/>
      <c r="D154" s="139"/>
      <c r="E154" s="140"/>
      <c r="F154" s="140"/>
      <c r="G154" s="140"/>
      <c r="H154" s="140"/>
      <c r="I154" s="140"/>
      <c r="J154" s="140"/>
      <c r="K154" s="140"/>
      <c r="L154" s="140"/>
      <c r="R154" s="140"/>
    </row>
    <row r="155" spans="2:18" ht="15" customHeight="1">
      <c r="B155" s="138"/>
      <c r="C155" s="138"/>
      <c r="D155" s="139"/>
      <c r="E155" s="140"/>
      <c r="F155" s="140"/>
      <c r="G155" s="140"/>
      <c r="H155" s="140"/>
      <c r="I155" s="140"/>
      <c r="J155" s="140"/>
      <c r="K155" s="140"/>
      <c r="L155" s="140"/>
      <c r="R155" s="140"/>
    </row>
    <row r="156" spans="2:18" ht="15" customHeight="1">
      <c r="B156" s="138"/>
      <c r="C156" s="138"/>
      <c r="D156" s="139"/>
      <c r="E156" s="140"/>
      <c r="F156" s="140"/>
      <c r="G156" s="140"/>
      <c r="H156" s="140"/>
      <c r="I156" s="140"/>
      <c r="J156" s="140"/>
      <c r="K156" s="140"/>
      <c r="L156" s="140"/>
      <c r="R156" s="140"/>
    </row>
    <row r="157" spans="2:18" ht="15" customHeight="1">
      <c r="B157" s="138"/>
      <c r="C157" s="138"/>
      <c r="D157" s="139"/>
      <c r="E157" s="140"/>
      <c r="F157" s="140"/>
      <c r="G157" s="140"/>
      <c r="H157" s="140"/>
      <c r="I157" s="140"/>
      <c r="J157" s="140"/>
      <c r="K157" s="140"/>
      <c r="L157" s="140"/>
      <c r="R157" s="140"/>
    </row>
    <row r="158" spans="2:18" ht="15" customHeight="1">
      <c r="B158" s="138"/>
      <c r="C158" s="138"/>
      <c r="D158" s="139"/>
      <c r="E158" s="140"/>
      <c r="F158" s="140"/>
      <c r="G158" s="140"/>
      <c r="H158" s="140"/>
      <c r="I158" s="140"/>
      <c r="J158" s="140"/>
      <c r="K158" s="140"/>
      <c r="L158" s="140"/>
      <c r="R158" s="140"/>
    </row>
    <row r="159" spans="2:18" ht="15" customHeight="1">
      <c r="B159" s="138"/>
      <c r="C159" s="138"/>
      <c r="D159" s="139"/>
      <c r="E159" s="140"/>
      <c r="F159" s="140"/>
      <c r="G159" s="140"/>
      <c r="H159" s="140"/>
      <c r="I159" s="140"/>
      <c r="J159" s="140"/>
      <c r="K159" s="140"/>
      <c r="L159" s="140"/>
      <c r="R159" s="140"/>
    </row>
    <row r="160" spans="2:18" ht="15" customHeight="1">
      <c r="B160" s="138"/>
      <c r="C160" s="138"/>
      <c r="D160" s="139"/>
      <c r="E160" s="140"/>
      <c r="F160" s="140"/>
      <c r="G160" s="140"/>
      <c r="H160" s="140"/>
      <c r="I160" s="140"/>
      <c r="J160" s="140"/>
      <c r="K160" s="140"/>
      <c r="L160" s="140"/>
      <c r="R160" s="140"/>
    </row>
    <row r="161" spans="2:18" ht="15" customHeight="1">
      <c r="B161" s="138"/>
      <c r="C161" s="138"/>
      <c r="D161" s="139"/>
      <c r="E161" s="140"/>
      <c r="F161" s="140"/>
      <c r="G161" s="140"/>
      <c r="H161" s="140"/>
      <c r="I161" s="140"/>
      <c r="J161" s="140"/>
      <c r="K161" s="140"/>
      <c r="L161" s="140"/>
      <c r="R161" s="140"/>
    </row>
    <row r="162" spans="2:18" ht="15" customHeight="1">
      <c r="B162" s="138"/>
      <c r="C162" s="138"/>
      <c r="D162" s="139"/>
      <c r="E162" s="140"/>
      <c r="F162" s="140"/>
      <c r="G162" s="140"/>
      <c r="H162" s="140"/>
      <c r="I162" s="140"/>
      <c r="J162" s="140"/>
      <c r="K162" s="140"/>
      <c r="L162" s="140"/>
      <c r="R162" s="140"/>
    </row>
    <row r="163" spans="2:18" ht="15" customHeight="1">
      <c r="B163" s="138"/>
      <c r="C163" s="138"/>
      <c r="D163" s="139"/>
      <c r="E163" s="140"/>
      <c r="F163" s="140"/>
      <c r="G163" s="140"/>
      <c r="H163" s="140"/>
      <c r="I163" s="140"/>
      <c r="J163" s="140"/>
      <c r="K163" s="140"/>
      <c r="L163" s="140"/>
      <c r="R163" s="140"/>
    </row>
    <row r="164" spans="2:18" ht="15" customHeight="1">
      <c r="B164" s="138"/>
      <c r="C164" s="138"/>
      <c r="D164" s="139"/>
      <c r="E164" s="140"/>
      <c r="F164" s="140"/>
      <c r="G164" s="140"/>
      <c r="H164" s="140"/>
      <c r="I164" s="140"/>
      <c r="J164" s="140"/>
      <c r="K164" s="140"/>
      <c r="L164" s="140"/>
      <c r="R164" s="140"/>
    </row>
    <row r="165" spans="2:18" ht="15" customHeight="1">
      <c r="B165" s="138"/>
      <c r="C165" s="138"/>
      <c r="D165" s="139"/>
      <c r="E165" s="140"/>
      <c r="F165" s="140"/>
      <c r="G165" s="140"/>
      <c r="H165" s="140"/>
      <c r="I165" s="140"/>
      <c r="J165" s="140"/>
      <c r="K165" s="140"/>
      <c r="L165" s="140"/>
      <c r="R165" s="140"/>
    </row>
    <row r="166" spans="2:18" ht="15" customHeight="1">
      <c r="B166" s="138"/>
      <c r="C166" s="138"/>
      <c r="D166" s="139"/>
      <c r="E166" s="140"/>
      <c r="F166" s="140"/>
      <c r="G166" s="140"/>
      <c r="H166" s="140"/>
      <c r="I166" s="140"/>
      <c r="J166" s="140"/>
      <c r="K166" s="140"/>
      <c r="L166" s="140"/>
      <c r="R166" s="140"/>
    </row>
    <row r="167" spans="2:18" ht="15" customHeight="1">
      <c r="B167" s="138"/>
      <c r="C167" s="138"/>
      <c r="D167" s="139"/>
      <c r="E167" s="140"/>
      <c r="F167" s="140"/>
      <c r="G167" s="140"/>
      <c r="H167" s="140"/>
      <c r="I167" s="140"/>
      <c r="J167" s="140"/>
      <c r="K167" s="140"/>
      <c r="L167" s="140"/>
      <c r="R167" s="140"/>
    </row>
    <row r="168" spans="2:18" ht="15" customHeight="1">
      <c r="B168" s="138"/>
      <c r="C168" s="138"/>
      <c r="D168" s="139"/>
      <c r="E168" s="140"/>
      <c r="F168" s="140"/>
      <c r="G168" s="140"/>
      <c r="H168" s="140"/>
      <c r="I168" s="140"/>
      <c r="J168" s="140"/>
      <c r="K168" s="140"/>
      <c r="L168" s="140"/>
      <c r="R168" s="140"/>
    </row>
    <row r="169" spans="2:18" ht="15" customHeight="1">
      <c r="B169" s="138"/>
      <c r="C169" s="138"/>
      <c r="D169" s="139"/>
      <c r="E169" s="140"/>
      <c r="F169" s="140"/>
      <c r="G169" s="140"/>
      <c r="H169" s="140"/>
      <c r="I169" s="140"/>
      <c r="J169" s="140"/>
      <c r="K169" s="140"/>
      <c r="L169" s="140"/>
      <c r="R169" s="140"/>
    </row>
    <row r="170" spans="2:18" ht="15" customHeight="1">
      <c r="B170" s="138"/>
      <c r="C170" s="138"/>
      <c r="D170" s="139"/>
      <c r="E170" s="140"/>
      <c r="F170" s="140"/>
      <c r="G170" s="140"/>
      <c r="H170" s="140"/>
      <c r="I170" s="140"/>
      <c r="J170" s="140"/>
      <c r="K170" s="140"/>
      <c r="L170" s="140"/>
      <c r="R170" s="140"/>
    </row>
    <row r="171" spans="2:18" ht="15" customHeight="1">
      <c r="B171" s="138"/>
      <c r="C171" s="138"/>
      <c r="D171" s="139"/>
      <c r="E171" s="140"/>
      <c r="F171" s="140"/>
      <c r="G171" s="140"/>
      <c r="H171" s="140"/>
      <c r="I171" s="140"/>
      <c r="J171" s="140"/>
      <c r="K171" s="140"/>
      <c r="L171" s="140"/>
      <c r="R171" s="140"/>
    </row>
    <row r="172" spans="2:18" ht="15" customHeight="1">
      <c r="B172" s="138"/>
      <c r="C172" s="138"/>
      <c r="D172" s="139"/>
      <c r="E172" s="140"/>
      <c r="F172" s="140"/>
      <c r="G172" s="140"/>
      <c r="H172" s="140"/>
      <c r="I172" s="140"/>
      <c r="J172" s="140"/>
      <c r="K172" s="140"/>
      <c r="L172" s="140"/>
      <c r="R172" s="140"/>
    </row>
    <row r="173" spans="2:18" ht="15" customHeight="1">
      <c r="B173" s="138"/>
      <c r="C173" s="138"/>
      <c r="D173" s="139"/>
      <c r="E173" s="140"/>
      <c r="F173" s="140"/>
      <c r="G173" s="140"/>
      <c r="H173" s="140"/>
      <c r="I173" s="140"/>
      <c r="J173" s="140"/>
      <c r="K173" s="140"/>
      <c r="L173" s="140"/>
      <c r="R173" s="140"/>
    </row>
  </sheetData>
  <mergeCells count="6">
    <mergeCell ref="K1:M1"/>
    <mergeCell ref="L7:M7"/>
    <mergeCell ref="E10:J10"/>
    <mergeCell ref="L10:Q10"/>
    <mergeCell ref="E11:J11"/>
    <mergeCell ref="L11:Q11"/>
  </mergeCells>
  <printOptions horizontalCentered="1"/>
  <pageMargins left="0.39370078740157483" right="0.39370078740157483" top="0.51181102362204722" bottom="0.39370078740157483" header="0.31496062992125984" footer="0.31496062992125984"/>
  <pageSetup paperSize="9" scale="75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72"/>
  <sheetViews>
    <sheetView tabSelected="1" view="pageBreakPreview" topLeftCell="A67" zoomScale="95" zoomScaleNormal="100" zoomScaleSheetLayoutView="95" workbookViewId="0">
      <selection activeCell="M12" sqref="M12"/>
    </sheetView>
  </sheetViews>
  <sheetFormatPr defaultColWidth="9.140625" defaultRowHeight="13.5"/>
  <cols>
    <col min="1" max="1" width="2.140625" style="59" customWidth="1"/>
    <col min="2" max="2" width="10.42578125" style="60" customWidth="1"/>
    <col min="3" max="3" width="12.7109375" style="60" customWidth="1"/>
    <col min="4" max="4" width="41.42578125" style="61" customWidth="1"/>
    <col min="5" max="7" width="14.85546875" style="61" customWidth="1"/>
    <col min="8" max="8" width="1.85546875" style="59" customWidth="1"/>
    <col min="9" max="9" width="9.140625" style="62"/>
    <col min="10" max="10" width="9.140625" style="59"/>
    <col min="11" max="11" width="13.42578125" style="59" customWidth="1"/>
    <col min="12" max="16384" width="9.140625" style="59"/>
  </cols>
  <sheetData>
    <row r="1" spans="1:10" s="45" customFormat="1">
      <c r="B1" s="46"/>
      <c r="C1" s="46"/>
      <c r="E1" s="47"/>
      <c r="F1" s="47"/>
      <c r="G1" s="47"/>
      <c r="H1" s="4" t="s">
        <v>7</v>
      </c>
      <c r="I1" s="48"/>
      <c r="J1" s="46"/>
    </row>
    <row r="2" spans="1:10" s="45" customFormat="1">
      <c r="B2" s="46"/>
      <c r="C2" s="46"/>
      <c r="E2" s="49"/>
      <c r="F2" s="49"/>
      <c r="G2" s="49"/>
      <c r="H2" s="5" t="s">
        <v>55</v>
      </c>
      <c r="I2" s="51"/>
      <c r="J2" s="46"/>
    </row>
    <row r="3" spans="1:10" s="45" customFormat="1">
      <c r="B3" s="46"/>
      <c r="C3" s="46"/>
      <c r="E3" s="52"/>
      <c r="F3" s="52"/>
      <c r="G3" s="52"/>
      <c r="H3" s="50"/>
      <c r="I3" s="51"/>
      <c r="J3" s="53"/>
    </row>
    <row r="4" spans="1:10" s="45" customFormat="1">
      <c r="B4" s="52"/>
      <c r="C4" s="52"/>
      <c r="E4" s="52"/>
      <c r="F4" s="52"/>
      <c r="G4" s="52"/>
      <c r="I4" s="54"/>
      <c r="J4" s="46"/>
    </row>
    <row r="5" spans="1:10" s="45" customFormat="1" ht="15" customHeight="1">
      <c r="B5" s="82" t="s">
        <v>123</v>
      </c>
      <c r="C5" s="83" t="s">
        <v>25</v>
      </c>
      <c r="E5" s="55"/>
      <c r="F5" s="55"/>
      <c r="G5" s="55"/>
      <c r="I5" s="54"/>
      <c r="J5" s="46"/>
    </row>
    <row r="6" spans="1:10" s="45" customFormat="1" ht="15" customHeight="1">
      <c r="B6" s="82"/>
      <c r="C6" s="83" t="s">
        <v>83</v>
      </c>
      <c r="E6" s="55"/>
      <c r="F6" s="55"/>
      <c r="G6" s="55"/>
      <c r="I6" s="54"/>
      <c r="J6" s="46"/>
    </row>
    <row r="7" spans="1:10" s="45" customFormat="1">
      <c r="B7" s="84" t="s">
        <v>124</v>
      </c>
      <c r="C7" s="85" t="s">
        <v>26</v>
      </c>
      <c r="E7" s="52"/>
      <c r="F7" s="52"/>
      <c r="G7" s="52"/>
      <c r="I7" s="54"/>
      <c r="J7" s="46"/>
    </row>
    <row r="8" spans="1:10" s="45" customFormat="1">
      <c r="B8" s="84"/>
      <c r="C8" s="85" t="s">
        <v>84</v>
      </c>
      <c r="E8" s="52"/>
      <c r="F8" s="52"/>
      <c r="G8" s="52"/>
      <c r="I8" s="54"/>
      <c r="J8" s="46"/>
    </row>
    <row r="9" spans="1:10" s="45" customFormat="1" ht="8.1" customHeight="1">
      <c r="B9" s="56"/>
      <c r="C9" s="56"/>
      <c r="D9" s="57"/>
      <c r="E9" s="58"/>
      <c r="F9" s="58"/>
      <c r="G9" s="58"/>
      <c r="I9" s="54"/>
      <c r="J9" s="46"/>
    </row>
    <row r="10" spans="1:10" ht="14.25" thickBot="1"/>
    <row r="11" spans="1:10" ht="44.25" customHeight="1" thickTop="1">
      <c r="A11" s="63"/>
      <c r="B11" s="64" t="s">
        <v>34</v>
      </c>
      <c r="C11" s="64"/>
      <c r="D11" s="64" t="s">
        <v>35</v>
      </c>
      <c r="E11" s="65">
        <v>2021</v>
      </c>
      <c r="F11" s="65">
        <v>2022</v>
      </c>
      <c r="G11" s="65">
        <v>2023</v>
      </c>
      <c r="H11" s="63"/>
    </row>
    <row r="12" spans="1:10" ht="8.1" customHeight="1">
      <c r="A12" s="61"/>
      <c r="B12" s="66"/>
      <c r="C12" s="66"/>
      <c r="D12" s="66"/>
      <c r="E12" s="67"/>
      <c r="F12" s="67"/>
      <c r="G12" s="67"/>
      <c r="H12" s="61"/>
    </row>
    <row r="13" spans="1:10" ht="15.95" customHeight="1">
      <c r="A13" s="61"/>
      <c r="B13" s="66" t="s">
        <v>0</v>
      </c>
      <c r="C13" s="66"/>
      <c r="D13" s="66"/>
      <c r="E13" s="109">
        <f>SUM(E16,E24,E20,E33,D54,D57)</f>
        <v>12872</v>
      </c>
      <c r="F13" s="109">
        <f>SUM(F16,F24,F20,F33,E54,E57)</f>
        <v>21039</v>
      </c>
      <c r="G13" s="109"/>
      <c r="H13" s="61"/>
      <c r="I13" s="68"/>
    </row>
    <row r="14" spans="1:10" ht="15.95" customHeight="1">
      <c r="A14" s="61"/>
      <c r="B14" s="69" t="s">
        <v>1</v>
      </c>
      <c r="C14" s="66"/>
      <c r="D14" s="66"/>
      <c r="E14" s="109"/>
      <c r="F14" s="109"/>
      <c r="G14" s="109"/>
      <c r="H14" s="61"/>
    </row>
    <row r="15" spans="1:10" ht="8.1" customHeight="1">
      <c r="A15" s="61"/>
      <c r="B15" s="69"/>
      <c r="C15" s="66"/>
      <c r="D15" s="66"/>
      <c r="E15" s="109"/>
      <c r="F15" s="109"/>
      <c r="G15" s="109"/>
      <c r="H15" s="61"/>
    </row>
    <row r="16" spans="1:10" ht="33" customHeight="1">
      <c r="B16" s="70" t="s">
        <v>36</v>
      </c>
      <c r="C16" s="71"/>
      <c r="E16" s="109">
        <f>SUM(E17:E19)</f>
        <v>1448</v>
      </c>
      <c r="F16" s="109">
        <f>SUM(F17:F19)</f>
        <v>2040</v>
      </c>
      <c r="G16" s="109"/>
    </row>
    <row r="17" spans="2:9" ht="33" customHeight="1">
      <c r="B17" s="70"/>
      <c r="C17" s="71"/>
      <c r="D17" s="73" t="s">
        <v>37</v>
      </c>
      <c r="E17" s="110">
        <v>875</v>
      </c>
      <c r="F17" s="110">
        <v>613</v>
      </c>
      <c r="G17" s="110"/>
    </row>
    <row r="18" spans="2:9" ht="45.75" customHeight="1">
      <c r="B18" s="70"/>
      <c r="C18" s="71"/>
      <c r="D18" s="73" t="s">
        <v>66</v>
      </c>
      <c r="E18" s="110">
        <v>404</v>
      </c>
      <c r="F18" s="110">
        <v>315</v>
      </c>
      <c r="G18" s="110"/>
    </row>
    <row r="19" spans="2:9" ht="33" customHeight="1">
      <c r="B19" s="70"/>
      <c r="C19" s="71"/>
      <c r="D19" s="73" t="s">
        <v>38</v>
      </c>
      <c r="E19" s="110">
        <v>169</v>
      </c>
      <c r="F19" s="110">
        <v>1112</v>
      </c>
      <c r="G19" s="110"/>
      <c r="I19" s="68"/>
    </row>
    <row r="20" spans="2:9" ht="33" customHeight="1">
      <c r="B20" s="302" t="s">
        <v>39</v>
      </c>
      <c r="C20" s="71"/>
      <c r="E20" s="109">
        <f>SUM(E21:E23)</f>
        <v>7851</v>
      </c>
      <c r="F20" s="109">
        <f>SUM(F21:F23)</f>
        <v>5595</v>
      </c>
      <c r="G20" s="109"/>
    </row>
    <row r="21" spans="2:9" ht="33" customHeight="1">
      <c r="B21" s="302"/>
      <c r="C21" s="71"/>
      <c r="D21" s="73" t="s">
        <v>63</v>
      </c>
      <c r="E21" s="110">
        <v>1207</v>
      </c>
      <c r="F21" s="110">
        <v>658</v>
      </c>
      <c r="G21" s="110"/>
    </row>
    <row r="22" spans="2:9" ht="33" customHeight="1">
      <c r="B22" s="302"/>
      <c r="C22" s="71"/>
      <c r="D22" s="73" t="s">
        <v>59</v>
      </c>
      <c r="E22" s="110">
        <v>5716</v>
      </c>
      <c r="F22" s="110">
        <v>4497</v>
      </c>
      <c r="G22" s="110"/>
    </row>
    <row r="23" spans="2:9" ht="33" customHeight="1">
      <c r="B23" s="70"/>
      <c r="C23" s="71"/>
      <c r="D23" s="73" t="s">
        <v>40</v>
      </c>
      <c r="E23" s="110">
        <v>928</v>
      </c>
      <c r="F23" s="110">
        <v>440</v>
      </c>
      <c r="G23" s="110"/>
      <c r="I23" s="68"/>
    </row>
    <row r="24" spans="2:9" ht="33" customHeight="1">
      <c r="B24" s="302" t="s">
        <v>41</v>
      </c>
      <c r="C24" s="71"/>
      <c r="E24" s="109">
        <f>SUM(E25:E32)</f>
        <v>3214</v>
      </c>
      <c r="F24" s="109">
        <f>SUM(F25:F32)</f>
        <v>2804</v>
      </c>
      <c r="G24" s="109"/>
    </row>
    <row r="25" spans="2:9" ht="33" customHeight="1">
      <c r="B25" s="302"/>
      <c r="C25" s="71"/>
      <c r="D25" s="73" t="s">
        <v>60</v>
      </c>
      <c r="E25" s="110">
        <v>155</v>
      </c>
      <c r="F25" s="110">
        <v>123</v>
      </c>
      <c r="G25" s="110"/>
      <c r="H25" s="106">
        <v>123</v>
      </c>
    </row>
    <row r="26" spans="2:9" ht="33" customHeight="1">
      <c r="B26" s="302"/>
      <c r="C26" s="71"/>
      <c r="D26" s="73" t="s">
        <v>61</v>
      </c>
      <c r="E26" s="110">
        <v>103</v>
      </c>
      <c r="F26" s="110">
        <v>97</v>
      </c>
      <c r="G26" s="110"/>
      <c r="H26" s="106">
        <v>97</v>
      </c>
    </row>
    <row r="27" spans="2:9" ht="41.25" customHeight="1">
      <c r="B27" s="302"/>
      <c r="C27" s="71"/>
      <c r="D27" s="73" t="s">
        <v>67</v>
      </c>
      <c r="E27" s="110">
        <v>125</v>
      </c>
      <c r="F27" s="110">
        <v>71</v>
      </c>
      <c r="G27" s="110"/>
      <c r="H27" s="106">
        <v>71</v>
      </c>
    </row>
    <row r="28" spans="2:9" ht="33" customHeight="1">
      <c r="B28" s="302"/>
      <c r="C28" s="71"/>
      <c r="D28" s="73" t="s">
        <v>68</v>
      </c>
      <c r="E28" s="110">
        <v>51</v>
      </c>
      <c r="F28" s="110">
        <v>13</v>
      </c>
      <c r="G28" s="110"/>
      <c r="H28" s="106">
        <v>13</v>
      </c>
    </row>
    <row r="29" spans="2:9" ht="33" customHeight="1">
      <c r="B29" s="302"/>
      <c r="C29" s="71"/>
      <c r="D29" s="73" t="s">
        <v>69</v>
      </c>
      <c r="E29" s="110">
        <v>242</v>
      </c>
      <c r="F29" s="110">
        <v>139</v>
      </c>
      <c r="G29" s="110"/>
      <c r="H29" s="106">
        <v>139</v>
      </c>
    </row>
    <row r="30" spans="2:9" ht="33" customHeight="1">
      <c r="B30" s="302"/>
      <c r="C30" s="71"/>
      <c r="D30" s="73" t="s">
        <v>70</v>
      </c>
      <c r="E30" s="110">
        <v>20</v>
      </c>
      <c r="F30" s="110">
        <v>28</v>
      </c>
      <c r="G30" s="110"/>
      <c r="H30" s="106">
        <v>28</v>
      </c>
    </row>
    <row r="31" spans="2:9" ht="33" customHeight="1">
      <c r="B31" s="302"/>
      <c r="C31" s="71"/>
      <c r="D31" s="74" t="s">
        <v>62</v>
      </c>
      <c r="E31" s="110">
        <v>288</v>
      </c>
      <c r="F31" s="110">
        <v>233</v>
      </c>
      <c r="G31" s="110"/>
      <c r="H31" s="106">
        <v>233</v>
      </c>
    </row>
    <row r="32" spans="2:9" ht="33" customHeight="1">
      <c r="B32" s="75"/>
      <c r="C32" s="71"/>
      <c r="D32" s="74" t="s">
        <v>42</v>
      </c>
      <c r="E32" s="110">
        <v>2230</v>
      </c>
      <c r="F32" s="110">
        <v>2100</v>
      </c>
      <c r="G32" s="110"/>
      <c r="H32" s="106">
        <v>2100</v>
      </c>
      <c r="I32" s="68"/>
    </row>
    <row r="33" spans="1:10" ht="33" customHeight="1">
      <c r="B33" s="302" t="s">
        <v>43</v>
      </c>
      <c r="C33" s="71"/>
      <c r="E33" s="109">
        <f>SUM(E34:E35)</f>
        <v>359</v>
      </c>
      <c r="F33" s="109">
        <f>SUM(F34:F35)</f>
        <v>288</v>
      </c>
      <c r="G33" s="109"/>
    </row>
    <row r="34" spans="1:10" ht="33" customHeight="1">
      <c r="B34" s="302"/>
      <c r="C34" s="71"/>
      <c r="D34" s="73" t="s">
        <v>44</v>
      </c>
      <c r="E34" s="110">
        <v>299</v>
      </c>
      <c r="F34" s="110">
        <v>232</v>
      </c>
      <c r="G34" s="110"/>
    </row>
    <row r="35" spans="1:10" ht="33" customHeight="1">
      <c r="B35" s="302"/>
      <c r="C35" s="71"/>
      <c r="D35" s="73" t="s">
        <v>71</v>
      </c>
      <c r="E35" s="110">
        <v>60</v>
      </c>
      <c r="F35" s="110">
        <v>56</v>
      </c>
      <c r="G35" s="110"/>
      <c r="I35" s="68"/>
    </row>
    <row r="36" spans="1:10" ht="8.1" customHeight="1" thickBot="1">
      <c r="A36" s="76"/>
      <c r="B36" s="77"/>
      <c r="C36" s="78"/>
      <c r="D36" s="79"/>
      <c r="E36" s="80"/>
      <c r="F36" s="80"/>
      <c r="G36" s="80"/>
      <c r="H36" s="76"/>
      <c r="I36" s="81"/>
    </row>
    <row r="37" spans="1:10" s="98" customFormat="1" ht="15.95" customHeight="1">
      <c r="B37" s="99"/>
      <c r="C37" s="100"/>
      <c r="D37" s="101"/>
      <c r="E37" s="102"/>
      <c r="F37" s="102"/>
      <c r="G37" s="102"/>
      <c r="H37" s="103" t="s">
        <v>2</v>
      </c>
      <c r="I37" s="104"/>
    </row>
    <row r="38" spans="1:10" s="98" customFormat="1" ht="15.95" customHeight="1">
      <c r="B38" s="99"/>
      <c r="C38" s="100"/>
      <c r="D38" s="101"/>
      <c r="E38" s="102"/>
      <c r="F38" s="102"/>
      <c r="G38" s="102"/>
      <c r="H38" s="105" t="s">
        <v>3</v>
      </c>
      <c r="I38" s="104"/>
    </row>
    <row r="39" spans="1:10" s="98" customFormat="1" ht="15.95" customHeight="1">
      <c r="B39" s="99"/>
      <c r="C39" s="100"/>
      <c r="D39" s="101"/>
      <c r="E39" s="102"/>
      <c r="F39" s="102"/>
      <c r="G39" s="102"/>
      <c r="H39" s="105"/>
      <c r="I39" s="104"/>
    </row>
    <row r="40" spans="1:10" s="98" customFormat="1" ht="15.95" customHeight="1">
      <c r="B40" s="99"/>
      <c r="C40" s="100"/>
      <c r="D40" s="101"/>
      <c r="E40" s="102"/>
      <c r="F40" s="102"/>
      <c r="G40" s="102"/>
      <c r="H40" s="105"/>
      <c r="I40" s="104"/>
    </row>
    <row r="41" spans="1:10" ht="15.95" customHeight="1">
      <c r="B41" s="75"/>
      <c r="C41" s="71"/>
      <c r="D41" s="73"/>
      <c r="E41" s="72"/>
      <c r="F41" s="72"/>
      <c r="G41" s="72"/>
      <c r="H41" s="86"/>
      <c r="I41" s="81"/>
    </row>
    <row r="42" spans="1:10" s="45" customFormat="1">
      <c r="B42" s="46"/>
      <c r="C42" s="46"/>
      <c r="E42" s="47"/>
      <c r="G42" s="47"/>
      <c r="H42" s="47" t="s">
        <v>7</v>
      </c>
      <c r="I42" s="48"/>
      <c r="J42" s="46"/>
    </row>
    <row r="43" spans="1:10" s="45" customFormat="1">
      <c r="B43" s="46"/>
      <c r="C43" s="46"/>
      <c r="E43" s="49"/>
      <c r="G43" s="49"/>
      <c r="H43" s="49" t="s">
        <v>55</v>
      </c>
      <c r="I43" s="51"/>
      <c r="J43" s="46"/>
    </row>
    <row r="44" spans="1:10" s="45" customFormat="1">
      <c r="B44" s="46"/>
      <c r="C44" s="46"/>
      <c r="E44" s="52"/>
      <c r="F44" s="52"/>
      <c r="G44" s="52"/>
      <c r="H44" s="50"/>
      <c r="I44" s="51"/>
      <c r="J44" s="53"/>
    </row>
    <row r="45" spans="1:10" s="45" customFormat="1">
      <c r="B45" s="52"/>
      <c r="C45" s="52"/>
      <c r="E45" s="52"/>
      <c r="F45" s="52"/>
      <c r="G45" s="52"/>
      <c r="I45" s="54"/>
      <c r="J45" s="46"/>
    </row>
    <row r="46" spans="1:10" s="45" customFormat="1" ht="15" customHeight="1">
      <c r="B46" s="82" t="s">
        <v>123</v>
      </c>
      <c r="C46" s="83" t="s">
        <v>25</v>
      </c>
      <c r="E46" s="55"/>
      <c r="F46" s="55"/>
      <c r="G46" s="55"/>
      <c r="I46" s="54"/>
      <c r="J46" s="46"/>
    </row>
    <row r="47" spans="1:10" s="45" customFormat="1" ht="15" customHeight="1">
      <c r="B47" s="82"/>
      <c r="C47" s="83" t="s">
        <v>129</v>
      </c>
      <c r="E47" s="55"/>
      <c r="F47" s="55"/>
      <c r="G47" s="55"/>
      <c r="I47" s="54"/>
      <c r="J47" s="46"/>
    </row>
    <row r="48" spans="1:10" s="45" customFormat="1">
      <c r="B48" s="84" t="s">
        <v>124</v>
      </c>
      <c r="C48" s="85" t="s">
        <v>26</v>
      </c>
      <c r="E48" s="52"/>
      <c r="F48" s="52"/>
      <c r="G48" s="52"/>
      <c r="I48" s="54"/>
      <c r="J48" s="46"/>
    </row>
    <row r="49" spans="1:10" s="45" customFormat="1">
      <c r="B49" s="84"/>
      <c r="C49" s="85" t="s">
        <v>130</v>
      </c>
      <c r="E49" s="52"/>
      <c r="F49" s="52"/>
      <c r="G49" s="52"/>
      <c r="I49" s="54"/>
      <c r="J49" s="46"/>
    </row>
    <row r="50" spans="1:10" s="45" customFormat="1" ht="8.1" customHeight="1">
      <c r="B50" s="56"/>
      <c r="C50" s="56"/>
      <c r="D50" s="57"/>
      <c r="E50" s="58"/>
      <c r="F50" s="58"/>
      <c r="G50" s="58"/>
      <c r="I50" s="54"/>
      <c r="J50" s="46"/>
    </row>
    <row r="51" spans="1:10" ht="14.25" thickBot="1"/>
    <row r="52" spans="1:10" ht="44.25" customHeight="1" thickTop="1">
      <c r="A52" s="63"/>
      <c r="B52" s="64" t="s">
        <v>34</v>
      </c>
      <c r="C52" s="64"/>
      <c r="D52" s="64" t="s">
        <v>35</v>
      </c>
      <c r="E52" s="65">
        <v>2021</v>
      </c>
      <c r="F52" s="65">
        <v>2022</v>
      </c>
      <c r="G52" s="65">
        <v>2023</v>
      </c>
      <c r="H52" s="63"/>
    </row>
    <row r="53" spans="1:10" ht="8.1" customHeight="1">
      <c r="A53" s="61"/>
      <c r="B53" s="66"/>
      <c r="C53" s="66"/>
      <c r="D53" s="66"/>
      <c r="E53" s="67"/>
      <c r="F53" s="67"/>
      <c r="G53" s="67"/>
      <c r="H53" s="61"/>
    </row>
    <row r="54" spans="1:10" ht="33" customHeight="1">
      <c r="B54" s="302" t="s">
        <v>45</v>
      </c>
      <c r="C54" s="302"/>
      <c r="E54" s="109">
        <f>SUM(E55:E56)</f>
        <v>178</v>
      </c>
      <c r="F54" s="109">
        <f>SUM(F55:F56)</f>
        <v>122</v>
      </c>
      <c r="G54" s="109"/>
    </row>
    <row r="55" spans="1:10" ht="33" customHeight="1">
      <c r="B55" s="302"/>
      <c r="C55" s="302"/>
      <c r="D55" s="73" t="s">
        <v>46</v>
      </c>
      <c r="E55" s="110">
        <v>33</v>
      </c>
      <c r="F55" s="110">
        <v>22</v>
      </c>
    </row>
    <row r="56" spans="1:10" ht="33" customHeight="1">
      <c r="B56" s="302"/>
      <c r="C56" s="302"/>
      <c r="D56" s="73" t="s">
        <v>47</v>
      </c>
      <c r="E56" s="110">
        <v>145</v>
      </c>
      <c r="F56" s="110">
        <v>100</v>
      </c>
      <c r="I56" s="68"/>
    </row>
    <row r="57" spans="1:10" ht="33" customHeight="1">
      <c r="B57" s="302" t="s">
        <v>72</v>
      </c>
      <c r="C57" s="302"/>
      <c r="E57" s="109">
        <f>SUM(E58:E68)</f>
        <v>10134</v>
      </c>
      <c r="F57" s="109">
        <f>SUM(F58:F68)</f>
        <v>8925</v>
      </c>
      <c r="G57" s="109"/>
    </row>
    <row r="58" spans="1:10" ht="33" customHeight="1">
      <c r="B58" s="302"/>
      <c r="C58" s="302"/>
      <c r="D58" s="73" t="s">
        <v>64</v>
      </c>
      <c r="E58" s="110">
        <v>844</v>
      </c>
      <c r="F58" s="110">
        <v>827</v>
      </c>
    </row>
    <row r="59" spans="1:10" ht="33" customHeight="1">
      <c r="B59" s="302"/>
      <c r="C59" s="302"/>
      <c r="D59" s="73" t="s">
        <v>48</v>
      </c>
      <c r="E59" s="110">
        <v>261</v>
      </c>
      <c r="F59" s="110">
        <v>82</v>
      </c>
    </row>
    <row r="60" spans="1:10" ht="33" customHeight="1">
      <c r="B60" s="302"/>
      <c r="C60" s="302"/>
      <c r="D60" s="73" t="s">
        <v>49</v>
      </c>
      <c r="E60" s="110">
        <v>2232</v>
      </c>
      <c r="F60" s="110">
        <v>3046</v>
      </c>
    </row>
    <row r="61" spans="1:10" ht="33" customHeight="1">
      <c r="B61" s="302"/>
      <c r="C61" s="302"/>
      <c r="D61" s="73" t="s">
        <v>50</v>
      </c>
      <c r="E61" s="110">
        <v>2483</v>
      </c>
      <c r="F61" s="110">
        <v>3073</v>
      </c>
    </row>
    <row r="62" spans="1:10" ht="33" customHeight="1">
      <c r="B62" s="302"/>
      <c r="C62" s="302"/>
      <c r="D62" s="73" t="s">
        <v>51</v>
      </c>
      <c r="E62" s="110">
        <v>153</v>
      </c>
      <c r="F62" s="110">
        <v>83</v>
      </c>
    </row>
    <row r="63" spans="1:10" ht="33" customHeight="1">
      <c r="B63" s="302"/>
      <c r="C63" s="302"/>
      <c r="D63" s="73" t="s">
        <v>52</v>
      </c>
      <c r="E63" s="110">
        <v>960</v>
      </c>
      <c r="F63" s="110">
        <v>879</v>
      </c>
    </row>
    <row r="64" spans="1:10" ht="33" customHeight="1">
      <c r="B64" s="302"/>
      <c r="C64" s="302"/>
      <c r="D64" s="73" t="s">
        <v>73</v>
      </c>
      <c r="E64" s="110">
        <v>2293</v>
      </c>
      <c r="F64" s="110">
        <v>449</v>
      </c>
    </row>
    <row r="65" spans="1:9" ht="33" customHeight="1">
      <c r="B65" s="302"/>
      <c r="C65" s="302"/>
      <c r="D65" s="73" t="s">
        <v>74</v>
      </c>
      <c r="E65" s="110">
        <v>602</v>
      </c>
      <c r="F65" s="110">
        <v>237</v>
      </c>
    </row>
    <row r="66" spans="1:9" ht="33" customHeight="1">
      <c r="B66" s="302"/>
      <c r="C66" s="302"/>
      <c r="D66" s="73" t="s">
        <v>53</v>
      </c>
      <c r="E66" s="110">
        <v>14</v>
      </c>
      <c r="F66" s="110">
        <v>39</v>
      </c>
    </row>
    <row r="67" spans="1:9" ht="42" customHeight="1">
      <c r="B67" s="302"/>
      <c r="C67" s="302"/>
      <c r="D67" s="73" t="s">
        <v>57</v>
      </c>
      <c r="E67" s="110">
        <v>171</v>
      </c>
      <c r="F67" s="110">
        <v>112</v>
      </c>
    </row>
    <row r="68" spans="1:9" ht="33.6" customHeight="1">
      <c r="B68" s="302"/>
      <c r="C68" s="302"/>
      <c r="D68" s="73" t="s">
        <v>54</v>
      </c>
      <c r="E68" s="110">
        <v>121</v>
      </c>
      <c r="F68" s="110">
        <v>98</v>
      </c>
      <c r="I68" s="68"/>
    </row>
    <row r="69" spans="1:9" ht="8.1" customHeight="1" thickBot="1">
      <c r="A69" s="76"/>
      <c r="B69" s="77"/>
      <c r="C69" s="78"/>
      <c r="D69" s="79"/>
      <c r="E69" s="80"/>
      <c r="F69" s="80"/>
      <c r="G69" s="80"/>
      <c r="H69" s="76"/>
      <c r="I69" s="81"/>
    </row>
    <row r="70" spans="1:9" s="98" customFormat="1" ht="15.95" customHeight="1">
      <c r="B70" s="99"/>
      <c r="C70" s="100"/>
      <c r="D70" s="101"/>
      <c r="E70" s="102"/>
      <c r="F70" s="102"/>
      <c r="G70" s="102"/>
      <c r="H70" s="103" t="s">
        <v>2</v>
      </c>
      <c r="I70" s="104"/>
    </row>
    <row r="71" spans="1:9" s="98" customFormat="1" ht="15.95" customHeight="1">
      <c r="B71" s="99"/>
      <c r="C71" s="100"/>
      <c r="D71" s="101"/>
      <c r="E71" s="102"/>
      <c r="F71" s="102"/>
      <c r="G71" s="102"/>
      <c r="H71" s="105" t="s">
        <v>3</v>
      </c>
      <c r="I71" s="104"/>
    </row>
    <row r="72" spans="1:9" s="98" customFormat="1" ht="15.95" customHeight="1">
      <c r="B72" s="99"/>
      <c r="C72" s="100"/>
      <c r="D72" s="101"/>
      <c r="E72" s="102"/>
      <c r="F72" s="102"/>
      <c r="G72" s="102"/>
      <c r="I72" s="104"/>
    </row>
  </sheetData>
  <mergeCells count="5">
    <mergeCell ref="B20:B22"/>
    <mergeCell ref="B24:B31"/>
    <mergeCell ref="B33:B35"/>
    <mergeCell ref="B54:C56"/>
    <mergeCell ref="B57:C68"/>
  </mergeCells>
  <printOptions horizontalCentered="1"/>
  <pageMargins left="0.55118110236220474" right="0.55118110236220474" top="0.39370078740157483" bottom="0.39370078740157483" header="0.31496062992125984" footer="0.31496062992125984"/>
  <pageSetup paperSize="9" scale="78" orientation="portrait" r:id="rId1"/>
  <rowBreaks count="1" manualBreakCount="1">
    <brk id="41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16</vt:i4>
      </vt:variant>
    </vt:vector>
  </HeadingPairs>
  <TitlesOfParts>
    <vt:vector size="32" baseType="lpstr">
      <vt:lpstr>7.1</vt:lpstr>
      <vt:lpstr>7.2</vt:lpstr>
      <vt:lpstr>7.2(1)</vt:lpstr>
      <vt:lpstr>7.3 </vt:lpstr>
      <vt:lpstr>7.3 (samb1)</vt:lpstr>
      <vt:lpstr>7.3 (samb2)</vt:lpstr>
      <vt:lpstr>7.3 (samb3)</vt:lpstr>
      <vt:lpstr>7.4</vt:lpstr>
      <vt:lpstr>7.4 (L)</vt:lpstr>
      <vt:lpstr>7.4 (L) (2)</vt:lpstr>
      <vt:lpstr>7.4 (L) (3)</vt:lpstr>
      <vt:lpstr>7.4 (1)</vt:lpstr>
      <vt:lpstr>7.4 (P)</vt:lpstr>
      <vt:lpstr>7.4 (P) (2)</vt:lpstr>
      <vt:lpstr>7.4 (P) (3)</vt:lpstr>
      <vt:lpstr>7.5</vt:lpstr>
      <vt:lpstr>'7.1'!Print_Area</vt:lpstr>
      <vt:lpstr>'7.2'!Print_Area</vt:lpstr>
      <vt:lpstr>'7.2(1)'!Print_Area</vt:lpstr>
      <vt:lpstr>'7.3 '!Print_Area</vt:lpstr>
      <vt:lpstr>'7.3 (samb1)'!Print_Area</vt:lpstr>
      <vt:lpstr>'7.3 (samb2)'!Print_Area</vt:lpstr>
      <vt:lpstr>'7.3 (samb3)'!Print_Area</vt:lpstr>
      <vt:lpstr>'7.4'!Print_Area</vt:lpstr>
      <vt:lpstr>'7.4 (1)'!Print_Area</vt:lpstr>
      <vt:lpstr>'7.4 (L)'!Print_Area</vt:lpstr>
      <vt:lpstr>'7.4 (L) (2)'!Print_Area</vt:lpstr>
      <vt:lpstr>'7.4 (L) (3)'!Print_Area</vt:lpstr>
      <vt:lpstr>'7.4 (P)'!Print_Area</vt:lpstr>
      <vt:lpstr>'7.4 (P) (2)'!Print_Area</vt:lpstr>
      <vt:lpstr>'7.4 (P) (3)'!Print_Area</vt:lpstr>
      <vt:lpstr>'7.5'!Print_Area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Siti Farhanah Md Sam</dc:creator>
  <cp:lastModifiedBy>BPTMS DOSM</cp:lastModifiedBy>
  <cp:lastPrinted>2024-10-16T02:51:51Z</cp:lastPrinted>
  <dcterms:created xsi:type="dcterms:W3CDTF">2020-11-18T07:32:32Z</dcterms:created>
  <dcterms:modified xsi:type="dcterms:W3CDTF">2024-10-16T02:52:02Z</dcterms:modified>
</cp:coreProperties>
</file>